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ragon\www\avthardwaretrading\database file and docs\"/>
    </mc:Choice>
  </mc:AlternateContent>
  <xr:revisionPtr revIDLastSave="0" documentId="13_ncr:1_{6A4C247C-1800-40CB-B712-7BD3C0132108}" xr6:coauthVersionLast="47" xr6:coauthVersionMax="47" xr10:uidLastSave="{00000000-0000-0000-0000-000000000000}"/>
  <bookViews>
    <workbookView xWindow="-108" yWindow="-108" windowWidth="23256" windowHeight="13896" firstSheet="5" activeTab="6" xr2:uid="{2B5D6939-F9AB-48CD-886E-B5DDD1DB4A15}"/>
  </bookViews>
  <sheets>
    <sheet name="category" sheetId="1" r:id="rId1"/>
    <sheet name="unit" sheetId="2" r:id="rId2"/>
    <sheet name="discount" sheetId="6" r:id="rId3"/>
    <sheet name="SUPPLIERS" sheetId="3" r:id="rId4"/>
    <sheet name="SUPPLIER_ITEMS (1st Tools)" sheetId="4" r:id="rId5"/>
    <sheet name="PRODUCT INVENTORY (1st Tools)" sheetId="5" r:id="rId6"/>
    <sheet name="SUPPLIER_ITEMS (Royu)" sheetId="7" r:id="rId7"/>
    <sheet name="SUPPLIER_ITEMS (Firefly)" sheetId="8" r:id="rId8"/>
  </sheets>
  <externalReferences>
    <externalReference r:id="rId9"/>
  </externalReferences>
  <definedNames>
    <definedName name="_xlnm._FilterDatabase" localSheetId="5" hidden="1">'PRODUCT INVENTORY (1st Tools)'!$A$1:$P$1199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8" l="1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F24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284" i="5" s="1"/>
  <c r="A285" i="5" s="1"/>
  <c r="A286" i="5" s="1"/>
  <c r="A287" i="5" s="1"/>
  <c r="A288" i="5" s="1"/>
  <c r="A289" i="5" s="1"/>
  <c r="A290" i="5" s="1"/>
  <c r="A291" i="5" s="1"/>
  <c r="A292" i="5" s="1"/>
  <c r="A293" i="5" s="1"/>
  <c r="A294" i="5" s="1"/>
  <c r="A295" i="5" s="1"/>
  <c r="A296" i="5" s="1"/>
  <c r="A297" i="5" s="1"/>
  <c r="A298" i="5" s="1"/>
  <c r="A299" i="5" s="1"/>
  <c r="A300" i="5" s="1"/>
  <c r="A301" i="5" s="1"/>
  <c r="A302" i="5" s="1"/>
  <c r="A303" i="5" s="1"/>
  <c r="A304" i="5" s="1"/>
  <c r="A305" i="5" s="1"/>
  <c r="A306" i="5" s="1"/>
  <c r="A307" i="5" s="1"/>
  <c r="A308" i="5" s="1"/>
  <c r="A309" i="5" s="1"/>
  <c r="A310" i="5" s="1"/>
  <c r="A311" i="5" s="1"/>
  <c r="A312" i="5" s="1"/>
  <c r="A313" i="5" s="1"/>
  <c r="A314" i="5" s="1"/>
  <c r="A315" i="5" s="1"/>
  <c r="A316" i="5" s="1"/>
  <c r="A317" i="5" s="1"/>
  <c r="A318" i="5" s="1"/>
  <c r="A319" i="5" s="1"/>
  <c r="A320" i="5" s="1"/>
  <c r="A321" i="5" s="1"/>
  <c r="A322" i="5" s="1"/>
  <c r="A323" i="5" s="1"/>
  <c r="A324" i="5" s="1"/>
  <c r="A325" i="5" s="1"/>
  <c r="A326" i="5" s="1"/>
  <c r="A327" i="5" s="1"/>
  <c r="A328" i="5" s="1"/>
  <c r="A329" i="5" s="1"/>
  <c r="A330" i="5" s="1"/>
  <c r="A331" i="5" s="1"/>
  <c r="A332" i="5" s="1"/>
  <c r="A333" i="5" s="1"/>
  <c r="A334" i="5" s="1"/>
  <c r="A335" i="5" s="1"/>
  <c r="A336" i="5" s="1"/>
  <c r="A337" i="5" s="1"/>
  <c r="A338" i="5" s="1"/>
  <c r="A339" i="5" s="1"/>
  <c r="A340" i="5" s="1"/>
  <c r="A341" i="5" s="1"/>
  <c r="A342" i="5" s="1"/>
  <c r="A343" i="5" s="1"/>
  <c r="A344" i="5" s="1"/>
  <c r="A345" i="5" s="1"/>
  <c r="A346" i="5" s="1"/>
  <c r="A347" i="5" s="1"/>
  <c r="A348" i="5" s="1"/>
  <c r="A349" i="5" s="1"/>
  <c r="A350" i="5" s="1"/>
  <c r="A351" i="5" s="1"/>
  <c r="A352" i="5" s="1"/>
  <c r="A353" i="5" s="1"/>
  <c r="A354" i="5" s="1"/>
  <c r="A355" i="5" s="1"/>
  <c r="A356" i="5" s="1"/>
  <c r="A357" i="5" s="1"/>
  <c r="A358" i="5" s="1"/>
  <c r="A359" i="5" s="1"/>
  <c r="A360" i="5" s="1"/>
  <c r="A361" i="5" s="1"/>
  <c r="A362" i="5" s="1"/>
  <c r="A363" i="5" s="1"/>
  <c r="A364" i="5" s="1"/>
  <c r="A365" i="5" s="1"/>
  <c r="A366" i="5" s="1"/>
  <c r="A367" i="5" s="1"/>
  <c r="A368" i="5" s="1"/>
  <c r="A369" i="5" s="1"/>
  <c r="A370" i="5" s="1"/>
  <c r="A371" i="5" s="1"/>
  <c r="A372" i="5" s="1"/>
  <c r="A373" i="5" s="1"/>
  <c r="A374" i="5" s="1"/>
  <c r="A375" i="5" s="1"/>
  <c r="A376" i="5" s="1"/>
  <c r="A377" i="5" s="1"/>
  <c r="A378" i="5" s="1"/>
  <c r="A379" i="5" s="1"/>
  <c r="A380" i="5" s="1"/>
  <c r="A381" i="5" s="1"/>
  <c r="A382" i="5" s="1"/>
  <c r="A383" i="5" s="1"/>
  <c r="A384" i="5" s="1"/>
  <c r="A385" i="5" s="1"/>
  <c r="A386" i="5" s="1"/>
  <c r="A387" i="5" s="1"/>
  <c r="A388" i="5" s="1"/>
  <c r="A389" i="5" s="1"/>
  <c r="A390" i="5" s="1"/>
  <c r="A391" i="5" s="1"/>
  <c r="A392" i="5" s="1"/>
  <c r="A393" i="5" s="1"/>
  <c r="A394" i="5" s="1"/>
  <c r="A395" i="5" s="1"/>
  <c r="A396" i="5" s="1"/>
  <c r="A397" i="5" s="1"/>
  <c r="A398" i="5" s="1"/>
  <c r="A399" i="5" s="1"/>
  <c r="A400" i="5" s="1"/>
  <c r="A401" i="5" s="1"/>
  <c r="A402" i="5" s="1"/>
  <c r="A403" i="5" s="1"/>
  <c r="A404" i="5" s="1"/>
  <c r="A405" i="5" s="1"/>
  <c r="A406" i="5" s="1"/>
  <c r="A407" i="5" s="1"/>
  <c r="A408" i="5" s="1"/>
  <c r="A409" i="5" s="1"/>
  <c r="A410" i="5" s="1"/>
  <c r="A411" i="5" s="1"/>
  <c r="A412" i="5" s="1"/>
  <c r="A413" i="5" s="1"/>
  <c r="A414" i="5" s="1"/>
  <c r="A415" i="5" s="1"/>
  <c r="A416" i="5" s="1"/>
  <c r="A417" i="5" s="1"/>
  <c r="A418" i="5" s="1"/>
  <c r="A419" i="5" s="1"/>
  <c r="A420" i="5" s="1"/>
  <c r="A421" i="5" s="1"/>
  <c r="A422" i="5" s="1"/>
  <c r="A423" i="5" s="1"/>
  <c r="A424" i="5" s="1"/>
  <c r="A425" i="5" s="1"/>
  <c r="A426" i="5" s="1"/>
  <c r="A427" i="5" s="1"/>
  <c r="A428" i="5" s="1"/>
  <c r="A429" i="5" s="1"/>
  <c r="A430" i="5" s="1"/>
  <c r="A431" i="5" s="1"/>
  <c r="A432" i="5" s="1"/>
  <c r="A433" i="5" s="1"/>
  <c r="A434" i="5" s="1"/>
  <c r="A435" i="5" s="1"/>
  <c r="A436" i="5" s="1"/>
  <c r="A437" i="5" s="1"/>
  <c r="A438" i="5" s="1"/>
  <c r="A439" i="5" s="1"/>
  <c r="A440" i="5" s="1"/>
  <c r="A441" i="5" s="1"/>
  <c r="A442" i="5" s="1"/>
  <c r="A443" i="5" s="1"/>
  <c r="A444" i="5" s="1"/>
  <c r="A445" i="5" s="1"/>
  <c r="A446" i="5" s="1"/>
  <c r="A447" i="5" s="1"/>
  <c r="A448" i="5" s="1"/>
  <c r="A449" i="5" s="1"/>
  <c r="A450" i="5" s="1"/>
  <c r="A451" i="5" s="1"/>
  <c r="A452" i="5" s="1"/>
  <c r="A453" i="5" s="1"/>
  <c r="A454" i="5" s="1"/>
  <c r="A455" i="5" s="1"/>
  <c r="A456" i="5" s="1"/>
  <c r="A457" i="5" s="1"/>
  <c r="A458" i="5" s="1"/>
  <c r="A459" i="5" s="1"/>
  <c r="A460" i="5" s="1"/>
  <c r="A461" i="5" s="1"/>
  <c r="A462" i="5" s="1"/>
  <c r="A463" i="5" s="1"/>
  <c r="A464" i="5" s="1"/>
  <c r="A465" i="5" s="1"/>
  <c r="A466" i="5" s="1"/>
  <c r="A467" i="5" s="1"/>
  <c r="A468" i="5" s="1"/>
  <c r="A469" i="5" s="1"/>
  <c r="A470" i="5" s="1"/>
  <c r="A471" i="5" s="1"/>
  <c r="A472" i="5" s="1"/>
  <c r="A473" i="5" s="1"/>
  <c r="A474" i="5" s="1"/>
  <c r="A475" i="5" s="1"/>
  <c r="A476" i="5" s="1"/>
  <c r="A477" i="5" s="1"/>
  <c r="A478" i="5" s="1"/>
  <c r="A479" i="5" s="1"/>
  <c r="A480" i="5" s="1"/>
  <c r="A481" i="5" s="1"/>
  <c r="A482" i="5" s="1"/>
  <c r="A483" i="5" s="1"/>
  <c r="A484" i="5" s="1"/>
  <c r="A485" i="5" s="1"/>
  <c r="A486" i="5" s="1"/>
  <c r="A487" i="5" s="1"/>
  <c r="A488" i="5" s="1"/>
  <c r="A489" i="5" s="1"/>
  <c r="A490" i="5" s="1"/>
  <c r="A491" i="5" s="1"/>
  <c r="A492" i="5" s="1"/>
  <c r="A493" i="5" s="1"/>
  <c r="A494" i="5" s="1"/>
  <c r="A495" i="5" s="1"/>
  <c r="A496" i="5" s="1"/>
  <c r="A497" i="5" s="1"/>
  <c r="A498" i="5" s="1"/>
  <c r="A499" i="5" s="1"/>
  <c r="A500" i="5" s="1"/>
  <c r="A501" i="5" s="1"/>
  <c r="A502" i="5" s="1"/>
  <c r="A503" i="5" s="1"/>
  <c r="A504" i="5" s="1"/>
  <c r="A505" i="5" s="1"/>
  <c r="A506" i="5" s="1"/>
  <c r="A507" i="5" s="1"/>
  <c r="A508" i="5" s="1"/>
  <c r="A509" i="5" s="1"/>
  <c r="A510" i="5" s="1"/>
  <c r="A511" i="5" s="1"/>
  <c r="A512" i="5" s="1"/>
  <c r="A513" i="5" s="1"/>
  <c r="A514" i="5" s="1"/>
  <c r="A515" i="5" s="1"/>
  <c r="A516" i="5" s="1"/>
  <c r="A517" i="5" s="1"/>
  <c r="A518" i="5" s="1"/>
  <c r="A519" i="5" s="1"/>
  <c r="A520" i="5" s="1"/>
  <c r="A521" i="5" s="1"/>
  <c r="A522" i="5" s="1"/>
  <c r="A523" i="5" s="1"/>
  <c r="A524" i="5" s="1"/>
  <c r="A525" i="5" s="1"/>
  <c r="A526" i="5" s="1"/>
  <c r="A527" i="5" s="1"/>
  <c r="A528" i="5" s="1"/>
  <c r="A529" i="5" s="1"/>
  <c r="A530" i="5" s="1"/>
  <c r="A531" i="5" s="1"/>
  <c r="A532" i="5" s="1"/>
  <c r="A533" i="5" s="1"/>
  <c r="A534" i="5" s="1"/>
  <c r="A535" i="5" s="1"/>
  <c r="A536" i="5" s="1"/>
  <c r="A537" i="5" s="1"/>
  <c r="A538" i="5" s="1"/>
  <c r="A539" i="5" s="1"/>
  <c r="A540" i="5" s="1"/>
  <c r="A541" i="5" s="1"/>
  <c r="A542" i="5" s="1"/>
  <c r="A543" i="5" s="1"/>
  <c r="A544" i="5" s="1"/>
  <c r="A545" i="5" s="1"/>
  <c r="A546" i="5" s="1"/>
  <c r="A547" i="5" s="1"/>
  <c r="A548" i="5" s="1"/>
  <c r="A549" i="5" s="1"/>
  <c r="A550" i="5" s="1"/>
  <c r="A551" i="5" s="1"/>
  <c r="A552" i="5" s="1"/>
  <c r="A553" i="5" s="1"/>
  <c r="A554" i="5" s="1"/>
  <c r="A555" i="5" s="1"/>
  <c r="A556" i="5" s="1"/>
  <c r="A557" i="5" s="1"/>
  <c r="A558" i="5" s="1"/>
  <c r="A559" i="5" s="1"/>
  <c r="A560" i="5" s="1"/>
  <c r="A561" i="5" s="1"/>
  <c r="A562" i="5" s="1"/>
  <c r="A563" i="5" s="1"/>
  <c r="A564" i="5" s="1"/>
  <c r="A565" i="5" s="1"/>
  <c r="A566" i="5" s="1"/>
  <c r="A567" i="5" s="1"/>
  <c r="A568" i="5" s="1"/>
  <c r="A569" i="5" s="1"/>
  <c r="A570" i="5" s="1"/>
  <c r="A571" i="5" s="1"/>
  <c r="A572" i="5" s="1"/>
  <c r="A573" i="5" s="1"/>
  <c r="A574" i="5" s="1"/>
  <c r="A575" i="5" s="1"/>
  <c r="A576" i="5" s="1"/>
  <c r="A577" i="5" s="1"/>
  <c r="A578" i="5" s="1"/>
  <c r="A579" i="5" s="1"/>
  <c r="A580" i="5" s="1"/>
  <c r="A581" i="5" s="1"/>
  <c r="A582" i="5" s="1"/>
  <c r="A583" i="5" s="1"/>
  <c r="A584" i="5" s="1"/>
  <c r="A585" i="5" s="1"/>
  <c r="A586" i="5" s="1"/>
  <c r="A587" i="5" s="1"/>
  <c r="A588" i="5" s="1"/>
  <c r="A589" i="5" s="1"/>
  <c r="A590" i="5" s="1"/>
  <c r="A591" i="5" s="1"/>
  <c r="A592" i="5" s="1"/>
  <c r="A593" i="5" s="1"/>
  <c r="A594" i="5" s="1"/>
  <c r="A595" i="5" s="1"/>
  <c r="A596" i="5" s="1"/>
  <c r="A597" i="5" s="1"/>
  <c r="A598" i="5" s="1"/>
  <c r="A599" i="5" s="1"/>
  <c r="A600" i="5" s="1"/>
  <c r="A601" i="5" s="1"/>
  <c r="A602" i="5" s="1"/>
  <c r="A603" i="5" s="1"/>
  <c r="A604" i="5" s="1"/>
  <c r="A605" i="5" s="1"/>
  <c r="A606" i="5" s="1"/>
  <c r="A607" i="5" s="1"/>
  <c r="A608" i="5" s="1"/>
  <c r="A609" i="5" s="1"/>
  <c r="A610" i="5" s="1"/>
  <c r="A611" i="5" s="1"/>
  <c r="A612" i="5" s="1"/>
  <c r="A613" i="5" s="1"/>
  <c r="A614" i="5" s="1"/>
  <c r="A615" i="5" s="1"/>
  <c r="A616" i="5" s="1"/>
  <c r="A617" i="5" s="1"/>
  <c r="A618" i="5" s="1"/>
  <c r="A619" i="5" s="1"/>
  <c r="A620" i="5" s="1"/>
  <c r="A621" i="5" s="1"/>
  <c r="A622" i="5" s="1"/>
  <c r="A623" i="5" s="1"/>
  <c r="A624" i="5" s="1"/>
  <c r="A625" i="5" s="1"/>
  <c r="A626" i="5" s="1"/>
  <c r="A627" i="5" s="1"/>
  <c r="A628" i="5" s="1"/>
  <c r="A629" i="5" s="1"/>
  <c r="A630" i="5" s="1"/>
  <c r="A631" i="5" s="1"/>
  <c r="A632" i="5" s="1"/>
  <c r="A633" i="5" s="1"/>
  <c r="A634" i="5" s="1"/>
  <c r="A635" i="5" s="1"/>
  <c r="A636" i="5" s="1"/>
  <c r="A637" i="5" s="1"/>
  <c r="A638" i="5" s="1"/>
  <c r="A639" i="5" s="1"/>
  <c r="A640" i="5" s="1"/>
  <c r="A641" i="5" s="1"/>
  <c r="A642" i="5" s="1"/>
  <c r="A643" i="5" s="1"/>
  <c r="A644" i="5" s="1"/>
  <c r="A645" i="5" s="1"/>
  <c r="A646" i="5" s="1"/>
  <c r="A647" i="5" s="1"/>
  <c r="A648" i="5" s="1"/>
  <c r="A649" i="5" s="1"/>
  <c r="A650" i="5" s="1"/>
  <c r="A651" i="5" s="1"/>
  <c r="A652" i="5" s="1"/>
  <c r="A653" i="5" s="1"/>
  <c r="A654" i="5" s="1"/>
  <c r="A655" i="5" s="1"/>
  <c r="A656" i="5" s="1"/>
  <c r="A657" i="5" s="1"/>
  <c r="A658" i="5" s="1"/>
  <c r="A659" i="5" s="1"/>
  <c r="A660" i="5" s="1"/>
  <c r="A661" i="5" s="1"/>
  <c r="A662" i="5" s="1"/>
  <c r="A663" i="5" s="1"/>
  <c r="A664" i="5" s="1"/>
  <c r="A665" i="5" s="1"/>
  <c r="A666" i="5" s="1"/>
  <c r="A667" i="5" s="1"/>
  <c r="A668" i="5" s="1"/>
  <c r="A669" i="5" s="1"/>
  <c r="A670" i="5" s="1"/>
  <c r="A671" i="5" s="1"/>
  <c r="A672" i="5" s="1"/>
  <c r="A673" i="5" s="1"/>
  <c r="A674" i="5" s="1"/>
  <c r="A675" i="5" s="1"/>
  <c r="A676" i="5" s="1"/>
  <c r="A677" i="5" s="1"/>
  <c r="A678" i="5" s="1"/>
  <c r="A679" i="5" s="1"/>
  <c r="A680" i="5" s="1"/>
  <c r="A681" i="5" s="1"/>
  <c r="A682" i="5" s="1"/>
  <c r="A683" i="5" s="1"/>
  <c r="A684" i="5" s="1"/>
  <c r="A685" i="5" s="1"/>
  <c r="A686" i="5" s="1"/>
  <c r="A687" i="5" s="1"/>
  <c r="A688" i="5" s="1"/>
  <c r="A689" i="5" s="1"/>
  <c r="A690" i="5" s="1"/>
  <c r="A691" i="5" s="1"/>
  <c r="A692" i="5" s="1"/>
  <c r="A693" i="5" s="1"/>
  <c r="A694" i="5" s="1"/>
  <c r="A695" i="5" s="1"/>
  <c r="A696" i="5" s="1"/>
  <c r="A697" i="5" s="1"/>
  <c r="A698" i="5" s="1"/>
  <c r="A699" i="5" s="1"/>
  <c r="A700" i="5" s="1"/>
  <c r="A701" i="5" s="1"/>
  <c r="A702" i="5" s="1"/>
  <c r="A703" i="5" s="1"/>
  <c r="A704" i="5" s="1"/>
  <c r="A705" i="5" s="1"/>
  <c r="A706" i="5" s="1"/>
  <c r="A707" i="5" s="1"/>
  <c r="A708" i="5" s="1"/>
  <c r="A709" i="5" s="1"/>
  <c r="A710" i="5" s="1"/>
  <c r="A711" i="5" s="1"/>
  <c r="A712" i="5" s="1"/>
  <c r="A713" i="5" s="1"/>
  <c r="A714" i="5" s="1"/>
  <c r="A715" i="5" s="1"/>
  <c r="A716" i="5" s="1"/>
  <c r="A717" i="5" s="1"/>
  <c r="A718" i="5" s="1"/>
  <c r="A719" i="5" s="1"/>
  <c r="A720" i="5" s="1"/>
  <c r="A721" i="5" s="1"/>
  <c r="A722" i="5" s="1"/>
  <c r="A723" i="5" s="1"/>
  <c r="A724" i="5" s="1"/>
  <c r="A725" i="5" s="1"/>
  <c r="A726" i="5" s="1"/>
  <c r="A727" i="5" s="1"/>
  <c r="A728" i="5" s="1"/>
  <c r="A729" i="5" s="1"/>
  <c r="A730" i="5" s="1"/>
  <c r="A731" i="5" s="1"/>
  <c r="A732" i="5" s="1"/>
  <c r="A733" i="5" s="1"/>
  <c r="A734" i="5" s="1"/>
  <c r="A735" i="5" s="1"/>
  <c r="A736" i="5" s="1"/>
  <c r="A737" i="5" s="1"/>
  <c r="A738" i="5" s="1"/>
  <c r="A739" i="5" s="1"/>
  <c r="A740" i="5" s="1"/>
  <c r="A741" i="5" s="1"/>
  <c r="A742" i="5" s="1"/>
  <c r="A743" i="5" s="1"/>
  <c r="A744" i="5" s="1"/>
  <c r="A745" i="5" s="1"/>
  <c r="A746" i="5" s="1"/>
  <c r="A747" i="5" s="1"/>
  <c r="A748" i="5" s="1"/>
  <c r="A749" i="5" s="1"/>
  <c r="A750" i="5" s="1"/>
  <c r="A751" i="5" s="1"/>
  <c r="A752" i="5" s="1"/>
  <c r="A753" i="5" s="1"/>
  <c r="A754" i="5" s="1"/>
  <c r="A755" i="5" s="1"/>
  <c r="A756" i="5" s="1"/>
  <c r="A757" i="5" s="1"/>
  <c r="A758" i="5" s="1"/>
  <c r="A759" i="5" s="1"/>
  <c r="A760" i="5" s="1"/>
  <c r="A761" i="5" s="1"/>
  <c r="A762" i="5" s="1"/>
  <c r="A763" i="5" s="1"/>
  <c r="A764" i="5" s="1"/>
  <c r="A765" i="5" s="1"/>
  <c r="A766" i="5" s="1"/>
  <c r="A767" i="5" s="1"/>
  <c r="A768" i="5" s="1"/>
  <c r="A769" i="5" s="1"/>
  <c r="A770" i="5" s="1"/>
  <c r="A771" i="5" s="1"/>
  <c r="A772" i="5" s="1"/>
  <c r="A773" i="5" s="1"/>
  <c r="A774" i="5" s="1"/>
  <c r="A775" i="5" s="1"/>
  <c r="A776" i="5" s="1"/>
  <c r="A777" i="5" s="1"/>
  <c r="A778" i="5" s="1"/>
  <c r="A779" i="5" s="1"/>
  <c r="A780" i="5" s="1"/>
  <c r="A781" i="5" s="1"/>
  <c r="A782" i="5" s="1"/>
  <c r="A783" i="5" s="1"/>
  <c r="A784" i="5" s="1"/>
  <c r="A785" i="5" s="1"/>
  <c r="A786" i="5" s="1"/>
  <c r="A787" i="5" s="1"/>
  <c r="A788" i="5" s="1"/>
  <c r="A789" i="5" s="1"/>
  <c r="A790" i="5" s="1"/>
  <c r="A791" i="5" s="1"/>
  <c r="A792" i="5" s="1"/>
  <c r="A793" i="5" s="1"/>
  <c r="A794" i="5" s="1"/>
  <c r="A795" i="5" s="1"/>
  <c r="A796" i="5" s="1"/>
  <c r="A797" i="5" s="1"/>
  <c r="A798" i="5" s="1"/>
  <c r="A799" i="5" s="1"/>
  <c r="A800" i="5" s="1"/>
  <c r="A801" i="5" s="1"/>
  <c r="A802" i="5" s="1"/>
  <c r="A803" i="5" s="1"/>
  <c r="A804" i="5" s="1"/>
  <c r="A805" i="5" s="1"/>
  <c r="A806" i="5" s="1"/>
  <c r="A807" i="5" s="1"/>
  <c r="A808" i="5" s="1"/>
  <c r="A809" i="5" s="1"/>
  <c r="A810" i="5" s="1"/>
  <c r="A811" i="5" s="1"/>
  <c r="A812" i="5" s="1"/>
  <c r="A813" i="5" s="1"/>
  <c r="A814" i="5" s="1"/>
  <c r="A815" i="5" s="1"/>
  <c r="A816" i="5" s="1"/>
  <c r="A817" i="5" s="1"/>
  <c r="A818" i="5" s="1"/>
  <c r="A819" i="5" s="1"/>
  <c r="A820" i="5" s="1"/>
  <c r="A821" i="5" s="1"/>
  <c r="A822" i="5" s="1"/>
  <c r="A823" i="5" s="1"/>
  <c r="A824" i="5" s="1"/>
  <c r="A825" i="5" s="1"/>
  <c r="A826" i="5" s="1"/>
  <c r="A827" i="5" s="1"/>
  <c r="A828" i="5" s="1"/>
  <c r="A829" i="5" s="1"/>
  <c r="A830" i="5" s="1"/>
  <c r="A831" i="5" s="1"/>
  <c r="A832" i="5" s="1"/>
  <c r="A833" i="5" s="1"/>
  <c r="A834" i="5" s="1"/>
  <c r="A835" i="5" s="1"/>
  <c r="A836" i="5" s="1"/>
  <c r="A837" i="5" s="1"/>
  <c r="A838" i="5" s="1"/>
  <c r="A839" i="5" s="1"/>
  <c r="A840" i="5" s="1"/>
  <c r="A841" i="5" s="1"/>
  <c r="A842" i="5" s="1"/>
  <c r="A843" i="5" s="1"/>
  <c r="A844" i="5" s="1"/>
  <c r="A845" i="5" s="1"/>
  <c r="A846" i="5" s="1"/>
  <c r="A847" i="5" s="1"/>
  <c r="A848" i="5" s="1"/>
  <c r="A849" i="5" s="1"/>
  <c r="A850" i="5" s="1"/>
  <c r="A851" i="5" s="1"/>
  <c r="A852" i="5" s="1"/>
  <c r="A853" i="5" s="1"/>
  <c r="A854" i="5" s="1"/>
  <c r="A855" i="5" s="1"/>
  <c r="A856" i="5" s="1"/>
  <c r="A857" i="5" s="1"/>
  <c r="A858" i="5" s="1"/>
  <c r="A859" i="5" s="1"/>
  <c r="A860" i="5" s="1"/>
  <c r="A861" i="5" s="1"/>
  <c r="A862" i="5" s="1"/>
  <c r="A863" i="5" s="1"/>
  <c r="A864" i="5" s="1"/>
  <c r="A865" i="5" s="1"/>
  <c r="A866" i="5" s="1"/>
  <c r="A867" i="5" s="1"/>
  <c r="A868" i="5" s="1"/>
  <c r="A869" i="5" s="1"/>
  <c r="A870" i="5" s="1"/>
  <c r="A871" i="5" s="1"/>
  <c r="A872" i="5" s="1"/>
  <c r="A873" i="5" s="1"/>
  <c r="A874" i="5" s="1"/>
  <c r="A875" i="5" s="1"/>
  <c r="A876" i="5" s="1"/>
  <c r="A877" i="5" s="1"/>
  <c r="A878" i="5" s="1"/>
  <c r="A879" i="5" s="1"/>
  <c r="A880" i="5" s="1"/>
  <c r="A881" i="5" s="1"/>
  <c r="A882" i="5" s="1"/>
  <c r="A883" i="5" s="1"/>
  <c r="A884" i="5" s="1"/>
  <c r="A885" i="5" s="1"/>
  <c r="A886" i="5" s="1"/>
  <c r="A887" i="5" s="1"/>
  <c r="A888" i="5" s="1"/>
  <c r="A889" i="5" s="1"/>
  <c r="A890" i="5" s="1"/>
  <c r="A891" i="5" s="1"/>
  <c r="A892" i="5" s="1"/>
  <c r="A893" i="5" s="1"/>
  <c r="A894" i="5" s="1"/>
  <c r="A895" i="5" s="1"/>
  <c r="A896" i="5" s="1"/>
  <c r="A897" i="5" s="1"/>
  <c r="A898" i="5" s="1"/>
  <c r="A899" i="5" s="1"/>
  <c r="A900" i="5" s="1"/>
  <c r="A901" i="5" s="1"/>
  <c r="A902" i="5" s="1"/>
  <c r="A903" i="5" s="1"/>
  <c r="A904" i="5" s="1"/>
  <c r="A905" i="5" s="1"/>
  <c r="A906" i="5" s="1"/>
  <c r="A907" i="5" s="1"/>
  <c r="A908" i="5" s="1"/>
  <c r="A909" i="5" s="1"/>
  <c r="A910" i="5" s="1"/>
  <c r="A911" i="5" s="1"/>
  <c r="A912" i="5" s="1"/>
  <c r="A913" i="5" s="1"/>
  <c r="A914" i="5" s="1"/>
  <c r="A915" i="5" s="1"/>
  <c r="A916" i="5" s="1"/>
  <c r="A917" i="5" s="1"/>
  <c r="A918" i="5" s="1"/>
  <c r="A919" i="5" s="1"/>
  <c r="A920" i="5" s="1"/>
  <c r="A921" i="5" s="1"/>
  <c r="A922" i="5" s="1"/>
  <c r="A923" i="5" s="1"/>
  <c r="A924" i="5" s="1"/>
  <c r="A925" i="5" s="1"/>
  <c r="A926" i="5" s="1"/>
  <c r="A927" i="5" s="1"/>
  <c r="A928" i="5" s="1"/>
  <c r="A929" i="5" s="1"/>
  <c r="A930" i="5" s="1"/>
  <c r="A931" i="5" s="1"/>
  <c r="A932" i="5" s="1"/>
  <c r="A933" i="5" s="1"/>
  <c r="A934" i="5" s="1"/>
  <c r="A935" i="5" s="1"/>
  <c r="A936" i="5" s="1"/>
  <c r="A937" i="5" s="1"/>
  <c r="A938" i="5" s="1"/>
  <c r="A939" i="5" s="1"/>
  <c r="A940" i="5" s="1"/>
  <c r="A941" i="5" s="1"/>
  <c r="A942" i="5" s="1"/>
  <c r="A943" i="5" s="1"/>
  <c r="A944" i="5" s="1"/>
  <c r="A945" i="5" s="1"/>
  <c r="A946" i="5" s="1"/>
  <c r="A947" i="5" s="1"/>
  <c r="A948" i="5" s="1"/>
  <c r="A949" i="5" s="1"/>
  <c r="A950" i="5" s="1"/>
  <c r="A951" i="5" s="1"/>
  <c r="A952" i="5" s="1"/>
  <c r="A953" i="5" s="1"/>
  <c r="A954" i="5" s="1"/>
  <c r="A955" i="5" s="1"/>
  <c r="A956" i="5" s="1"/>
  <c r="A957" i="5" s="1"/>
  <c r="A958" i="5" s="1"/>
  <c r="A959" i="5" s="1"/>
  <c r="A960" i="5" s="1"/>
  <c r="A961" i="5" s="1"/>
  <c r="A962" i="5" s="1"/>
  <c r="A963" i="5" s="1"/>
  <c r="A964" i="5" s="1"/>
  <c r="A965" i="5" s="1"/>
  <c r="A966" i="5" s="1"/>
  <c r="A967" i="5" s="1"/>
  <c r="A968" i="5" s="1"/>
  <c r="A969" i="5" s="1"/>
  <c r="A970" i="5" s="1"/>
  <c r="A971" i="5" s="1"/>
  <c r="A972" i="5" s="1"/>
  <c r="A973" i="5" s="1"/>
  <c r="A974" i="5" s="1"/>
  <c r="A975" i="5" s="1"/>
  <c r="A976" i="5" s="1"/>
  <c r="A977" i="5" s="1"/>
  <c r="A978" i="5" s="1"/>
  <c r="A979" i="5" s="1"/>
  <c r="A980" i="5" s="1"/>
  <c r="A981" i="5" s="1"/>
  <c r="A982" i="5" s="1"/>
  <c r="A983" i="5" s="1"/>
  <c r="A984" i="5" s="1"/>
  <c r="A985" i="5" s="1"/>
  <c r="A986" i="5" s="1"/>
  <c r="A987" i="5" s="1"/>
  <c r="A988" i="5" s="1"/>
  <c r="A989" i="5" s="1"/>
  <c r="A990" i="5" s="1"/>
  <c r="A991" i="5" s="1"/>
  <c r="A992" i="5" s="1"/>
  <c r="A993" i="5" s="1"/>
  <c r="A994" i="5" s="1"/>
  <c r="A995" i="5" s="1"/>
  <c r="A996" i="5" s="1"/>
  <c r="A997" i="5" s="1"/>
  <c r="A998" i="5" s="1"/>
  <c r="A999" i="5" s="1"/>
  <c r="A1000" i="5" s="1"/>
  <c r="A1001" i="5" s="1"/>
  <c r="A1002" i="5" s="1"/>
  <c r="A1003" i="5" s="1"/>
  <c r="A1004" i="5" s="1"/>
  <c r="A1005" i="5" s="1"/>
  <c r="A1006" i="5" s="1"/>
  <c r="A1007" i="5" s="1"/>
  <c r="A1008" i="5" s="1"/>
  <c r="A1009" i="5" s="1"/>
  <c r="A1010" i="5" s="1"/>
  <c r="A1011" i="5" s="1"/>
  <c r="A1012" i="5" s="1"/>
  <c r="A1013" i="5" s="1"/>
  <c r="A1014" i="5" s="1"/>
  <c r="A1015" i="5" s="1"/>
  <c r="A1016" i="5" s="1"/>
  <c r="A1017" i="5" s="1"/>
  <c r="A1018" i="5" s="1"/>
  <c r="A1019" i="5" s="1"/>
  <c r="A1020" i="5" s="1"/>
  <c r="A1021" i="5" s="1"/>
  <c r="A1022" i="5" s="1"/>
  <c r="A1023" i="5" s="1"/>
  <c r="A1024" i="5" s="1"/>
  <c r="A1025" i="5" s="1"/>
  <c r="A1026" i="5" s="1"/>
  <c r="A1027" i="5" s="1"/>
  <c r="A1028" i="5" s="1"/>
  <c r="A1029" i="5" s="1"/>
  <c r="A1030" i="5" s="1"/>
  <c r="A1031" i="5" s="1"/>
  <c r="A1032" i="5" s="1"/>
  <c r="A1033" i="5" s="1"/>
  <c r="A1034" i="5" s="1"/>
  <c r="A1035" i="5" s="1"/>
  <c r="A1036" i="5" s="1"/>
  <c r="A1037" i="5" s="1"/>
  <c r="A1038" i="5" s="1"/>
  <c r="A1039" i="5" s="1"/>
  <c r="A1040" i="5" s="1"/>
  <c r="A1041" i="5" s="1"/>
  <c r="A1042" i="5" s="1"/>
  <c r="A1043" i="5" s="1"/>
  <c r="A1044" i="5" s="1"/>
  <c r="A1045" i="5" s="1"/>
  <c r="A1046" i="5" s="1"/>
  <c r="A1047" i="5" s="1"/>
  <c r="A1048" i="5" s="1"/>
  <c r="A1049" i="5" s="1"/>
  <c r="A1050" i="5" s="1"/>
  <c r="A1051" i="5" s="1"/>
  <c r="A1052" i="5" s="1"/>
  <c r="A1053" i="5" s="1"/>
  <c r="A1054" i="5" s="1"/>
  <c r="A1055" i="5" s="1"/>
  <c r="A1056" i="5" s="1"/>
  <c r="A1057" i="5" s="1"/>
  <c r="A1058" i="5" s="1"/>
  <c r="A1059" i="5" s="1"/>
  <c r="A1060" i="5" s="1"/>
  <c r="A1061" i="5" s="1"/>
  <c r="A1062" i="5" s="1"/>
  <c r="A1063" i="5" s="1"/>
  <c r="A1064" i="5" s="1"/>
  <c r="A1065" i="5" s="1"/>
  <c r="A1066" i="5" s="1"/>
  <c r="A1067" i="5" s="1"/>
  <c r="A1068" i="5" s="1"/>
  <c r="A1069" i="5" s="1"/>
  <c r="A1070" i="5" s="1"/>
  <c r="A1071" i="5" s="1"/>
  <c r="A1072" i="5" s="1"/>
  <c r="A1073" i="5" s="1"/>
  <c r="A1074" i="5" s="1"/>
  <c r="A1075" i="5" s="1"/>
  <c r="A1076" i="5" s="1"/>
  <c r="A1077" i="5" s="1"/>
  <c r="A1078" i="5" s="1"/>
  <c r="A1079" i="5" s="1"/>
  <c r="A1080" i="5" s="1"/>
  <c r="A1081" i="5" s="1"/>
  <c r="A1082" i="5" s="1"/>
  <c r="A1083" i="5" s="1"/>
  <c r="A1084" i="5" s="1"/>
  <c r="A1085" i="5" s="1"/>
  <c r="A1086" i="5" s="1"/>
  <c r="A1087" i="5" s="1"/>
  <c r="A1088" i="5" s="1"/>
  <c r="A1089" i="5" s="1"/>
  <c r="A1090" i="5" s="1"/>
  <c r="A1091" i="5" s="1"/>
  <c r="A1092" i="5" s="1"/>
  <c r="A1093" i="5" s="1"/>
  <c r="A1094" i="5" s="1"/>
  <c r="A1095" i="5" s="1"/>
  <c r="A1096" i="5" s="1"/>
  <c r="A1097" i="5" s="1"/>
  <c r="A1098" i="5" s="1"/>
  <c r="A1099" i="5" s="1"/>
  <c r="A1100" i="5" s="1"/>
  <c r="A1101" i="5" s="1"/>
  <c r="A1102" i="5" s="1"/>
  <c r="A1103" i="5" s="1"/>
  <c r="A1104" i="5" s="1"/>
  <c r="A1105" i="5" s="1"/>
  <c r="A1106" i="5" s="1"/>
  <c r="A1107" i="5" s="1"/>
  <c r="A1108" i="5" s="1"/>
  <c r="A1109" i="5" s="1"/>
  <c r="A1110" i="5" s="1"/>
  <c r="A1111" i="5" s="1"/>
  <c r="A1112" i="5" s="1"/>
  <c r="A1113" i="5" s="1"/>
  <c r="A1114" i="5" s="1"/>
  <c r="A1115" i="5" s="1"/>
  <c r="A1116" i="5" s="1"/>
  <c r="A1117" i="5" s="1"/>
  <c r="A1118" i="5" s="1"/>
  <c r="A1119" i="5" s="1"/>
  <c r="A1120" i="5" s="1"/>
  <c r="A1121" i="5" s="1"/>
  <c r="A1122" i="5" s="1"/>
  <c r="A1123" i="5" s="1"/>
  <c r="A1124" i="5" s="1"/>
  <c r="A1125" i="5" s="1"/>
  <c r="A1126" i="5" s="1"/>
  <c r="A1127" i="5" s="1"/>
  <c r="A1128" i="5" s="1"/>
  <c r="A1129" i="5" s="1"/>
  <c r="A1130" i="5" s="1"/>
  <c r="A1131" i="5" s="1"/>
  <c r="A1132" i="5" s="1"/>
  <c r="A1133" i="5" s="1"/>
  <c r="A1134" i="5" s="1"/>
  <c r="A1135" i="5" s="1"/>
  <c r="A1136" i="5" s="1"/>
  <c r="A1137" i="5" s="1"/>
  <c r="A1138" i="5" s="1"/>
  <c r="A1139" i="5" s="1"/>
  <c r="A1140" i="5" s="1"/>
  <c r="A1141" i="5" s="1"/>
  <c r="A1142" i="5" s="1"/>
  <c r="A1143" i="5" s="1"/>
  <c r="A1144" i="5" s="1"/>
  <c r="A1145" i="5" s="1"/>
  <c r="A1146" i="5" s="1"/>
  <c r="A1147" i="5" s="1"/>
  <c r="A1148" i="5" s="1"/>
  <c r="A1149" i="5" s="1"/>
  <c r="A1150" i="5" s="1"/>
  <c r="A1151" i="5" s="1"/>
  <c r="A1152" i="5" s="1"/>
  <c r="A1153" i="5" s="1"/>
  <c r="A1154" i="5" s="1"/>
  <c r="A1155" i="5" s="1"/>
  <c r="A1156" i="5" s="1"/>
  <c r="A1157" i="5" s="1"/>
  <c r="A1158" i="5" s="1"/>
  <c r="A1159" i="5" s="1"/>
  <c r="A1160" i="5" s="1"/>
  <c r="A1161" i="5" s="1"/>
  <c r="A1162" i="5" s="1"/>
  <c r="A1163" i="5" s="1"/>
  <c r="A1164" i="5" s="1"/>
  <c r="A1165" i="5" s="1"/>
  <c r="A1166" i="5" s="1"/>
  <c r="A1167" i="5" s="1"/>
  <c r="A1168" i="5" s="1"/>
  <c r="A1169" i="5" s="1"/>
  <c r="A1170" i="5" s="1"/>
  <c r="A1171" i="5" s="1"/>
  <c r="A1172" i="5" s="1"/>
  <c r="A1173" i="5" s="1"/>
  <c r="A1174" i="5" s="1"/>
  <c r="A1175" i="5" s="1"/>
  <c r="A1176" i="5" s="1"/>
  <c r="A1177" i="5" s="1"/>
  <c r="A1178" i="5" s="1"/>
  <c r="A1179" i="5" s="1"/>
  <c r="A1180" i="5" s="1"/>
  <c r="A1181" i="5" s="1"/>
  <c r="A1182" i="5" s="1"/>
  <c r="A1183" i="5" s="1"/>
  <c r="A1184" i="5" s="1"/>
  <c r="A1185" i="5" s="1"/>
  <c r="A1186" i="5" s="1"/>
  <c r="A1187" i="5" s="1"/>
  <c r="A1188" i="5" s="1"/>
  <c r="A1189" i="5" s="1"/>
  <c r="A1190" i="5" s="1"/>
  <c r="A1191" i="5" s="1"/>
  <c r="A1192" i="5" s="1"/>
  <c r="A1193" i="5" s="1"/>
  <c r="A1194" i="5" s="1"/>
  <c r="A1195" i="5" s="1"/>
  <c r="A1196" i="5" s="1"/>
  <c r="A1197" i="5" s="1"/>
  <c r="A1198" i="5" s="1"/>
  <c r="A1199" i="5" s="1"/>
  <c r="B997" i="5"/>
  <c r="F997" i="5"/>
  <c r="B998" i="5"/>
  <c r="F998" i="5"/>
  <c r="B999" i="5"/>
  <c r="F999" i="5"/>
  <c r="B1000" i="5"/>
  <c r="F1000" i="5"/>
  <c r="B1001" i="5"/>
  <c r="F1001" i="5"/>
  <c r="B783" i="5"/>
  <c r="F783" i="5"/>
  <c r="B784" i="5"/>
  <c r="F784" i="5"/>
  <c r="B785" i="5"/>
  <c r="F785" i="5"/>
  <c r="K109" i="5"/>
  <c r="K108" i="5"/>
  <c r="K85" i="5"/>
  <c r="K83" i="5"/>
  <c r="K82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B1035" i="5"/>
  <c r="K762" i="5"/>
  <c r="K513" i="5"/>
  <c r="K163" i="5"/>
  <c r="B1199" i="5"/>
  <c r="B1198" i="5"/>
  <c r="B1197" i="5"/>
  <c r="B1196" i="5"/>
  <c r="B1195" i="5"/>
  <c r="B1194" i="5"/>
  <c r="B1193" i="5"/>
  <c r="B1192" i="5"/>
  <c r="B1191" i="5"/>
  <c r="B1190" i="5"/>
  <c r="B1189" i="5"/>
  <c r="B1188" i="5"/>
  <c r="B1187" i="5"/>
  <c r="B1186" i="5"/>
  <c r="B1185" i="5"/>
  <c r="B1184" i="5"/>
  <c r="B1183" i="5"/>
  <c r="B1182" i="5"/>
  <c r="B1181" i="5"/>
  <c r="B1180" i="5"/>
  <c r="B1179" i="5"/>
  <c r="B1178" i="5"/>
  <c r="B1177" i="5"/>
  <c r="B1176" i="5"/>
  <c r="B1175" i="5"/>
  <c r="B1174" i="5"/>
  <c r="B1173" i="5"/>
  <c r="B1172" i="5"/>
  <c r="B1171" i="5"/>
  <c r="B1170" i="5"/>
  <c r="B1169" i="5"/>
  <c r="B1168" i="5"/>
  <c r="B1167" i="5"/>
  <c r="B1166" i="5"/>
  <c r="B1165" i="5"/>
  <c r="B1164" i="5"/>
  <c r="B1163" i="5"/>
  <c r="B1162" i="5"/>
  <c r="B1161" i="5"/>
  <c r="B1160" i="5"/>
  <c r="B1159" i="5"/>
  <c r="B1158" i="5"/>
  <c r="B1157" i="5"/>
  <c r="B1156" i="5"/>
  <c r="B1155" i="5"/>
  <c r="B1154" i="5"/>
  <c r="B1153" i="5"/>
  <c r="B1152" i="5"/>
  <c r="B1151" i="5"/>
  <c r="B1150" i="5"/>
  <c r="B1149" i="5"/>
  <c r="B1148" i="5"/>
  <c r="B1147" i="5"/>
  <c r="B1146" i="5"/>
  <c r="B1145" i="5"/>
  <c r="B1144" i="5"/>
  <c r="B1143" i="5"/>
  <c r="B1142" i="5"/>
  <c r="B1141" i="5"/>
  <c r="B1140" i="5"/>
  <c r="B1139" i="5"/>
  <c r="B1138" i="5"/>
  <c r="B1137" i="5"/>
  <c r="B1136" i="5"/>
  <c r="B1135" i="5"/>
  <c r="B1134" i="5"/>
  <c r="B1133" i="5"/>
  <c r="B1132" i="5"/>
  <c r="B1131" i="5"/>
  <c r="B1130" i="5"/>
  <c r="B1129" i="5"/>
  <c r="B1128" i="5"/>
  <c r="B1127" i="5"/>
  <c r="B1126" i="5"/>
  <c r="B1125" i="5"/>
  <c r="B1124" i="5"/>
  <c r="B1123" i="5"/>
  <c r="B1122" i="5"/>
  <c r="B1121" i="5"/>
  <c r="B1120" i="5"/>
  <c r="B1119" i="5"/>
  <c r="B1118" i="5"/>
  <c r="B1117" i="5"/>
  <c r="B1116" i="5"/>
  <c r="B1115" i="5"/>
  <c r="B1114" i="5"/>
  <c r="B1113" i="5"/>
  <c r="B1112" i="5"/>
  <c r="B1111" i="5"/>
  <c r="B1110" i="5"/>
  <c r="B1109" i="5"/>
  <c r="B1108" i="5"/>
  <c r="B1107" i="5"/>
  <c r="B1106" i="5"/>
  <c r="B1105" i="5"/>
  <c r="B1104" i="5"/>
  <c r="B1103" i="5"/>
  <c r="B1102" i="5"/>
  <c r="B1101" i="5"/>
  <c r="B1100" i="5"/>
  <c r="B1099" i="5"/>
  <c r="B1098" i="5"/>
  <c r="B1097" i="5"/>
  <c r="B1096" i="5"/>
  <c r="B1095" i="5"/>
  <c r="B1094" i="5"/>
  <c r="B1093" i="5"/>
  <c r="B1092" i="5"/>
  <c r="B1091" i="5"/>
  <c r="B1090" i="5"/>
  <c r="B1089" i="5"/>
  <c r="B1088" i="5"/>
  <c r="B1087" i="5"/>
  <c r="B1086" i="5"/>
  <c r="B1085" i="5"/>
  <c r="B1084" i="5"/>
  <c r="B1083" i="5"/>
  <c r="B1082" i="5"/>
  <c r="B1081" i="5"/>
  <c r="B1080" i="5"/>
  <c r="B1079" i="5"/>
  <c r="B1078" i="5"/>
  <c r="B1077" i="5"/>
  <c r="B1076" i="5"/>
  <c r="B1075" i="5"/>
  <c r="B1074" i="5"/>
  <c r="B1073" i="5"/>
  <c r="B1072" i="5"/>
  <c r="B1071" i="5"/>
  <c r="B1070" i="5"/>
  <c r="B1069" i="5"/>
  <c r="B1068" i="5"/>
  <c r="B1067" i="5"/>
  <c r="B1066" i="5"/>
  <c r="B1065" i="5"/>
  <c r="B1064" i="5"/>
  <c r="B1063" i="5"/>
  <c r="B1062" i="5"/>
  <c r="B1061" i="5"/>
  <c r="B1060" i="5"/>
  <c r="B1059" i="5"/>
  <c r="B1058" i="5"/>
  <c r="B1057" i="5"/>
  <c r="B1056" i="5"/>
  <c r="B1055" i="5"/>
  <c r="B1054" i="5"/>
  <c r="B1053" i="5"/>
  <c r="B1052" i="5"/>
  <c r="B1051" i="5"/>
  <c r="B1050" i="5"/>
  <c r="B1049" i="5"/>
  <c r="B1048" i="5"/>
  <c r="B1047" i="5"/>
  <c r="B1046" i="5"/>
  <c r="B1045" i="5"/>
  <c r="B1044" i="5"/>
  <c r="B1043" i="5"/>
  <c r="B1042" i="5"/>
  <c r="B1041" i="5"/>
  <c r="B1040" i="5"/>
  <c r="B1039" i="5"/>
  <c r="B1038" i="5"/>
  <c r="B1037" i="5"/>
  <c r="B1036" i="5"/>
  <c r="B1034" i="5"/>
  <c r="B1033" i="5"/>
  <c r="B1032" i="5"/>
  <c r="B1031" i="5"/>
  <c r="B1030" i="5"/>
  <c r="B1029" i="5"/>
  <c r="B1028" i="5"/>
  <c r="B1027" i="5"/>
  <c r="B1026" i="5"/>
  <c r="B1025" i="5"/>
  <c r="B1024" i="5"/>
  <c r="B1023" i="5"/>
  <c r="B1022" i="5"/>
  <c r="B1021" i="5"/>
  <c r="B1020" i="5"/>
  <c r="B1019" i="5"/>
  <c r="B1018" i="5"/>
  <c r="B1017" i="5"/>
  <c r="B1016" i="5"/>
  <c r="B1015" i="5"/>
  <c r="B1014" i="5"/>
  <c r="B1013" i="5"/>
  <c r="B1012" i="5"/>
  <c r="B1011" i="5"/>
  <c r="B1010" i="5"/>
  <c r="B1009" i="5"/>
  <c r="B1008" i="5"/>
  <c r="B1007" i="5"/>
  <c r="B1006" i="5"/>
  <c r="B1005" i="5"/>
  <c r="B1004" i="5"/>
  <c r="B1003" i="5"/>
  <c r="B1002" i="5"/>
  <c r="B996" i="5"/>
  <c r="B995" i="5"/>
  <c r="B994" i="5"/>
  <c r="B993" i="5"/>
  <c r="B992" i="5"/>
  <c r="B991" i="5"/>
  <c r="B990" i="5"/>
  <c r="B989" i="5"/>
  <c r="B988" i="5"/>
  <c r="B987" i="5"/>
  <c r="B986" i="5"/>
  <c r="B985" i="5"/>
  <c r="B984" i="5"/>
  <c r="B983" i="5"/>
  <c r="B982" i="5"/>
  <c r="B981" i="5"/>
  <c r="B980" i="5"/>
  <c r="B979" i="5"/>
  <c r="B978" i="5"/>
  <c r="B977" i="5"/>
  <c r="B976" i="5"/>
  <c r="B975" i="5"/>
  <c r="B974" i="5"/>
  <c r="B973" i="5"/>
  <c r="B972" i="5"/>
  <c r="B971" i="5"/>
  <c r="B970" i="5"/>
  <c r="B969" i="5"/>
  <c r="B968" i="5"/>
  <c r="B967" i="5"/>
  <c r="B966" i="5"/>
  <c r="B965" i="5"/>
  <c r="B964" i="5"/>
  <c r="B963" i="5"/>
  <c r="B962" i="5"/>
  <c r="B961" i="5"/>
  <c r="B960" i="5"/>
  <c r="B959" i="5"/>
  <c r="B958" i="5"/>
  <c r="B957" i="5"/>
  <c r="B956" i="5"/>
  <c r="B955" i="5"/>
  <c r="B954" i="5"/>
  <c r="B953" i="5"/>
  <c r="B952" i="5"/>
  <c r="B951" i="5"/>
  <c r="B950" i="5"/>
  <c r="B949" i="5"/>
  <c r="B948" i="5"/>
  <c r="B947" i="5"/>
  <c r="B946" i="5"/>
  <c r="B945" i="5"/>
  <c r="B944" i="5"/>
  <c r="B943" i="5"/>
  <c r="B942" i="5"/>
  <c r="B941" i="5"/>
  <c r="B940" i="5"/>
  <c r="B939" i="5"/>
  <c r="B938" i="5"/>
  <c r="B937" i="5"/>
  <c r="B936" i="5"/>
  <c r="B935" i="5"/>
  <c r="B934" i="5"/>
  <c r="B933" i="5"/>
  <c r="B932" i="5"/>
  <c r="B931" i="5"/>
  <c r="B930" i="5"/>
  <c r="B929" i="5"/>
  <c r="B928" i="5"/>
  <c r="B927" i="5"/>
  <c r="B926" i="5"/>
  <c r="B925" i="5"/>
  <c r="B924" i="5"/>
  <c r="B923" i="5"/>
  <c r="B922" i="5"/>
  <c r="B921" i="5"/>
  <c r="B920" i="5"/>
  <c r="B919" i="5"/>
  <c r="B918" i="5"/>
  <c r="B917" i="5"/>
  <c r="B916" i="5"/>
  <c r="B915" i="5"/>
  <c r="B914" i="5"/>
  <c r="B913" i="5"/>
  <c r="B912" i="5"/>
  <c r="B911" i="5"/>
  <c r="B910" i="5"/>
  <c r="B909" i="5"/>
  <c r="B908" i="5"/>
  <c r="B907" i="5"/>
  <c r="B906" i="5"/>
  <c r="B905" i="5"/>
  <c r="B904" i="5"/>
  <c r="B903" i="5"/>
  <c r="B902" i="5"/>
  <c r="B901" i="5"/>
  <c r="B900" i="5"/>
  <c r="B899" i="5"/>
  <c r="B898" i="5"/>
  <c r="B897" i="5"/>
  <c r="B896" i="5"/>
  <c r="B895" i="5"/>
  <c r="B894" i="5"/>
  <c r="B893" i="5"/>
  <c r="B892" i="5"/>
  <c r="B891" i="5"/>
  <c r="B890" i="5"/>
  <c r="B889" i="5"/>
  <c r="B888" i="5"/>
  <c r="B887" i="5"/>
  <c r="B886" i="5"/>
  <c r="B885" i="5"/>
  <c r="B884" i="5"/>
  <c r="B883" i="5"/>
  <c r="B882" i="5"/>
  <c r="B881" i="5"/>
  <c r="B880" i="5"/>
  <c r="B879" i="5"/>
  <c r="B878" i="5"/>
  <c r="B877" i="5"/>
  <c r="B876" i="5"/>
  <c r="B875" i="5"/>
  <c r="B874" i="5"/>
  <c r="B873" i="5"/>
  <c r="B872" i="5"/>
  <c r="B871" i="5"/>
  <c r="B870" i="5"/>
  <c r="B869" i="5"/>
  <c r="B868" i="5"/>
  <c r="B867" i="5"/>
  <c r="B866" i="5"/>
  <c r="B865" i="5"/>
  <c r="B864" i="5"/>
  <c r="B863" i="5"/>
  <c r="B862" i="5"/>
  <c r="B861" i="5"/>
  <c r="B860" i="5"/>
  <c r="B859" i="5"/>
  <c r="B858" i="5"/>
  <c r="B857" i="5"/>
  <c r="B856" i="5"/>
  <c r="B855" i="5"/>
  <c r="B854" i="5"/>
  <c r="B853" i="5"/>
  <c r="B852" i="5"/>
  <c r="B851" i="5"/>
  <c r="B850" i="5"/>
  <c r="B849" i="5"/>
  <c r="B848" i="5"/>
  <c r="B847" i="5"/>
  <c r="B846" i="5"/>
  <c r="B845" i="5"/>
  <c r="B844" i="5"/>
  <c r="B843" i="5"/>
  <c r="B842" i="5"/>
  <c r="B841" i="5"/>
  <c r="B840" i="5"/>
  <c r="B839" i="5"/>
  <c r="B838" i="5"/>
  <c r="B837" i="5"/>
  <c r="B836" i="5"/>
  <c r="B835" i="5"/>
  <c r="B834" i="5"/>
  <c r="B833" i="5"/>
  <c r="B832" i="5"/>
  <c r="B831" i="5"/>
  <c r="B830" i="5"/>
  <c r="B829" i="5"/>
  <c r="B828" i="5"/>
  <c r="B827" i="5"/>
  <c r="B826" i="5"/>
  <c r="B825" i="5"/>
  <c r="B824" i="5"/>
  <c r="B823" i="5"/>
  <c r="B822" i="5"/>
  <c r="B821" i="5"/>
  <c r="B820" i="5"/>
  <c r="B819" i="5"/>
  <c r="B818" i="5"/>
  <c r="B817" i="5"/>
  <c r="B816" i="5"/>
  <c r="B815" i="5"/>
  <c r="B814" i="5"/>
  <c r="B813" i="5"/>
  <c r="B812" i="5"/>
  <c r="B811" i="5"/>
  <c r="B810" i="5"/>
  <c r="B809" i="5"/>
  <c r="B808" i="5"/>
  <c r="B807" i="5"/>
  <c r="B806" i="5"/>
  <c r="B805" i="5"/>
  <c r="B804" i="5"/>
  <c r="B803" i="5"/>
  <c r="B802" i="5"/>
  <c r="B801" i="5"/>
  <c r="B800" i="5"/>
  <c r="B799" i="5"/>
  <c r="B798" i="5"/>
  <c r="B797" i="5"/>
  <c r="B796" i="5"/>
  <c r="B795" i="5"/>
  <c r="B794" i="5"/>
  <c r="B793" i="5"/>
  <c r="B792" i="5"/>
  <c r="B791" i="5"/>
  <c r="B790" i="5"/>
  <c r="B789" i="5"/>
  <c r="B788" i="5"/>
  <c r="B787" i="5"/>
  <c r="B786" i="5"/>
  <c r="B782" i="5"/>
  <c r="B781" i="5"/>
  <c r="B780" i="5"/>
  <c r="B779" i="5"/>
  <c r="B778" i="5"/>
  <c r="B777" i="5"/>
  <c r="B776" i="5"/>
  <c r="B775" i="5"/>
  <c r="B774" i="5"/>
  <c r="B773" i="5"/>
  <c r="B772" i="5"/>
  <c r="B771" i="5"/>
  <c r="B770" i="5"/>
  <c r="B769" i="5"/>
  <c r="B768" i="5"/>
  <c r="B767" i="5"/>
  <c r="B766" i="5"/>
  <c r="B765" i="5"/>
  <c r="B764" i="5"/>
  <c r="B763" i="5"/>
  <c r="B762" i="5"/>
  <c r="B761" i="5"/>
  <c r="B760" i="5"/>
  <c r="B759" i="5"/>
  <c r="B758" i="5"/>
  <c r="B757" i="5"/>
  <c r="B756" i="5"/>
  <c r="B755" i="5"/>
  <c r="B754" i="5"/>
  <c r="B753" i="5"/>
  <c r="B752" i="5"/>
  <c r="B751" i="5"/>
  <c r="B750" i="5"/>
  <c r="B749" i="5"/>
  <c r="B748" i="5"/>
  <c r="B747" i="5"/>
  <c r="B746" i="5"/>
  <c r="B745" i="5"/>
  <c r="B744" i="5"/>
  <c r="B743" i="5"/>
  <c r="B742" i="5"/>
  <c r="B741" i="5"/>
  <c r="B740" i="5"/>
  <c r="B739" i="5"/>
  <c r="B738" i="5"/>
  <c r="B737" i="5"/>
  <c r="B736" i="5"/>
  <c r="B735" i="5"/>
  <c r="B734" i="5"/>
  <c r="B733" i="5"/>
  <c r="B732" i="5"/>
  <c r="B731" i="5"/>
  <c r="B730" i="5"/>
  <c r="B729" i="5"/>
  <c r="B728" i="5"/>
  <c r="B727" i="5"/>
  <c r="B726" i="5"/>
  <c r="B725" i="5"/>
  <c r="B724" i="5"/>
  <c r="B723" i="5"/>
  <c r="B722" i="5"/>
  <c r="B721" i="5"/>
  <c r="B720" i="5"/>
  <c r="B719" i="5"/>
  <c r="B718" i="5"/>
  <c r="B717" i="5"/>
  <c r="B716" i="5"/>
  <c r="B715" i="5"/>
  <c r="B714" i="5"/>
  <c r="B713" i="5"/>
  <c r="B712" i="5"/>
  <c r="B711" i="5"/>
  <c r="B710" i="5"/>
  <c r="B709" i="5"/>
  <c r="B708" i="5"/>
  <c r="B707" i="5"/>
  <c r="B706" i="5"/>
  <c r="B705" i="5"/>
  <c r="B704" i="5"/>
  <c r="B703" i="5"/>
  <c r="B702" i="5"/>
  <c r="B701" i="5"/>
  <c r="B700" i="5"/>
  <c r="B699" i="5"/>
  <c r="B698" i="5"/>
  <c r="B697" i="5"/>
  <c r="B696" i="5"/>
  <c r="B695" i="5"/>
  <c r="B694" i="5"/>
  <c r="B693" i="5"/>
  <c r="B692" i="5"/>
  <c r="B691" i="5"/>
  <c r="B690" i="5"/>
  <c r="B689" i="5"/>
  <c r="B688" i="5"/>
  <c r="B687" i="5"/>
  <c r="B686" i="5"/>
  <c r="B685" i="5"/>
  <c r="B684" i="5"/>
  <c r="B683" i="5"/>
  <c r="B682" i="5"/>
  <c r="B681" i="5"/>
  <c r="B680" i="5"/>
  <c r="B679" i="5"/>
  <c r="B678" i="5"/>
  <c r="B677" i="5"/>
  <c r="B676" i="5"/>
  <c r="B675" i="5"/>
  <c r="B674" i="5"/>
  <c r="B673" i="5"/>
  <c r="B672" i="5"/>
  <c r="B671" i="5"/>
  <c r="B670" i="5"/>
  <c r="B669" i="5"/>
  <c r="B668" i="5"/>
  <c r="B667" i="5"/>
  <c r="B666" i="5"/>
  <c r="B665" i="5"/>
  <c r="B664" i="5"/>
  <c r="B663" i="5"/>
  <c r="B662" i="5"/>
  <c r="B661" i="5"/>
  <c r="B660" i="5"/>
  <c r="B659" i="5"/>
  <c r="B658" i="5"/>
  <c r="B657" i="5"/>
  <c r="B656" i="5"/>
  <c r="B655" i="5"/>
  <c r="B654" i="5"/>
  <c r="B653" i="5"/>
  <c r="B652" i="5"/>
  <c r="B651" i="5"/>
  <c r="B650" i="5"/>
  <c r="B649" i="5"/>
  <c r="B648" i="5"/>
  <c r="B647" i="5"/>
  <c r="B646" i="5"/>
  <c r="B645" i="5"/>
  <c r="B644" i="5"/>
  <c r="B643" i="5"/>
  <c r="B642" i="5"/>
  <c r="B641" i="5"/>
  <c r="B640" i="5"/>
  <c r="B639" i="5"/>
  <c r="B638" i="5"/>
  <c r="B637" i="5"/>
  <c r="B636" i="5"/>
  <c r="B635" i="5"/>
  <c r="B634" i="5"/>
  <c r="B633" i="5"/>
  <c r="B632" i="5"/>
  <c r="B631" i="5"/>
  <c r="B630" i="5"/>
  <c r="B629" i="5"/>
  <c r="B628" i="5"/>
  <c r="B627" i="5"/>
  <c r="B626" i="5"/>
  <c r="B625" i="5"/>
  <c r="B624" i="5"/>
  <c r="B623" i="5"/>
  <c r="B622" i="5"/>
  <c r="B621" i="5"/>
  <c r="B620" i="5"/>
  <c r="B619" i="5"/>
  <c r="B618" i="5"/>
  <c r="B617" i="5"/>
  <c r="B616" i="5"/>
  <c r="B615" i="5"/>
  <c r="B614" i="5"/>
  <c r="B613" i="5"/>
  <c r="B612" i="5"/>
  <c r="B611" i="5"/>
  <c r="B610" i="5"/>
  <c r="B609" i="5"/>
  <c r="B608" i="5"/>
  <c r="B607" i="5"/>
  <c r="B606" i="5"/>
  <c r="B605" i="5"/>
  <c r="B604" i="5"/>
  <c r="B603" i="5"/>
  <c r="B602" i="5"/>
  <c r="B601" i="5"/>
  <c r="B600" i="5"/>
  <c r="B599" i="5"/>
  <c r="B598" i="5"/>
  <c r="B597" i="5"/>
  <c r="B596" i="5"/>
  <c r="B595" i="5"/>
  <c r="B594" i="5"/>
  <c r="B593" i="5"/>
  <c r="B592" i="5"/>
  <c r="B591" i="5"/>
  <c r="B590" i="5"/>
  <c r="B589" i="5"/>
  <c r="B588" i="5"/>
  <c r="B587" i="5"/>
  <c r="B586" i="5"/>
  <c r="B585" i="5"/>
  <c r="B584" i="5"/>
  <c r="B583" i="5"/>
  <c r="B582" i="5"/>
  <c r="B581" i="5"/>
  <c r="B580" i="5"/>
  <c r="B579" i="5"/>
  <c r="B578" i="5"/>
  <c r="B577" i="5"/>
  <c r="B576" i="5"/>
  <c r="B575" i="5"/>
  <c r="B574" i="5"/>
  <c r="B573" i="5"/>
  <c r="B572" i="5"/>
  <c r="B571" i="5"/>
  <c r="B570" i="5"/>
  <c r="B569" i="5"/>
  <c r="B568" i="5"/>
  <c r="B567" i="5"/>
  <c r="B566" i="5"/>
  <c r="B565" i="5"/>
  <c r="B564" i="5"/>
  <c r="B563" i="5"/>
  <c r="B562" i="5"/>
  <c r="B561" i="5"/>
  <c r="B560" i="5"/>
  <c r="B559" i="5"/>
  <c r="B558" i="5"/>
  <c r="B557" i="5"/>
  <c r="B556" i="5"/>
  <c r="B555" i="5"/>
  <c r="B554" i="5"/>
  <c r="B553" i="5"/>
  <c r="B552" i="5"/>
  <c r="B551" i="5"/>
  <c r="B550" i="5"/>
  <c r="B549" i="5"/>
  <c r="B548" i="5"/>
  <c r="B547" i="5"/>
  <c r="B546" i="5"/>
  <c r="B545" i="5"/>
  <c r="B544" i="5"/>
  <c r="B543" i="5"/>
  <c r="B542" i="5"/>
  <c r="B541" i="5"/>
  <c r="B540" i="5"/>
  <c r="B539" i="5"/>
  <c r="B538" i="5"/>
  <c r="B537" i="5"/>
  <c r="B536" i="5"/>
  <c r="B535" i="5"/>
  <c r="B534" i="5"/>
  <c r="B533" i="5"/>
  <c r="B532" i="5"/>
  <c r="B531" i="5"/>
  <c r="B530" i="5"/>
  <c r="B529" i="5"/>
  <c r="B528" i="5"/>
  <c r="B527" i="5"/>
  <c r="B526" i="5"/>
  <c r="B525" i="5"/>
  <c r="B524" i="5"/>
  <c r="B523" i="5"/>
  <c r="B522" i="5"/>
  <c r="B521" i="5"/>
  <c r="B520" i="5"/>
  <c r="B519" i="5"/>
  <c r="B518" i="5"/>
  <c r="B517" i="5"/>
  <c r="B516" i="5"/>
  <c r="B515" i="5"/>
  <c r="B514" i="5"/>
  <c r="B513" i="5"/>
  <c r="B512" i="5"/>
  <c r="B511" i="5"/>
  <c r="B510" i="5"/>
  <c r="B509" i="5"/>
  <c r="B508" i="5"/>
  <c r="B507" i="5"/>
  <c r="B506" i="5"/>
  <c r="B505" i="5"/>
  <c r="B504" i="5"/>
  <c r="B503" i="5"/>
  <c r="B502" i="5"/>
  <c r="B501" i="5"/>
  <c r="B500" i="5"/>
  <c r="B499" i="5"/>
  <c r="B498" i="5"/>
  <c r="B497" i="5"/>
  <c r="B496" i="5"/>
  <c r="B495" i="5"/>
  <c r="B494" i="5"/>
  <c r="B493" i="5"/>
  <c r="B492" i="5"/>
  <c r="B491" i="5"/>
  <c r="B490" i="5"/>
  <c r="B489" i="5"/>
  <c r="B488" i="5"/>
  <c r="B487" i="5"/>
  <c r="B486" i="5"/>
  <c r="B485" i="5"/>
  <c r="B484" i="5"/>
  <c r="B483" i="5"/>
  <c r="B482" i="5"/>
  <c r="B481" i="5"/>
  <c r="B480" i="5"/>
  <c r="B479" i="5"/>
  <c r="B478" i="5"/>
  <c r="B477" i="5"/>
  <c r="B476" i="5"/>
  <c r="B475" i="5"/>
  <c r="B474" i="5"/>
  <c r="B473" i="5"/>
  <c r="B472" i="5"/>
  <c r="B471" i="5"/>
  <c r="B470" i="5"/>
  <c r="B469" i="5"/>
  <c r="B468" i="5"/>
  <c r="B467" i="5"/>
  <c r="B466" i="5"/>
  <c r="B465" i="5"/>
  <c r="B464" i="5"/>
  <c r="B463" i="5"/>
  <c r="B462" i="5"/>
  <c r="B461" i="5"/>
  <c r="B460" i="5"/>
  <c r="B459" i="5"/>
  <c r="B458" i="5"/>
  <c r="B457" i="5"/>
  <c r="B456" i="5"/>
  <c r="B455" i="5"/>
  <c r="B454" i="5"/>
  <c r="B453" i="5"/>
  <c r="B452" i="5"/>
  <c r="B451" i="5"/>
  <c r="B450" i="5"/>
  <c r="B449" i="5"/>
  <c r="B448" i="5"/>
  <c r="B447" i="5"/>
  <c r="B446" i="5"/>
  <c r="B445" i="5"/>
  <c r="B444" i="5"/>
  <c r="B443" i="5"/>
  <c r="B442" i="5"/>
  <c r="B441" i="5"/>
  <c r="B440" i="5"/>
  <c r="B439" i="5"/>
  <c r="B438" i="5"/>
  <c r="B437" i="5"/>
  <c r="B436" i="5"/>
  <c r="B435" i="5"/>
  <c r="B434" i="5"/>
  <c r="B433" i="5"/>
  <c r="B432" i="5"/>
  <c r="B431" i="5"/>
  <c r="B430" i="5"/>
  <c r="B429" i="5"/>
  <c r="B428" i="5"/>
  <c r="B427" i="5"/>
  <c r="B426" i="5"/>
  <c r="B425" i="5"/>
  <c r="B424" i="5"/>
  <c r="B423" i="5"/>
  <c r="B422" i="5"/>
  <c r="B421" i="5"/>
  <c r="B420" i="5"/>
  <c r="B419" i="5"/>
  <c r="B418" i="5"/>
  <c r="B417" i="5"/>
  <c r="B416" i="5"/>
  <c r="B415" i="5"/>
  <c r="B414" i="5"/>
  <c r="B413" i="5"/>
  <c r="B412" i="5"/>
  <c r="B411" i="5"/>
  <c r="B410" i="5"/>
  <c r="B409" i="5"/>
  <c r="B408" i="5"/>
  <c r="B407" i="5"/>
  <c r="B406" i="5"/>
  <c r="B405" i="5"/>
  <c r="B404" i="5"/>
  <c r="B403" i="5"/>
  <c r="B402" i="5"/>
  <c r="B401" i="5"/>
  <c r="B400" i="5"/>
  <c r="B399" i="5"/>
  <c r="B398" i="5"/>
  <c r="B397" i="5"/>
  <c r="B396" i="5"/>
  <c r="B395" i="5"/>
  <c r="B394" i="5"/>
  <c r="B393" i="5"/>
  <c r="B392" i="5"/>
  <c r="B391" i="5"/>
  <c r="B390" i="5"/>
  <c r="B389" i="5"/>
  <c r="B388" i="5"/>
  <c r="B387" i="5"/>
  <c r="B386" i="5"/>
  <c r="B385" i="5"/>
  <c r="B384" i="5"/>
  <c r="B383" i="5"/>
  <c r="B382" i="5"/>
  <c r="B381" i="5"/>
  <c r="B380" i="5"/>
  <c r="B379" i="5"/>
  <c r="B378" i="5"/>
  <c r="B377" i="5"/>
  <c r="B376" i="5"/>
  <c r="B375" i="5"/>
  <c r="B374" i="5"/>
  <c r="B373" i="5"/>
  <c r="B372" i="5"/>
  <c r="B371" i="5"/>
  <c r="B370" i="5"/>
  <c r="B369" i="5"/>
  <c r="B368" i="5"/>
  <c r="B367" i="5"/>
  <c r="B366" i="5"/>
  <c r="B365" i="5"/>
  <c r="B364" i="5"/>
  <c r="B363" i="5"/>
  <c r="B362" i="5"/>
  <c r="B361" i="5"/>
  <c r="B360" i="5"/>
  <c r="B359" i="5"/>
  <c r="B358" i="5"/>
  <c r="B357" i="5"/>
  <c r="B356" i="5"/>
  <c r="B355" i="5"/>
  <c r="B354" i="5"/>
  <c r="B353" i="5"/>
  <c r="B352" i="5"/>
  <c r="B351" i="5"/>
  <c r="B350" i="5"/>
  <c r="B349" i="5"/>
  <c r="B348" i="5"/>
  <c r="B347" i="5"/>
  <c r="B346" i="5"/>
  <c r="B345" i="5"/>
  <c r="B344" i="5"/>
  <c r="B343" i="5"/>
  <c r="B342" i="5"/>
  <c r="B341" i="5"/>
  <c r="B340" i="5"/>
  <c r="B339" i="5"/>
  <c r="B338" i="5"/>
  <c r="B337" i="5"/>
  <c r="B336" i="5"/>
  <c r="B335" i="5"/>
  <c r="B334" i="5"/>
  <c r="B333" i="5"/>
  <c r="B332" i="5"/>
  <c r="B331" i="5"/>
  <c r="B330" i="5"/>
  <c r="B329" i="5"/>
  <c r="B328" i="5"/>
  <c r="B327" i="5"/>
  <c r="B326" i="5"/>
  <c r="B325" i="5"/>
  <c r="B324" i="5"/>
  <c r="B323" i="5"/>
  <c r="B322" i="5"/>
  <c r="B321" i="5"/>
  <c r="B320" i="5"/>
  <c r="B319" i="5"/>
  <c r="B318" i="5"/>
  <c r="B317" i="5"/>
  <c r="B316" i="5"/>
  <c r="B315" i="5"/>
  <c r="B314" i="5"/>
  <c r="B313" i="5"/>
  <c r="B312" i="5"/>
  <c r="B311" i="5"/>
  <c r="B310" i="5"/>
  <c r="B309" i="5"/>
  <c r="B308" i="5"/>
  <c r="B307" i="5"/>
  <c r="B306" i="5"/>
  <c r="B305" i="5"/>
  <c r="B304" i="5"/>
  <c r="B303" i="5"/>
  <c r="B302" i="5"/>
  <c r="B301" i="5"/>
  <c r="B300" i="5"/>
  <c r="B299" i="5"/>
  <c r="B298" i="5"/>
  <c r="B297" i="5"/>
  <c r="B296" i="5"/>
  <c r="B295" i="5"/>
  <c r="B294" i="5"/>
  <c r="B293" i="5"/>
  <c r="B292" i="5"/>
  <c r="B291" i="5"/>
  <c r="B290" i="5"/>
  <c r="B289" i="5"/>
  <c r="B288" i="5"/>
  <c r="B287" i="5"/>
  <c r="B286" i="5"/>
  <c r="B285" i="5"/>
  <c r="B284" i="5"/>
  <c r="B283" i="5"/>
  <c r="B282" i="5"/>
  <c r="B281" i="5"/>
  <c r="B280" i="5"/>
  <c r="B279" i="5"/>
  <c r="B278" i="5"/>
  <c r="B277" i="5"/>
  <c r="B276" i="5"/>
  <c r="B275" i="5"/>
  <c r="B274" i="5"/>
  <c r="B273" i="5"/>
  <c r="B272" i="5"/>
  <c r="B271" i="5"/>
  <c r="B270" i="5"/>
  <c r="B269" i="5"/>
  <c r="B268" i="5"/>
  <c r="B267" i="5"/>
  <c r="B266" i="5"/>
  <c r="B265" i="5"/>
  <c r="B264" i="5"/>
  <c r="B263" i="5"/>
  <c r="B262" i="5"/>
  <c r="B261" i="5"/>
  <c r="B260" i="5"/>
  <c r="B259" i="5"/>
  <c r="B258" i="5"/>
  <c r="B257" i="5"/>
  <c r="B256" i="5"/>
  <c r="B255" i="5"/>
  <c r="B254" i="5"/>
  <c r="B253" i="5"/>
  <c r="B252" i="5"/>
  <c r="B251" i="5"/>
  <c r="B250" i="5"/>
  <c r="B249" i="5"/>
  <c r="B248" i="5"/>
  <c r="B247" i="5"/>
  <c r="B246" i="5"/>
  <c r="B245" i="5"/>
  <c r="B244" i="5"/>
  <c r="B243" i="5"/>
  <c r="B242" i="5"/>
  <c r="B241" i="5"/>
  <c r="B240" i="5"/>
  <c r="B239" i="5"/>
  <c r="B238" i="5"/>
  <c r="B237" i="5"/>
  <c r="B236" i="5"/>
  <c r="B235" i="5"/>
  <c r="B234" i="5"/>
  <c r="B233" i="5"/>
  <c r="B232" i="5"/>
  <c r="B231" i="5"/>
  <c r="B230" i="5"/>
  <c r="B229" i="5"/>
  <c r="B228" i="5"/>
  <c r="B227" i="5"/>
  <c r="B226" i="5"/>
  <c r="B225" i="5"/>
  <c r="B224" i="5"/>
  <c r="B223" i="5"/>
  <c r="B222" i="5"/>
  <c r="B221" i="5"/>
  <c r="B220" i="5"/>
  <c r="B219" i="5"/>
  <c r="B218" i="5"/>
  <c r="B217" i="5"/>
  <c r="B216" i="5"/>
  <c r="B215" i="5"/>
  <c r="B214" i="5"/>
  <c r="B213" i="5"/>
  <c r="B212" i="5"/>
  <c r="B211" i="5"/>
  <c r="B210" i="5"/>
  <c r="B209" i="5"/>
  <c r="B208" i="5"/>
  <c r="B207" i="5"/>
  <c r="B206" i="5"/>
  <c r="B205" i="5"/>
  <c r="B204" i="5"/>
  <c r="B203" i="5"/>
  <c r="B202" i="5"/>
  <c r="B201" i="5"/>
  <c r="B200" i="5"/>
  <c r="B199" i="5"/>
  <c r="B198" i="5"/>
  <c r="B197" i="5"/>
  <c r="B196" i="5"/>
  <c r="B195" i="5"/>
  <c r="B194" i="5"/>
  <c r="B193" i="5"/>
  <c r="B192" i="5"/>
  <c r="B191" i="5"/>
  <c r="B190" i="5"/>
  <c r="B189" i="5"/>
  <c r="B188" i="5"/>
  <c r="B187" i="5"/>
  <c r="B186" i="5"/>
  <c r="B185" i="5"/>
  <c r="B184" i="5"/>
  <c r="B183" i="5"/>
  <c r="B182" i="5"/>
  <c r="B181" i="5"/>
  <c r="B180" i="5"/>
  <c r="B179" i="5"/>
  <c r="B178" i="5"/>
  <c r="B177" i="5"/>
  <c r="B176" i="5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F1199" i="5"/>
  <c r="F1198" i="5"/>
  <c r="F1197" i="5"/>
  <c r="F1196" i="5"/>
  <c r="F1195" i="5"/>
  <c r="F1194" i="5"/>
  <c r="F1193" i="5"/>
  <c r="F1192" i="5"/>
  <c r="F1191" i="5"/>
  <c r="F1190" i="5"/>
  <c r="F1189" i="5"/>
  <c r="F1188" i="5"/>
  <c r="F1187" i="5"/>
  <c r="F1186" i="5"/>
  <c r="F1185" i="5"/>
  <c r="F1184" i="5"/>
  <c r="F1183" i="5"/>
  <c r="F1182" i="5"/>
  <c r="F1181" i="5"/>
  <c r="F1180" i="5"/>
  <c r="F1179" i="5"/>
  <c r="F1178" i="5"/>
  <c r="F1177" i="5"/>
  <c r="F1176" i="5"/>
  <c r="F1175" i="5"/>
  <c r="F1174" i="5"/>
  <c r="F1173" i="5"/>
  <c r="F1172" i="5"/>
  <c r="F1171" i="5"/>
  <c r="F1170" i="5"/>
  <c r="F1169" i="5"/>
  <c r="F1168" i="5"/>
  <c r="F1167" i="5"/>
  <c r="F1166" i="5"/>
  <c r="F1165" i="5"/>
  <c r="F1164" i="5"/>
  <c r="F1163" i="5"/>
  <c r="F1162" i="5"/>
  <c r="F1161" i="5"/>
  <c r="F1160" i="5"/>
  <c r="F1159" i="5"/>
  <c r="F1158" i="5"/>
  <c r="F1157" i="5"/>
  <c r="F1156" i="5"/>
  <c r="F1155" i="5"/>
  <c r="F1154" i="5"/>
  <c r="F1153" i="5"/>
  <c r="F1152" i="5"/>
  <c r="F1151" i="5"/>
  <c r="F1150" i="5"/>
  <c r="F1149" i="5"/>
  <c r="F1148" i="5"/>
  <c r="F1147" i="5"/>
  <c r="F1146" i="5"/>
  <c r="F1145" i="5"/>
  <c r="F1144" i="5"/>
  <c r="F1143" i="5"/>
  <c r="F1142" i="5"/>
  <c r="F1141" i="5"/>
  <c r="F1140" i="5"/>
  <c r="F1139" i="5"/>
  <c r="F1138" i="5"/>
  <c r="F1137" i="5"/>
  <c r="F1136" i="5"/>
  <c r="F1135" i="5"/>
  <c r="F1134" i="5"/>
  <c r="F1133" i="5"/>
  <c r="F1132" i="5"/>
  <c r="F1131" i="5"/>
  <c r="F1130" i="5"/>
  <c r="F1129" i="5"/>
  <c r="F1128" i="5"/>
  <c r="F1127" i="5"/>
  <c r="F1126" i="5"/>
  <c r="F1125" i="5"/>
  <c r="F1124" i="5"/>
  <c r="F1123" i="5"/>
  <c r="F1122" i="5"/>
  <c r="F1121" i="5"/>
  <c r="F1120" i="5"/>
  <c r="F1119" i="5"/>
  <c r="F1118" i="5"/>
  <c r="F1117" i="5"/>
  <c r="F1116" i="5"/>
  <c r="F1115" i="5"/>
  <c r="F1114" i="5"/>
  <c r="F1113" i="5"/>
  <c r="F1112" i="5"/>
  <c r="F1111" i="5"/>
  <c r="F1110" i="5"/>
  <c r="F1109" i="5"/>
  <c r="F1108" i="5"/>
  <c r="F1107" i="5"/>
  <c r="F1106" i="5"/>
  <c r="F1105" i="5"/>
  <c r="F1104" i="5"/>
  <c r="F1103" i="5"/>
  <c r="F1102" i="5"/>
  <c r="F1101" i="5"/>
  <c r="F1100" i="5"/>
  <c r="F1099" i="5"/>
  <c r="F1098" i="5"/>
  <c r="F1097" i="5"/>
  <c r="F1096" i="5"/>
  <c r="F1095" i="5"/>
  <c r="F1094" i="5"/>
  <c r="F1093" i="5"/>
  <c r="F1092" i="5"/>
  <c r="F1091" i="5"/>
  <c r="F1090" i="5"/>
  <c r="F1089" i="5"/>
  <c r="F1088" i="5"/>
  <c r="F1087" i="5"/>
  <c r="F1086" i="5"/>
  <c r="F1085" i="5"/>
  <c r="F1084" i="5"/>
  <c r="F1083" i="5"/>
  <c r="F1082" i="5"/>
  <c r="F1081" i="5"/>
  <c r="F1080" i="5"/>
  <c r="F1079" i="5"/>
  <c r="F1078" i="5"/>
  <c r="F1077" i="5"/>
  <c r="F1076" i="5"/>
  <c r="F1075" i="5"/>
  <c r="F1074" i="5"/>
  <c r="F1073" i="5"/>
  <c r="F1072" i="5"/>
  <c r="F1071" i="5"/>
  <c r="F1070" i="5"/>
  <c r="F1069" i="5"/>
  <c r="F1068" i="5"/>
  <c r="F1067" i="5"/>
  <c r="F1066" i="5"/>
  <c r="F1065" i="5"/>
  <c r="F1064" i="5"/>
  <c r="F1063" i="5"/>
  <c r="F1062" i="5"/>
  <c r="F1061" i="5"/>
  <c r="F1060" i="5"/>
  <c r="F1059" i="5"/>
  <c r="F1058" i="5"/>
  <c r="F1057" i="5"/>
  <c r="F1056" i="5"/>
  <c r="F1055" i="5"/>
  <c r="F1054" i="5"/>
  <c r="F1053" i="5"/>
  <c r="F1052" i="5"/>
  <c r="F1051" i="5"/>
  <c r="F1050" i="5"/>
  <c r="F1049" i="5"/>
  <c r="F1048" i="5"/>
  <c r="F1047" i="5"/>
  <c r="F1046" i="5"/>
  <c r="F1045" i="5"/>
  <c r="F1044" i="5"/>
  <c r="F1043" i="5"/>
  <c r="F1042" i="5"/>
  <c r="F1041" i="5"/>
  <c r="F1040" i="5"/>
  <c r="F1039" i="5"/>
  <c r="F1038" i="5"/>
  <c r="F1037" i="5"/>
  <c r="F1036" i="5"/>
  <c r="F1035" i="5"/>
  <c r="F1034" i="5"/>
  <c r="F1033" i="5"/>
  <c r="F1032" i="5"/>
  <c r="F1031" i="5"/>
  <c r="F1030" i="5"/>
  <c r="F1029" i="5"/>
  <c r="F1028" i="5"/>
  <c r="F1027" i="5"/>
  <c r="F1026" i="5"/>
  <c r="F1025" i="5"/>
  <c r="F1024" i="5"/>
  <c r="F1023" i="5"/>
  <c r="F1022" i="5"/>
  <c r="F1021" i="5"/>
  <c r="F1020" i="5"/>
  <c r="F1019" i="5"/>
  <c r="F1018" i="5"/>
  <c r="F1017" i="5"/>
  <c r="F1016" i="5"/>
  <c r="F1015" i="5"/>
  <c r="F1014" i="5"/>
  <c r="F1013" i="5"/>
  <c r="F1012" i="5"/>
  <c r="F1011" i="5"/>
  <c r="F1010" i="5"/>
  <c r="F1009" i="5"/>
  <c r="F1008" i="5"/>
  <c r="F1007" i="5"/>
  <c r="F1006" i="5"/>
  <c r="F1005" i="5"/>
  <c r="F1004" i="5"/>
  <c r="F1003" i="5"/>
  <c r="F1002" i="5"/>
  <c r="F996" i="5"/>
  <c r="F995" i="5"/>
  <c r="F994" i="5"/>
  <c r="F993" i="5"/>
  <c r="F992" i="5"/>
  <c r="F991" i="5"/>
  <c r="F990" i="5"/>
  <c r="F989" i="5"/>
  <c r="F988" i="5"/>
  <c r="F987" i="5"/>
  <c r="F986" i="5"/>
  <c r="F985" i="5"/>
  <c r="F984" i="5"/>
  <c r="F983" i="5"/>
  <c r="F982" i="5"/>
  <c r="F981" i="5"/>
  <c r="F980" i="5"/>
  <c r="F979" i="5"/>
  <c r="F978" i="5"/>
  <c r="F977" i="5"/>
  <c r="F976" i="5"/>
  <c r="F975" i="5"/>
  <c r="F974" i="5"/>
  <c r="F973" i="5"/>
  <c r="F972" i="5"/>
  <c r="F971" i="5"/>
  <c r="F970" i="5"/>
  <c r="F969" i="5"/>
  <c r="F968" i="5"/>
  <c r="F967" i="5"/>
  <c r="F966" i="5"/>
  <c r="F965" i="5"/>
  <c r="F964" i="5"/>
  <c r="F963" i="5"/>
  <c r="F962" i="5"/>
  <c r="F961" i="5"/>
  <c r="F960" i="5"/>
  <c r="F959" i="5"/>
  <c r="F958" i="5"/>
  <c r="F957" i="5"/>
  <c r="F956" i="5"/>
  <c r="F955" i="5"/>
  <c r="F954" i="5"/>
  <c r="F953" i="5"/>
  <c r="F952" i="5"/>
  <c r="F951" i="5"/>
  <c r="F950" i="5"/>
  <c r="F949" i="5"/>
  <c r="F948" i="5"/>
  <c r="F947" i="5"/>
  <c r="F946" i="5"/>
  <c r="F945" i="5"/>
  <c r="F944" i="5"/>
  <c r="F943" i="5"/>
  <c r="F942" i="5"/>
  <c r="F941" i="5"/>
  <c r="F940" i="5"/>
  <c r="F939" i="5"/>
  <c r="F938" i="5"/>
  <c r="F937" i="5"/>
  <c r="F936" i="5"/>
  <c r="F935" i="5"/>
  <c r="F934" i="5"/>
  <c r="F933" i="5"/>
  <c r="F932" i="5"/>
  <c r="F931" i="5"/>
  <c r="F930" i="5"/>
  <c r="F929" i="5"/>
  <c r="F928" i="5"/>
  <c r="F927" i="5"/>
  <c r="F926" i="5"/>
  <c r="F925" i="5"/>
  <c r="F924" i="5"/>
  <c r="F923" i="5"/>
  <c r="F922" i="5"/>
  <c r="F921" i="5"/>
  <c r="F920" i="5"/>
  <c r="F919" i="5"/>
  <c r="F918" i="5"/>
  <c r="F917" i="5"/>
  <c r="F916" i="5"/>
  <c r="F915" i="5"/>
  <c r="F914" i="5"/>
  <c r="F913" i="5"/>
  <c r="F912" i="5"/>
  <c r="F911" i="5"/>
  <c r="F910" i="5"/>
  <c r="F909" i="5"/>
  <c r="F908" i="5"/>
  <c r="F907" i="5"/>
  <c r="F906" i="5"/>
  <c r="F905" i="5"/>
  <c r="F904" i="5"/>
  <c r="F903" i="5"/>
  <c r="F902" i="5"/>
  <c r="F901" i="5"/>
  <c r="F900" i="5"/>
  <c r="F899" i="5"/>
  <c r="F898" i="5"/>
  <c r="F897" i="5"/>
  <c r="F896" i="5"/>
  <c r="F895" i="5"/>
  <c r="F894" i="5"/>
  <c r="F893" i="5"/>
  <c r="F892" i="5"/>
  <c r="F891" i="5"/>
  <c r="F890" i="5"/>
  <c r="F889" i="5"/>
  <c r="F888" i="5"/>
  <c r="F887" i="5"/>
  <c r="F886" i="5"/>
  <c r="F885" i="5"/>
  <c r="F884" i="5"/>
  <c r="F883" i="5"/>
  <c r="F882" i="5"/>
  <c r="F881" i="5"/>
  <c r="F880" i="5"/>
  <c r="F879" i="5"/>
  <c r="F878" i="5"/>
  <c r="F877" i="5"/>
  <c r="F876" i="5"/>
  <c r="F875" i="5"/>
  <c r="F874" i="5"/>
  <c r="F873" i="5"/>
  <c r="F872" i="5"/>
  <c r="F871" i="5"/>
  <c r="F870" i="5"/>
  <c r="F869" i="5"/>
  <c r="F868" i="5"/>
  <c r="F867" i="5"/>
  <c r="F866" i="5"/>
  <c r="F865" i="5"/>
  <c r="F864" i="5"/>
  <c r="F863" i="5"/>
  <c r="F862" i="5"/>
  <c r="F861" i="5"/>
  <c r="F860" i="5"/>
  <c r="F859" i="5"/>
  <c r="F858" i="5"/>
  <c r="F857" i="5"/>
  <c r="F856" i="5"/>
  <c r="F855" i="5"/>
  <c r="F854" i="5"/>
  <c r="F853" i="5"/>
  <c r="F852" i="5"/>
  <c r="F851" i="5"/>
  <c r="F850" i="5"/>
  <c r="F849" i="5"/>
  <c r="F848" i="5"/>
  <c r="F847" i="5"/>
  <c r="F846" i="5"/>
  <c r="F845" i="5"/>
  <c r="F844" i="5"/>
  <c r="F843" i="5"/>
  <c r="F842" i="5"/>
  <c r="F841" i="5"/>
  <c r="F840" i="5"/>
  <c r="F839" i="5"/>
  <c r="F838" i="5"/>
  <c r="F837" i="5"/>
  <c r="F836" i="5"/>
  <c r="F835" i="5"/>
  <c r="F834" i="5"/>
  <c r="F833" i="5"/>
  <c r="F832" i="5"/>
  <c r="F831" i="5"/>
  <c r="F830" i="5"/>
  <c r="F829" i="5"/>
  <c r="F828" i="5"/>
  <c r="F827" i="5"/>
  <c r="F826" i="5"/>
  <c r="F825" i="5"/>
  <c r="F824" i="5"/>
  <c r="F823" i="5"/>
  <c r="F822" i="5"/>
  <c r="F821" i="5"/>
  <c r="F820" i="5"/>
  <c r="F819" i="5"/>
  <c r="F818" i="5"/>
  <c r="F817" i="5"/>
  <c r="F816" i="5"/>
  <c r="F815" i="5"/>
  <c r="F814" i="5"/>
  <c r="F813" i="5"/>
  <c r="F812" i="5"/>
  <c r="F811" i="5"/>
  <c r="F810" i="5"/>
  <c r="F809" i="5"/>
  <c r="F808" i="5"/>
  <c r="F807" i="5"/>
  <c r="F806" i="5"/>
  <c r="F805" i="5"/>
  <c r="F804" i="5"/>
  <c r="F803" i="5"/>
  <c r="F802" i="5"/>
  <c r="F801" i="5"/>
  <c r="F800" i="5"/>
  <c r="F799" i="5"/>
  <c r="F798" i="5"/>
  <c r="F797" i="5"/>
  <c r="F796" i="5"/>
  <c r="F795" i="5"/>
  <c r="F794" i="5"/>
  <c r="F793" i="5"/>
  <c r="F792" i="5"/>
  <c r="F791" i="5"/>
  <c r="F790" i="5"/>
  <c r="F789" i="5"/>
  <c r="F788" i="5"/>
  <c r="F787" i="5"/>
  <c r="F786" i="5"/>
  <c r="F782" i="5"/>
  <c r="F781" i="5"/>
  <c r="F780" i="5"/>
  <c r="F779" i="5"/>
  <c r="F778" i="5"/>
  <c r="F777" i="5"/>
  <c r="F776" i="5"/>
  <c r="F775" i="5"/>
  <c r="F774" i="5"/>
  <c r="F773" i="5"/>
  <c r="F772" i="5"/>
  <c r="F771" i="5"/>
  <c r="F770" i="5"/>
  <c r="F769" i="5"/>
  <c r="F768" i="5"/>
  <c r="F767" i="5"/>
  <c r="F766" i="5"/>
  <c r="F765" i="5"/>
  <c r="F764" i="5"/>
  <c r="F763" i="5"/>
  <c r="F762" i="5"/>
  <c r="F761" i="5"/>
  <c r="F760" i="5"/>
  <c r="F759" i="5"/>
  <c r="F758" i="5"/>
  <c r="F757" i="5"/>
  <c r="F756" i="5"/>
  <c r="F755" i="5"/>
  <c r="F754" i="5"/>
  <c r="F753" i="5"/>
  <c r="F752" i="5"/>
  <c r="F751" i="5"/>
  <c r="F750" i="5"/>
  <c r="F749" i="5"/>
  <c r="F748" i="5"/>
  <c r="F747" i="5"/>
  <c r="F746" i="5"/>
  <c r="F745" i="5"/>
  <c r="F744" i="5"/>
  <c r="F743" i="5"/>
  <c r="F742" i="5"/>
  <c r="F741" i="5"/>
  <c r="F740" i="5"/>
  <c r="F739" i="5"/>
  <c r="F738" i="5"/>
  <c r="F737" i="5"/>
  <c r="F736" i="5"/>
  <c r="F735" i="5"/>
  <c r="F734" i="5"/>
  <c r="F733" i="5"/>
  <c r="F732" i="5"/>
  <c r="F731" i="5"/>
  <c r="F730" i="5"/>
  <c r="F729" i="5"/>
  <c r="F728" i="5"/>
  <c r="F727" i="5"/>
  <c r="F726" i="5"/>
  <c r="F725" i="5"/>
  <c r="F724" i="5"/>
  <c r="F723" i="5"/>
  <c r="F722" i="5"/>
  <c r="F721" i="5"/>
  <c r="F720" i="5"/>
  <c r="F719" i="5"/>
  <c r="F718" i="5"/>
  <c r="F717" i="5"/>
  <c r="F716" i="5"/>
  <c r="F715" i="5"/>
  <c r="F714" i="5"/>
  <c r="F713" i="5"/>
  <c r="F712" i="5"/>
  <c r="F711" i="5"/>
  <c r="F710" i="5"/>
  <c r="F709" i="5"/>
  <c r="F708" i="5"/>
  <c r="F707" i="5"/>
  <c r="F706" i="5"/>
  <c r="F705" i="5"/>
  <c r="F704" i="5"/>
  <c r="F703" i="5"/>
  <c r="F702" i="5"/>
  <c r="F701" i="5"/>
  <c r="F700" i="5"/>
  <c r="F699" i="5"/>
  <c r="F698" i="5"/>
  <c r="F697" i="5"/>
  <c r="F696" i="5"/>
  <c r="F695" i="5"/>
  <c r="F694" i="5"/>
  <c r="F693" i="5"/>
  <c r="F692" i="5"/>
  <c r="F691" i="5"/>
  <c r="F690" i="5"/>
  <c r="F689" i="5"/>
  <c r="F688" i="5"/>
  <c r="F687" i="5"/>
  <c r="F686" i="5"/>
  <c r="F685" i="5"/>
  <c r="F684" i="5"/>
  <c r="F683" i="5"/>
  <c r="F682" i="5"/>
  <c r="F681" i="5"/>
  <c r="F680" i="5"/>
  <c r="F679" i="5"/>
  <c r="F678" i="5"/>
  <c r="F677" i="5"/>
  <c r="F676" i="5"/>
  <c r="F675" i="5"/>
  <c r="F674" i="5"/>
  <c r="F673" i="5"/>
  <c r="F672" i="5"/>
  <c r="F671" i="5"/>
  <c r="F670" i="5"/>
  <c r="F669" i="5"/>
  <c r="F668" i="5"/>
  <c r="F667" i="5"/>
  <c r="F666" i="5"/>
  <c r="F665" i="5"/>
  <c r="F664" i="5"/>
  <c r="F663" i="5"/>
  <c r="F662" i="5"/>
  <c r="F661" i="5"/>
  <c r="F660" i="5"/>
  <c r="F659" i="5"/>
  <c r="F658" i="5"/>
  <c r="F657" i="5"/>
  <c r="F656" i="5"/>
  <c r="F655" i="5"/>
  <c r="F654" i="5"/>
  <c r="F653" i="5"/>
  <c r="F652" i="5"/>
  <c r="F651" i="5"/>
  <c r="F650" i="5"/>
  <c r="F649" i="5"/>
  <c r="F648" i="5"/>
  <c r="F647" i="5"/>
  <c r="F646" i="5"/>
  <c r="F645" i="5"/>
  <c r="F644" i="5"/>
  <c r="F643" i="5"/>
  <c r="F642" i="5"/>
  <c r="F641" i="5"/>
  <c r="F640" i="5"/>
  <c r="F639" i="5"/>
  <c r="F638" i="5"/>
  <c r="F637" i="5"/>
  <c r="F636" i="5"/>
  <c r="F635" i="5"/>
  <c r="F634" i="5"/>
  <c r="F633" i="5"/>
  <c r="F632" i="5"/>
  <c r="F631" i="5"/>
  <c r="F630" i="5"/>
  <c r="F629" i="5"/>
  <c r="F628" i="5"/>
  <c r="F627" i="5"/>
  <c r="F626" i="5"/>
  <c r="F625" i="5"/>
  <c r="F624" i="5"/>
  <c r="F623" i="5"/>
  <c r="F622" i="5"/>
  <c r="F621" i="5"/>
  <c r="F620" i="5"/>
  <c r="F619" i="5"/>
  <c r="F618" i="5"/>
  <c r="F617" i="5"/>
  <c r="F616" i="5"/>
  <c r="F615" i="5"/>
  <c r="F614" i="5"/>
  <c r="F613" i="5"/>
  <c r="F612" i="5"/>
  <c r="F611" i="5"/>
  <c r="F610" i="5"/>
  <c r="F609" i="5"/>
  <c r="F608" i="5"/>
  <c r="F607" i="5"/>
  <c r="F606" i="5"/>
  <c r="F605" i="5"/>
  <c r="F604" i="5"/>
  <c r="F603" i="5"/>
  <c r="F602" i="5"/>
  <c r="F601" i="5"/>
  <c r="F600" i="5"/>
  <c r="F599" i="5"/>
  <c r="F598" i="5"/>
  <c r="F597" i="5"/>
  <c r="F596" i="5"/>
  <c r="F595" i="5"/>
  <c r="F594" i="5"/>
  <c r="F593" i="5"/>
  <c r="F592" i="5"/>
  <c r="F591" i="5"/>
  <c r="F590" i="5"/>
  <c r="F589" i="5"/>
  <c r="F588" i="5"/>
  <c r="F587" i="5"/>
  <c r="F586" i="5"/>
  <c r="F585" i="5"/>
  <c r="F584" i="5"/>
  <c r="F583" i="5"/>
  <c r="F582" i="5"/>
  <c r="F581" i="5"/>
  <c r="F580" i="5"/>
  <c r="F579" i="5"/>
  <c r="F578" i="5"/>
  <c r="F577" i="5"/>
  <c r="F576" i="5"/>
  <c r="F575" i="5"/>
  <c r="F574" i="5"/>
  <c r="F573" i="5"/>
  <c r="F572" i="5"/>
  <c r="F571" i="5"/>
  <c r="F570" i="5"/>
  <c r="F569" i="5"/>
  <c r="F568" i="5"/>
  <c r="F567" i="5"/>
  <c r="F566" i="5"/>
  <c r="F565" i="5"/>
  <c r="F564" i="5"/>
  <c r="F563" i="5"/>
  <c r="F562" i="5"/>
  <c r="F561" i="5"/>
  <c r="F560" i="5"/>
  <c r="F559" i="5"/>
  <c r="F558" i="5"/>
  <c r="F557" i="5"/>
  <c r="F556" i="5"/>
  <c r="F555" i="5"/>
  <c r="F554" i="5"/>
  <c r="F553" i="5"/>
  <c r="F552" i="5"/>
  <c r="F551" i="5"/>
  <c r="F550" i="5"/>
  <c r="F549" i="5"/>
  <c r="F548" i="5"/>
  <c r="F547" i="5"/>
  <c r="F546" i="5"/>
  <c r="F545" i="5"/>
  <c r="F544" i="5"/>
  <c r="F543" i="5"/>
  <c r="F542" i="5"/>
  <c r="F541" i="5"/>
  <c r="F540" i="5"/>
  <c r="F539" i="5"/>
  <c r="F538" i="5"/>
  <c r="F537" i="5"/>
  <c r="F536" i="5"/>
  <c r="F535" i="5"/>
  <c r="F534" i="5"/>
  <c r="F533" i="5"/>
  <c r="F532" i="5"/>
  <c r="F531" i="5"/>
  <c r="F530" i="5"/>
  <c r="F529" i="5"/>
  <c r="F528" i="5"/>
  <c r="F527" i="5"/>
  <c r="F526" i="5"/>
  <c r="F525" i="5"/>
  <c r="F524" i="5"/>
  <c r="F523" i="5"/>
  <c r="F522" i="5"/>
  <c r="F521" i="5"/>
  <c r="F520" i="5"/>
  <c r="F519" i="5"/>
  <c r="F518" i="5"/>
  <c r="F517" i="5"/>
  <c r="F516" i="5"/>
  <c r="F515" i="5"/>
  <c r="F514" i="5"/>
  <c r="F513" i="5"/>
  <c r="F512" i="5"/>
  <c r="F511" i="5"/>
  <c r="F510" i="5"/>
  <c r="F509" i="5"/>
  <c r="F508" i="5"/>
  <c r="F507" i="5"/>
  <c r="F506" i="5"/>
  <c r="F505" i="5"/>
  <c r="F504" i="5"/>
  <c r="F503" i="5"/>
  <c r="F502" i="5"/>
  <c r="F501" i="5"/>
  <c r="F500" i="5"/>
  <c r="F499" i="5"/>
  <c r="F498" i="5"/>
  <c r="F497" i="5"/>
  <c r="F496" i="5"/>
  <c r="F495" i="5"/>
  <c r="F494" i="5"/>
  <c r="F493" i="5"/>
  <c r="F492" i="5"/>
  <c r="F491" i="5"/>
  <c r="F490" i="5"/>
  <c r="F489" i="5"/>
  <c r="F488" i="5"/>
  <c r="F487" i="5"/>
  <c r="F486" i="5"/>
  <c r="F485" i="5"/>
  <c r="F484" i="5"/>
  <c r="F483" i="5"/>
  <c r="F482" i="5"/>
  <c r="F481" i="5"/>
  <c r="F480" i="5"/>
  <c r="F479" i="5"/>
  <c r="F478" i="5"/>
  <c r="F477" i="5"/>
  <c r="F476" i="5"/>
  <c r="F475" i="5"/>
  <c r="F474" i="5"/>
  <c r="F473" i="5"/>
  <c r="F472" i="5"/>
  <c r="F471" i="5"/>
  <c r="F470" i="5"/>
  <c r="F469" i="5"/>
  <c r="F468" i="5"/>
  <c r="F467" i="5"/>
  <c r="F466" i="5"/>
  <c r="F465" i="5"/>
  <c r="F464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F451" i="5"/>
  <c r="F450" i="5"/>
  <c r="F449" i="5"/>
  <c r="F448" i="5"/>
  <c r="F447" i="5"/>
  <c r="F446" i="5"/>
  <c r="F445" i="5"/>
  <c r="F444" i="5"/>
  <c r="F443" i="5"/>
  <c r="F442" i="5"/>
  <c r="F441" i="5"/>
  <c r="F440" i="5"/>
  <c r="F439" i="5"/>
  <c r="F438" i="5"/>
  <c r="F437" i="5"/>
  <c r="F436" i="5"/>
  <c r="F435" i="5"/>
  <c r="F434" i="5"/>
  <c r="F433" i="5"/>
  <c r="F432" i="5"/>
  <c r="F431" i="5"/>
  <c r="F430" i="5"/>
  <c r="F429" i="5"/>
  <c r="F428" i="5"/>
  <c r="F427" i="5"/>
  <c r="F426" i="5"/>
  <c r="F425" i="5"/>
  <c r="F424" i="5"/>
  <c r="F423" i="5"/>
  <c r="F422" i="5"/>
  <c r="F421" i="5"/>
  <c r="F420" i="5"/>
  <c r="F419" i="5"/>
  <c r="F418" i="5"/>
  <c r="F417" i="5"/>
  <c r="F416" i="5"/>
  <c r="F415" i="5"/>
  <c r="F414" i="5"/>
  <c r="F413" i="5"/>
  <c r="F412" i="5"/>
  <c r="F411" i="5"/>
  <c r="F410" i="5"/>
  <c r="F409" i="5"/>
  <c r="F408" i="5"/>
  <c r="F407" i="5"/>
  <c r="F406" i="5"/>
  <c r="F405" i="5"/>
  <c r="F404" i="5"/>
  <c r="F403" i="5"/>
  <c r="F402" i="5"/>
  <c r="F401" i="5"/>
  <c r="F400" i="5"/>
  <c r="F399" i="5"/>
  <c r="F398" i="5"/>
  <c r="F397" i="5"/>
  <c r="F396" i="5"/>
  <c r="F395" i="5"/>
  <c r="F394" i="5"/>
  <c r="F393" i="5"/>
  <c r="F392" i="5"/>
  <c r="F391" i="5"/>
  <c r="F390" i="5"/>
  <c r="F389" i="5"/>
  <c r="F388" i="5"/>
  <c r="F387" i="5"/>
  <c r="F386" i="5"/>
  <c r="F385" i="5"/>
  <c r="F384" i="5"/>
  <c r="F383" i="5"/>
  <c r="F382" i="5"/>
  <c r="F381" i="5"/>
  <c r="F380" i="5"/>
  <c r="F379" i="5"/>
  <c r="F378" i="5"/>
  <c r="F377" i="5"/>
  <c r="F376" i="5"/>
  <c r="F375" i="5"/>
  <c r="F374" i="5"/>
  <c r="F373" i="5"/>
  <c r="F372" i="5"/>
  <c r="F371" i="5"/>
  <c r="F370" i="5"/>
  <c r="F369" i="5"/>
  <c r="F368" i="5"/>
  <c r="F367" i="5"/>
  <c r="F366" i="5"/>
  <c r="F365" i="5"/>
  <c r="F364" i="5"/>
  <c r="F363" i="5"/>
  <c r="F362" i="5"/>
  <c r="F361" i="5"/>
  <c r="F360" i="5"/>
  <c r="F359" i="5"/>
  <c r="F358" i="5"/>
  <c r="F357" i="5"/>
  <c r="F356" i="5"/>
  <c r="F355" i="5"/>
  <c r="F354" i="5"/>
  <c r="F353" i="5"/>
  <c r="F352" i="5"/>
  <c r="F351" i="5"/>
  <c r="F350" i="5"/>
  <c r="F349" i="5"/>
  <c r="F348" i="5"/>
  <c r="F347" i="5"/>
  <c r="F346" i="5"/>
  <c r="F345" i="5"/>
  <c r="F344" i="5"/>
  <c r="F343" i="5"/>
  <c r="F342" i="5"/>
  <c r="F341" i="5"/>
  <c r="F340" i="5"/>
  <c r="F339" i="5"/>
  <c r="F338" i="5"/>
  <c r="F337" i="5"/>
  <c r="F336" i="5"/>
  <c r="F335" i="5"/>
  <c r="F334" i="5"/>
  <c r="F333" i="5"/>
  <c r="F332" i="5"/>
  <c r="F331" i="5"/>
  <c r="F330" i="5"/>
  <c r="F329" i="5"/>
  <c r="F328" i="5"/>
  <c r="F327" i="5"/>
  <c r="F326" i="5"/>
  <c r="F325" i="5"/>
  <c r="F324" i="5"/>
  <c r="F323" i="5"/>
  <c r="F322" i="5"/>
  <c r="F321" i="5"/>
  <c r="F320" i="5"/>
  <c r="F319" i="5"/>
  <c r="F318" i="5"/>
  <c r="F317" i="5"/>
  <c r="F316" i="5"/>
  <c r="F315" i="5"/>
  <c r="F314" i="5"/>
  <c r="F313" i="5"/>
  <c r="F312" i="5"/>
  <c r="F311" i="5"/>
  <c r="F310" i="5"/>
  <c r="F309" i="5"/>
  <c r="F308" i="5"/>
  <c r="F307" i="5"/>
  <c r="F306" i="5"/>
  <c r="F305" i="5"/>
  <c r="F304" i="5"/>
  <c r="F303" i="5"/>
  <c r="F302" i="5"/>
  <c r="F301" i="5"/>
  <c r="F300" i="5"/>
  <c r="F299" i="5"/>
  <c r="F298" i="5"/>
  <c r="F297" i="5"/>
  <c r="F296" i="5"/>
  <c r="F295" i="5"/>
  <c r="F294" i="5"/>
  <c r="F293" i="5"/>
  <c r="F292" i="5"/>
  <c r="F291" i="5"/>
  <c r="F290" i="5"/>
  <c r="F289" i="5"/>
  <c r="F288" i="5"/>
  <c r="F287" i="5"/>
  <c r="F286" i="5"/>
  <c r="F285" i="5"/>
  <c r="F284" i="5"/>
  <c r="F283" i="5"/>
  <c r="F282" i="5"/>
  <c r="F281" i="5"/>
  <c r="F280" i="5"/>
  <c r="F279" i="5"/>
  <c r="F278" i="5"/>
  <c r="F277" i="5"/>
  <c r="F276" i="5"/>
  <c r="F275" i="5"/>
  <c r="F274" i="5"/>
  <c r="F273" i="5"/>
  <c r="F272" i="5"/>
  <c r="F271" i="5"/>
  <c r="F270" i="5"/>
  <c r="F269" i="5"/>
  <c r="F268" i="5"/>
  <c r="F267" i="5"/>
  <c r="F266" i="5"/>
  <c r="F265" i="5"/>
  <c r="F264" i="5"/>
  <c r="F263" i="5"/>
  <c r="F262" i="5"/>
  <c r="F261" i="5"/>
  <c r="F260" i="5"/>
  <c r="F259" i="5"/>
  <c r="F258" i="5"/>
  <c r="F257" i="5"/>
  <c r="F256" i="5"/>
  <c r="F255" i="5"/>
  <c r="F254" i="5"/>
  <c r="F253" i="5"/>
  <c r="F252" i="5"/>
  <c r="F251" i="5"/>
  <c r="F250" i="5"/>
  <c r="F249" i="5"/>
  <c r="F248" i="5"/>
  <c r="F247" i="5"/>
  <c r="F246" i="5"/>
  <c r="F245" i="5"/>
  <c r="F244" i="5"/>
  <c r="F243" i="5"/>
  <c r="F242" i="5"/>
  <c r="F241" i="5"/>
  <c r="F240" i="5"/>
  <c r="F239" i="5"/>
  <c r="F238" i="5"/>
  <c r="F237" i="5"/>
  <c r="F236" i="5"/>
  <c r="F235" i="5"/>
  <c r="F234" i="5"/>
  <c r="F233" i="5"/>
  <c r="F232" i="5"/>
  <c r="F231" i="5"/>
  <c r="F230" i="5"/>
  <c r="F229" i="5"/>
  <c r="F228" i="5"/>
  <c r="F227" i="5"/>
  <c r="F226" i="5"/>
  <c r="F225" i="5"/>
  <c r="F224" i="5"/>
  <c r="F223" i="5"/>
  <c r="F222" i="5"/>
  <c r="F221" i="5"/>
  <c r="F220" i="5"/>
  <c r="F219" i="5"/>
  <c r="F218" i="5"/>
  <c r="F217" i="5"/>
  <c r="F216" i="5"/>
  <c r="F215" i="5"/>
  <c r="F214" i="5"/>
  <c r="F213" i="5"/>
  <c r="F212" i="5"/>
  <c r="F211" i="5"/>
  <c r="F210" i="5"/>
  <c r="F209" i="5"/>
  <c r="F208" i="5"/>
  <c r="F207" i="5"/>
  <c r="F206" i="5"/>
  <c r="F205" i="5"/>
  <c r="F204" i="5"/>
  <c r="F203" i="5"/>
  <c r="F202" i="5"/>
  <c r="F201" i="5"/>
  <c r="F200" i="5"/>
  <c r="F199" i="5"/>
  <c r="F198" i="5"/>
  <c r="F197" i="5"/>
  <c r="F196" i="5"/>
  <c r="F195" i="5"/>
  <c r="F194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F181" i="5"/>
  <c r="F180" i="5"/>
  <c r="F179" i="5"/>
  <c r="F178" i="5"/>
  <c r="F177" i="5"/>
  <c r="F176" i="5"/>
  <c r="F175" i="5"/>
  <c r="F174" i="5"/>
  <c r="F173" i="5"/>
  <c r="F172" i="5"/>
  <c r="F171" i="5"/>
  <c r="F170" i="5"/>
  <c r="F169" i="5"/>
  <c r="F168" i="5"/>
  <c r="F167" i="5"/>
  <c r="F166" i="5"/>
  <c r="F165" i="5"/>
  <c r="F164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F151" i="5"/>
  <c r="F150" i="5"/>
  <c r="F149" i="5"/>
  <c r="F148" i="5"/>
  <c r="F147" i="5"/>
  <c r="F146" i="5"/>
  <c r="F145" i="5"/>
  <c r="F144" i="5"/>
  <c r="F143" i="5"/>
  <c r="F142" i="5"/>
  <c r="F141" i="5"/>
  <c r="F140" i="5"/>
  <c r="F139" i="5"/>
  <c r="F138" i="5"/>
  <c r="F137" i="5"/>
  <c r="F136" i="5"/>
  <c r="F135" i="5"/>
  <c r="F134" i="5"/>
  <c r="F133" i="5"/>
  <c r="F132" i="5"/>
  <c r="F131" i="5"/>
  <c r="F130" i="5"/>
  <c r="F129" i="5"/>
  <c r="F128" i="5"/>
  <c r="F127" i="5"/>
  <c r="F126" i="5"/>
  <c r="F125" i="5"/>
  <c r="F124" i="5"/>
  <c r="F123" i="5"/>
  <c r="F122" i="5"/>
  <c r="F121" i="5"/>
  <c r="F120" i="5"/>
  <c r="F119" i="5"/>
  <c r="F118" i="5"/>
  <c r="F117" i="5"/>
  <c r="F116" i="5"/>
  <c r="F115" i="5"/>
  <c r="F114" i="5"/>
  <c r="F113" i="5"/>
  <c r="F112" i="5"/>
  <c r="F111" i="5"/>
  <c r="F110" i="5"/>
  <c r="F109" i="5"/>
  <c r="F108" i="5"/>
  <c r="F107" i="5"/>
  <c r="F106" i="5"/>
  <c r="F105" i="5"/>
  <c r="F104" i="5"/>
  <c r="F103" i="5"/>
  <c r="F102" i="5"/>
  <c r="F101" i="5"/>
  <c r="F100" i="5"/>
  <c r="F99" i="5"/>
  <c r="F98" i="5"/>
  <c r="F97" i="5"/>
  <c r="F96" i="5"/>
  <c r="F95" i="5"/>
  <c r="F94" i="5"/>
  <c r="F93" i="5"/>
  <c r="F92" i="5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G1729" i="4"/>
  <c r="F1729" i="4"/>
  <c r="G1728" i="4"/>
  <c r="F1728" i="4"/>
  <c r="G1727" i="4"/>
  <c r="F1727" i="4"/>
  <c r="G1726" i="4"/>
  <c r="F1726" i="4"/>
  <c r="G1725" i="4"/>
  <c r="F1725" i="4"/>
  <c r="G1724" i="4"/>
  <c r="F1724" i="4"/>
  <c r="G1723" i="4"/>
  <c r="F1723" i="4"/>
  <c r="G1722" i="4"/>
  <c r="F1722" i="4"/>
  <c r="G1721" i="4"/>
  <c r="F1721" i="4"/>
  <c r="G1720" i="4"/>
  <c r="F1720" i="4"/>
  <c r="G1719" i="4"/>
  <c r="F1719" i="4"/>
  <c r="G1718" i="4"/>
  <c r="F1718" i="4"/>
  <c r="G1717" i="4"/>
  <c r="F1717" i="4"/>
  <c r="G1716" i="4"/>
  <c r="F1716" i="4"/>
  <c r="G1715" i="4"/>
  <c r="F1715" i="4"/>
  <c r="G1714" i="4"/>
  <c r="F1714" i="4"/>
  <c r="G1713" i="4"/>
  <c r="F1713" i="4"/>
  <c r="G1712" i="4"/>
  <c r="F1712" i="4"/>
  <c r="G1711" i="4"/>
  <c r="F1711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G1710" i="4"/>
  <c r="F1710" i="4"/>
  <c r="G1709" i="4"/>
  <c r="F1709" i="4"/>
  <c r="G1708" i="4"/>
  <c r="F1708" i="4"/>
  <c r="G1707" i="4"/>
  <c r="F1707" i="4"/>
  <c r="G1706" i="4"/>
  <c r="F1706" i="4"/>
  <c r="G1705" i="4"/>
  <c r="F1705" i="4"/>
  <c r="G1704" i="4"/>
  <c r="F1704" i="4"/>
  <c r="G1703" i="4"/>
  <c r="F1703" i="4"/>
  <c r="G1702" i="4"/>
  <c r="F1702" i="4"/>
  <c r="G1701" i="4"/>
  <c r="F1701" i="4"/>
  <c r="G1700" i="4"/>
  <c r="F1700" i="4"/>
  <c r="G1699" i="4"/>
  <c r="F1699" i="4"/>
  <c r="G1698" i="4"/>
  <c r="F1698" i="4"/>
  <c r="G1697" i="4"/>
  <c r="F1697" i="4"/>
  <c r="G1696" i="4"/>
  <c r="F1696" i="4"/>
  <c r="G1695" i="4"/>
  <c r="F1695" i="4"/>
  <c r="G1694" i="4"/>
  <c r="F1694" i="4"/>
  <c r="G1693" i="4"/>
  <c r="F1693" i="4"/>
  <c r="G1692" i="4"/>
  <c r="F1692" i="4"/>
  <c r="G1691" i="4"/>
  <c r="F1691" i="4"/>
  <c r="G1690" i="4"/>
  <c r="F1690" i="4"/>
  <c r="G1689" i="4"/>
  <c r="F1689" i="4"/>
  <c r="G1688" i="4"/>
  <c r="F1688" i="4"/>
  <c r="G1687" i="4"/>
  <c r="F1687" i="4"/>
  <c r="G1686" i="4"/>
  <c r="F1686" i="4"/>
  <c r="G1685" i="4"/>
  <c r="F1685" i="4"/>
  <c r="G1684" i="4"/>
  <c r="F1684" i="4"/>
  <c r="G1683" i="4"/>
  <c r="F1683" i="4"/>
  <c r="G1682" i="4"/>
  <c r="F1682" i="4"/>
  <c r="G1681" i="4"/>
  <c r="F1681" i="4"/>
  <c r="G1680" i="4"/>
  <c r="F1680" i="4"/>
  <c r="G1679" i="4"/>
  <c r="F1679" i="4"/>
  <c r="G1678" i="4"/>
  <c r="F1678" i="4"/>
  <c r="G1677" i="4"/>
  <c r="F1677" i="4"/>
  <c r="G1676" i="4"/>
  <c r="F1676" i="4"/>
  <c r="G1675" i="4"/>
  <c r="F1675" i="4"/>
  <c r="G1674" i="4"/>
  <c r="F1674" i="4"/>
  <c r="G1673" i="4"/>
  <c r="F1673" i="4"/>
  <c r="G1672" i="4"/>
  <c r="F1672" i="4"/>
  <c r="G1671" i="4"/>
  <c r="F1671" i="4"/>
  <c r="G1670" i="4"/>
  <c r="F1670" i="4"/>
  <c r="G1669" i="4"/>
  <c r="F1669" i="4"/>
  <c r="G1668" i="4"/>
  <c r="F1668" i="4"/>
  <c r="G1667" i="4"/>
  <c r="F1667" i="4"/>
  <c r="G1666" i="4"/>
  <c r="F1666" i="4"/>
  <c r="G1665" i="4"/>
  <c r="F1665" i="4"/>
  <c r="G1664" i="4"/>
  <c r="F1664" i="4"/>
  <c r="G1663" i="4"/>
  <c r="F1663" i="4"/>
  <c r="G1662" i="4"/>
  <c r="F1662" i="4"/>
  <c r="G1661" i="4"/>
  <c r="F1661" i="4"/>
  <c r="G1660" i="4"/>
  <c r="F1660" i="4"/>
  <c r="G1659" i="4"/>
  <c r="F1659" i="4"/>
  <c r="G1658" i="4"/>
  <c r="F1658" i="4"/>
  <c r="G1657" i="4"/>
  <c r="F1657" i="4"/>
  <c r="G1656" i="4"/>
  <c r="F1656" i="4"/>
  <c r="G1655" i="4"/>
  <c r="F1655" i="4"/>
  <c r="G1654" i="4"/>
  <c r="F1654" i="4"/>
  <c r="G1653" i="4"/>
  <c r="F1653" i="4"/>
  <c r="G1652" i="4"/>
  <c r="F1652" i="4"/>
  <c r="G1651" i="4"/>
  <c r="F1651" i="4"/>
  <c r="G1650" i="4"/>
  <c r="F1650" i="4"/>
  <c r="G1649" i="4"/>
  <c r="F1649" i="4"/>
  <c r="G1648" i="4"/>
  <c r="F1648" i="4"/>
  <c r="G1647" i="4"/>
  <c r="F1647" i="4"/>
  <c r="G1646" i="4"/>
  <c r="F1646" i="4"/>
  <c r="G1645" i="4"/>
  <c r="F1645" i="4"/>
  <c r="G1644" i="4"/>
  <c r="F1644" i="4"/>
  <c r="G1643" i="4"/>
  <c r="F1643" i="4"/>
  <c r="G1642" i="4"/>
  <c r="F1642" i="4"/>
  <c r="G1641" i="4"/>
  <c r="F1641" i="4"/>
  <c r="G1640" i="4"/>
  <c r="F1640" i="4"/>
  <c r="G1639" i="4"/>
  <c r="F1639" i="4"/>
  <c r="G1638" i="4"/>
  <c r="F1638" i="4"/>
  <c r="G1637" i="4"/>
  <c r="F1637" i="4"/>
  <c r="G1636" i="4"/>
  <c r="F1636" i="4"/>
  <c r="G1635" i="4"/>
  <c r="F1635" i="4"/>
  <c r="G1634" i="4"/>
  <c r="F1634" i="4"/>
  <c r="G1633" i="4"/>
  <c r="F1633" i="4"/>
  <c r="G1632" i="4"/>
  <c r="F1632" i="4"/>
  <c r="G1631" i="4"/>
  <c r="F1631" i="4"/>
  <c r="G1630" i="4"/>
  <c r="F1630" i="4"/>
  <c r="G1629" i="4"/>
  <c r="F1629" i="4"/>
  <c r="G1628" i="4"/>
  <c r="F1628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G1627" i="4"/>
  <c r="F1627" i="4"/>
  <c r="G1626" i="4"/>
  <c r="F1626" i="4"/>
  <c r="G1625" i="4"/>
  <c r="F1625" i="4"/>
  <c r="G1624" i="4"/>
  <c r="F1624" i="4"/>
  <c r="G1623" i="4"/>
  <c r="F1623" i="4"/>
  <c r="G1622" i="4"/>
  <c r="F1622" i="4"/>
  <c r="G1621" i="4"/>
  <c r="F1621" i="4"/>
  <c r="G1620" i="4"/>
  <c r="F1620" i="4"/>
  <c r="G1619" i="4"/>
  <c r="F1619" i="4"/>
  <c r="G1618" i="4"/>
  <c r="F1618" i="4"/>
  <c r="G1617" i="4"/>
  <c r="F1617" i="4"/>
  <c r="G1616" i="4"/>
  <c r="F1616" i="4"/>
  <c r="G1615" i="4"/>
  <c r="F1615" i="4"/>
  <c r="G1614" i="4"/>
  <c r="F1614" i="4"/>
  <c r="G1613" i="4"/>
  <c r="F1613" i="4"/>
  <c r="G1612" i="4"/>
  <c r="F1612" i="4"/>
  <c r="G1611" i="4"/>
  <c r="F1611" i="4"/>
  <c r="G1610" i="4"/>
  <c r="F1610" i="4"/>
  <c r="G1609" i="4"/>
  <c r="F1609" i="4"/>
  <c r="G1608" i="4"/>
  <c r="F1608" i="4"/>
  <c r="G1607" i="4"/>
  <c r="F1607" i="4"/>
  <c r="G1606" i="4"/>
  <c r="F1606" i="4"/>
  <c r="G1605" i="4"/>
  <c r="F1605" i="4"/>
  <c r="G1604" i="4"/>
  <c r="F1604" i="4"/>
  <c r="G1603" i="4"/>
  <c r="F1603" i="4"/>
  <c r="G1602" i="4"/>
  <c r="F1602" i="4"/>
  <c r="G1601" i="4"/>
  <c r="F1601" i="4"/>
  <c r="G1600" i="4"/>
  <c r="F1600" i="4"/>
  <c r="G1599" i="4"/>
  <c r="F1599" i="4"/>
  <c r="G1598" i="4"/>
  <c r="F1598" i="4"/>
  <c r="G1597" i="4"/>
  <c r="F1597" i="4"/>
  <c r="G1596" i="4"/>
  <c r="F1596" i="4"/>
  <c r="G1595" i="4"/>
  <c r="F1595" i="4"/>
  <c r="G1594" i="4"/>
  <c r="F1594" i="4"/>
  <c r="G1593" i="4"/>
  <c r="F1593" i="4"/>
  <c r="G1592" i="4"/>
  <c r="F1592" i="4"/>
  <c r="G1591" i="4"/>
  <c r="F1591" i="4"/>
  <c r="G1590" i="4"/>
  <c r="F1590" i="4"/>
  <c r="G1589" i="4"/>
  <c r="F1589" i="4"/>
  <c r="G1588" i="4"/>
  <c r="F1588" i="4"/>
  <c r="G1587" i="4"/>
  <c r="F1587" i="4"/>
  <c r="G1586" i="4"/>
  <c r="F1586" i="4"/>
  <c r="G1585" i="4"/>
  <c r="F1585" i="4"/>
  <c r="G1584" i="4"/>
  <c r="F1584" i="4"/>
  <c r="G1583" i="4"/>
  <c r="F1583" i="4"/>
  <c r="G1582" i="4"/>
  <c r="F1582" i="4"/>
  <c r="G1581" i="4"/>
  <c r="F1581" i="4"/>
  <c r="G1580" i="4"/>
  <c r="F1580" i="4"/>
  <c r="G1579" i="4"/>
  <c r="F1579" i="4"/>
  <c r="G1578" i="4"/>
  <c r="F1578" i="4"/>
  <c r="G1577" i="4"/>
  <c r="F1577" i="4"/>
  <c r="G1576" i="4"/>
  <c r="F1576" i="4"/>
  <c r="G1575" i="4"/>
  <c r="F1575" i="4"/>
  <c r="G1574" i="4"/>
  <c r="F1574" i="4"/>
  <c r="G1573" i="4"/>
  <c r="F1573" i="4"/>
  <c r="G1572" i="4"/>
  <c r="F1572" i="4"/>
  <c r="G1571" i="4"/>
  <c r="F1571" i="4"/>
  <c r="G1570" i="4"/>
  <c r="F1570" i="4"/>
  <c r="G1569" i="4"/>
  <c r="F1569" i="4"/>
  <c r="G1568" i="4"/>
  <c r="F1568" i="4"/>
  <c r="G1567" i="4"/>
  <c r="F1567" i="4"/>
  <c r="G1566" i="4"/>
  <c r="F1566" i="4"/>
  <c r="G1565" i="4"/>
  <c r="F1565" i="4"/>
  <c r="G1564" i="4"/>
  <c r="F1564" i="4"/>
  <c r="G1563" i="4"/>
  <c r="F1563" i="4"/>
  <c r="G1562" i="4"/>
  <c r="F1562" i="4"/>
  <c r="G1561" i="4"/>
  <c r="F1561" i="4"/>
  <c r="G1560" i="4"/>
  <c r="F1560" i="4"/>
  <c r="G1559" i="4"/>
  <c r="F1559" i="4"/>
  <c r="G1558" i="4"/>
  <c r="F1558" i="4"/>
  <c r="G1557" i="4"/>
  <c r="F1557" i="4"/>
  <c r="G1556" i="4"/>
  <c r="F1556" i="4"/>
  <c r="G1555" i="4"/>
  <c r="F1555" i="4"/>
  <c r="G1554" i="4"/>
  <c r="F1554" i="4"/>
  <c r="G1553" i="4"/>
  <c r="F1553" i="4"/>
  <c r="G1552" i="4"/>
  <c r="F1552" i="4"/>
  <c r="G1551" i="4"/>
  <c r="F1551" i="4"/>
  <c r="G1550" i="4"/>
  <c r="F1550" i="4"/>
  <c r="G1549" i="4"/>
  <c r="F1549" i="4"/>
  <c r="G1548" i="4"/>
  <c r="F1548" i="4"/>
  <c r="G1547" i="4"/>
  <c r="F1547" i="4"/>
  <c r="G1546" i="4"/>
  <c r="F1546" i="4"/>
  <c r="G1545" i="4"/>
  <c r="F1545" i="4"/>
  <c r="G1544" i="4"/>
  <c r="F1544" i="4"/>
  <c r="G1543" i="4"/>
  <c r="F1543" i="4"/>
  <c r="G1542" i="4"/>
  <c r="F1542" i="4"/>
  <c r="G1541" i="4"/>
  <c r="F1541" i="4"/>
  <c r="G1540" i="4"/>
  <c r="F1540" i="4"/>
  <c r="G1539" i="4"/>
  <c r="F1539" i="4"/>
  <c r="G1538" i="4"/>
  <c r="F1538" i="4"/>
  <c r="G1537" i="4"/>
  <c r="F1537" i="4"/>
  <c r="G1536" i="4"/>
  <c r="F1536" i="4"/>
  <c r="G1535" i="4"/>
  <c r="F1535" i="4"/>
  <c r="G1534" i="4"/>
  <c r="F1534" i="4"/>
  <c r="G1533" i="4"/>
  <c r="F1533" i="4"/>
  <c r="G1532" i="4"/>
  <c r="F1532" i="4"/>
  <c r="G1531" i="4"/>
  <c r="F1531" i="4"/>
  <c r="G1530" i="4"/>
  <c r="F1530" i="4"/>
  <c r="G1529" i="4"/>
  <c r="F1529" i="4"/>
  <c r="G1528" i="4"/>
  <c r="F1528" i="4"/>
  <c r="G1527" i="4"/>
  <c r="F1527" i="4"/>
  <c r="G1526" i="4"/>
  <c r="F1526" i="4"/>
  <c r="G1525" i="4"/>
  <c r="F1525" i="4"/>
  <c r="G1524" i="4"/>
  <c r="F1524" i="4"/>
  <c r="G1523" i="4"/>
  <c r="F1523" i="4"/>
  <c r="G1522" i="4"/>
  <c r="F1522" i="4"/>
  <c r="G1521" i="4"/>
  <c r="F1521" i="4"/>
  <c r="G1520" i="4"/>
  <c r="F1520" i="4"/>
  <c r="G1519" i="4"/>
  <c r="F1519" i="4"/>
  <c r="G1518" i="4"/>
  <c r="F1518" i="4"/>
  <c r="G1517" i="4"/>
  <c r="F1517" i="4"/>
  <c r="G1516" i="4"/>
  <c r="F1516" i="4"/>
  <c r="G1515" i="4"/>
  <c r="F1515" i="4"/>
  <c r="G1514" i="4"/>
  <c r="F1514" i="4"/>
  <c r="G1513" i="4"/>
  <c r="F1513" i="4"/>
  <c r="G1512" i="4"/>
  <c r="F1512" i="4"/>
  <c r="G1511" i="4"/>
  <c r="F1511" i="4"/>
  <c r="G1510" i="4"/>
  <c r="F1510" i="4"/>
  <c r="G1509" i="4"/>
  <c r="F1509" i="4"/>
  <c r="G1508" i="4"/>
  <c r="F1508" i="4"/>
  <c r="G1507" i="4"/>
  <c r="F1507" i="4"/>
  <c r="G1506" i="4"/>
  <c r="F1506" i="4"/>
  <c r="G1505" i="4"/>
  <c r="F1505" i="4"/>
  <c r="G1504" i="4"/>
  <c r="F1504" i="4"/>
  <c r="G1503" i="4"/>
  <c r="F1503" i="4"/>
  <c r="G1502" i="4"/>
  <c r="F1502" i="4"/>
  <c r="G1501" i="4"/>
  <c r="F1501" i="4"/>
  <c r="G1500" i="4"/>
  <c r="F1500" i="4"/>
  <c r="G1499" i="4"/>
  <c r="F1499" i="4"/>
  <c r="G1498" i="4"/>
  <c r="F1498" i="4"/>
  <c r="G1497" i="4"/>
  <c r="F1497" i="4"/>
  <c r="G1496" i="4"/>
  <c r="F1496" i="4"/>
  <c r="G1495" i="4"/>
  <c r="F1495" i="4"/>
  <c r="G1494" i="4"/>
  <c r="F1494" i="4"/>
  <c r="G1493" i="4"/>
  <c r="F1493" i="4"/>
  <c r="G1492" i="4"/>
  <c r="F1492" i="4"/>
  <c r="G1491" i="4"/>
  <c r="F1491" i="4"/>
  <c r="G1490" i="4"/>
  <c r="F1490" i="4"/>
  <c r="G1489" i="4"/>
  <c r="F1489" i="4"/>
  <c r="G1488" i="4"/>
  <c r="F1488" i="4"/>
  <c r="G1487" i="4"/>
  <c r="F1487" i="4"/>
  <c r="G1486" i="4"/>
  <c r="F1486" i="4"/>
  <c r="G1485" i="4"/>
  <c r="F1485" i="4"/>
  <c r="G1484" i="4"/>
  <c r="F1484" i="4"/>
  <c r="G1483" i="4"/>
  <c r="F1483" i="4"/>
  <c r="G1482" i="4"/>
  <c r="F1482" i="4"/>
  <c r="G1481" i="4"/>
  <c r="F1481" i="4"/>
  <c r="G1480" i="4"/>
  <c r="F1480" i="4"/>
  <c r="G1479" i="4"/>
  <c r="F1479" i="4"/>
  <c r="G1478" i="4"/>
  <c r="F1478" i="4"/>
  <c r="G1477" i="4"/>
  <c r="F1477" i="4"/>
  <c r="G1476" i="4"/>
  <c r="F1476" i="4"/>
  <c r="G1475" i="4"/>
  <c r="F1475" i="4"/>
  <c r="G1474" i="4"/>
  <c r="F1474" i="4"/>
  <c r="G1473" i="4"/>
  <c r="F1473" i="4"/>
  <c r="G1472" i="4"/>
  <c r="F1472" i="4"/>
  <c r="G1471" i="4"/>
  <c r="F1471" i="4"/>
  <c r="G1470" i="4"/>
  <c r="F1470" i="4"/>
  <c r="G1469" i="4"/>
  <c r="F1469" i="4"/>
  <c r="G1468" i="4"/>
  <c r="F1468" i="4"/>
  <c r="G1467" i="4"/>
  <c r="F1467" i="4"/>
  <c r="G1466" i="4"/>
  <c r="F1466" i="4"/>
  <c r="G1465" i="4"/>
  <c r="F1465" i="4"/>
  <c r="G1464" i="4"/>
  <c r="F1464" i="4"/>
  <c r="G1463" i="4"/>
  <c r="F1463" i="4"/>
  <c r="G1462" i="4"/>
  <c r="F1462" i="4"/>
  <c r="G1461" i="4"/>
  <c r="F1461" i="4"/>
  <c r="G1460" i="4"/>
  <c r="F1460" i="4"/>
  <c r="G1459" i="4"/>
  <c r="F1459" i="4"/>
  <c r="G1458" i="4"/>
  <c r="F1458" i="4"/>
  <c r="G1457" i="4"/>
  <c r="F1457" i="4"/>
  <c r="G1456" i="4"/>
  <c r="F1456" i="4"/>
  <c r="G1455" i="4"/>
  <c r="F1455" i="4"/>
  <c r="G1454" i="4"/>
  <c r="F1454" i="4"/>
  <c r="G1453" i="4"/>
  <c r="F1453" i="4"/>
  <c r="G1452" i="4"/>
  <c r="F1452" i="4"/>
  <c r="G1451" i="4"/>
  <c r="F1451" i="4"/>
  <c r="G1450" i="4"/>
  <c r="F1450" i="4"/>
  <c r="G1449" i="4"/>
  <c r="F1449" i="4"/>
  <c r="G1448" i="4"/>
  <c r="F1448" i="4"/>
  <c r="G1447" i="4"/>
  <c r="F1447" i="4"/>
  <c r="G1446" i="4"/>
  <c r="F1446" i="4"/>
  <c r="G1445" i="4"/>
  <c r="F1445" i="4"/>
  <c r="G1444" i="4"/>
  <c r="F1444" i="4"/>
  <c r="G1443" i="4"/>
  <c r="F1443" i="4"/>
  <c r="G1442" i="4"/>
  <c r="F1442" i="4"/>
  <c r="G1441" i="4"/>
  <c r="F1441" i="4"/>
  <c r="G1440" i="4"/>
  <c r="F1440" i="4"/>
  <c r="G1439" i="4"/>
  <c r="F1439" i="4"/>
  <c r="G1438" i="4"/>
  <c r="F1438" i="4"/>
  <c r="G1437" i="4"/>
  <c r="F1437" i="4"/>
  <c r="G1436" i="4"/>
  <c r="F1436" i="4"/>
  <c r="G1435" i="4"/>
  <c r="F1435" i="4"/>
  <c r="G1434" i="4"/>
  <c r="F1434" i="4"/>
  <c r="G1433" i="4"/>
  <c r="F1433" i="4"/>
  <c r="G1432" i="4"/>
  <c r="F1432" i="4"/>
  <c r="G1431" i="4"/>
  <c r="F1431" i="4"/>
  <c r="G1430" i="4"/>
  <c r="F1430" i="4"/>
  <c r="G1429" i="4"/>
  <c r="F1429" i="4"/>
  <c r="G1428" i="4"/>
  <c r="F1428" i="4"/>
  <c r="G1427" i="4"/>
  <c r="F1427" i="4"/>
  <c r="G1426" i="4"/>
  <c r="F1426" i="4"/>
  <c r="G1425" i="4"/>
  <c r="F1425" i="4"/>
  <c r="G1424" i="4"/>
  <c r="F1424" i="4"/>
  <c r="G1423" i="4"/>
  <c r="F1423" i="4"/>
  <c r="G1422" i="4"/>
  <c r="F1422" i="4"/>
  <c r="G1421" i="4"/>
  <c r="F1421" i="4"/>
  <c r="G1420" i="4"/>
  <c r="F1420" i="4"/>
  <c r="G1419" i="4"/>
  <c r="F1419" i="4"/>
  <c r="G1418" i="4"/>
  <c r="F1418" i="4"/>
  <c r="G1417" i="4"/>
  <c r="F1417" i="4"/>
  <c r="G1416" i="4"/>
  <c r="F1416" i="4"/>
  <c r="G1415" i="4"/>
  <c r="F1415" i="4"/>
  <c r="G1414" i="4"/>
  <c r="F1414" i="4"/>
  <c r="G1413" i="4"/>
  <c r="F1413" i="4"/>
  <c r="G1412" i="4"/>
  <c r="F1412" i="4"/>
  <c r="G1411" i="4"/>
  <c r="F1411" i="4"/>
  <c r="G1410" i="4"/>
  <c r="F1410" i="4"/>
  <c r="G1409" i="4"/>
  <c r="F1409" i="4"/>
  <c r="G1408" i="4"/>
  <c r="F1408" i="4"/>
  <c r="G1407" i="4"/>
  <c r="F1407" i="4"/>
  <c r="G1406" i="4"/>
  <c r="F1406" i="4"/>
  <c r="G1405" i="4"/>
  <c r="F1405" i="4"/>
  <c r="G1404" i="4"/>
  <c r="F1404" i="4"/>
  <c r="G1403" i="4"/>
  <c r="F1403" i="4"/>
  <c r="G1402" i="4"/>
  <c r="F1402" i="4"/>
  <c r="G1401" i="4"/>
  <c r="F1401" i="4"/>
  <c r="G1400" i="4"/>
  <c r="F1400" i="4"/>
  <c r="G1399" i="4"/>
  <c r="F1399" i="4"/>
  <c r="G1398" i="4"/>
  <c r="F1398" i="4"/>
  <c r="G1397" i="4"/>
  <c r="F1397" i="4"/>
  <c r="G1396" i="4"/>
  <c r="F1396" i="4"/>
  <c r="G1395" i="4"/>
  <c r="F1395" i="4"/>
  <c r="G1394" i="4"/>
  <c r="F1394" i="4"/>
  <c r="G1393" i="4"/>
  <c r="F1393" i="4"/>
  <c r="G1392" i="4"/>
  <c r="F1392" i="4"/>
  <c r="G1391" i="4"/>
  <c r="F1391" i="4"/>
  <c r="G1390" i="4"/>
  <c r="F1390" i="4"/>
  <c r="G1389" i="4"/>
  <c r="F1389" i="4"/>
  <c r="G1388" i="4"/>
  <c r="F1388" i="4"/>
  <c r="G1387" i="4"/>
  <c r="F1387" i="4"/>
  <c r="G1386" i="4"/>
  <c r="F1386" i="4"/>
  <c r="G1385" i="4"/>
  <c r="F1385" i="4"/>
  <c r="G1384" i="4"/>
  <c r="F1384" i="4"/>
  <c r="G1383" i="4"/>
  <c r="F1383" i="4"/>
  <c r="G1382" i="4"/>
  <c r="F1382" i="4"/>
  <c r="G1381" i="4"/>
  <c r="F1381" i="4"/>
  <c r="G1380" i="4"/>
  <c r="F1380" i="4"/>
  <c r="G1379" i="4"/>
  <c r="F1379" i="4"/>
  <c r="G1378" i="4"/>
  <c r="F1378" i="4"/>
  <c r="G1377" i="4"/>
  <c r="F1377" i="4"/>
  <c r="G1376" i="4"/>
  <c r="F1376" i="4"/>
  <c r="G1375" i="4"/>
  <c r="F1375" i="4"/>
  <c r="G1374" i="4"/>
  <c r="F1374" i="4"/>
  <c r="G1373" i="4"/>
  <c r="F1373" i="4"/>
  <c r="G1372" i="4"/>
  <c r="F1372" i="4"/>
  <c r="G1371" i="4"/>
  <c r="F1371" i="4"/>
  <c r="G1370" i="4"/>
  <c r="F1370" i="4"/>
  <c r="G1369" i="4"/>
  <c r="F1369" i="4"/>
  <c r="G1368" i="4"/>
  <c r="F1368" i="4"/>
  <c r="G1367" i="4"/>
  <c r="F1367" i="4"/>
  <c r="G1366" i="4"/>
  <c r="F1366" i="4"/>
  <c r="G1365" i="4"/>
  <c r="F1365" i="4"/>
  <c r="G1364" i="4"/>
  <c r="F1364" i="4"/>
  <c r="G1363" i="4"/>
  <c r="F1363" i="4"/>
  <c r="G1362" i="4"/>
  <c r="F1362" i="4"/>
  <c r="G1361" i="4"/>
  <c r="F1361" i="4"/>
  <c r="G1360" i="4"/>
  <c r="F1360" i="4"/>
  <c r="G1359" i="4"/>
  <c r="F1359" i="4"/>
  <c r="G1358" i="4"/>
  <c r="F1358" i="4"/>
  <c r="G1357" i="4"/>
  <c r="F1357" i="4"/>
  <c r="G1356" i="4"/>
  <c r="F1356" i="4"/>
  <c r="G1355" i="4"/>
  <c r="F1355" i="4"/>
  <c r="G1354" i="4"/>
  <c r="F1354" i="4"/>
  <c r="G1353" i="4"/>
  <c r="F1353" i="4"/>
  <c r="G1352" i="4"/>
  <c r="F1352" i="4"/>
  <c r="G1351" i="4"/>
  <c r="F1351" i="4"/>
  <c r="G1350" i="4"/>
  <c r="F1350" i="4"/>
  <c r="G1349" i="4"/>
  <c r="F1349" i="4"/>
  <c r="G1348" i="4"/>
  <c r="F1348" i="4"/>
  <c r="G1347" i="4"/>
  <c r="F1347" i="4"/>
  <c r="G1346" i="4"/>
  <c r="F1346" i="4"/>
  <c r="G1345" i="4"/>
  <c r="F1345" i="4"/>
  <c r="G1344" i="4"/>
  <c r="F1344" i="4"/>
  <c r="G1343" i="4"/>
  <c r="F1343" i="4"/>
  <c r="G1342" i="4"/>
  <c r="F1342" i="4"/>
  <c r="G1341" i="4"/>
  <c r="F1341" i="4"/>
  <c r="G1340" i="4"/>
  <c r="F1340" i="4"/>
  <c r="G1339" i="4"/>
  <c r="F1339" i="4"/>
  <c r="G1338" i="4"/>
  <c r="F1338" i="4"/>
  <c r="G1337" i="4"/>
  <c r="F1337" i="4"/>
  <c r="G1336" i="4"/>
  <c r="F1336" i="4"/>
  <c r="G1335" i="4"/>
  <c r="F1335" i="4"/>
  <c r="G1334" i="4"/>
  <c r="F1334" i="4"/>
  <c r="G1333" i="4"/>
  <c r="F1333" i="4"/>
  <c r="G1332" i="4"/>
  <c r="F1332" i="4"/>
  <c r="G1331" i="4"/>
  <c r="F1331" i="4"/>
  <c r="G1330" i="4"/>
  <c r="F1330" i="4"/>
  <c r="G1329" i="4"/>
  <c r="F1329" i="4"/>
  <c r="G1328" i="4"/>
  <c r="F1328" i="4"/>
  <c r="G1327" i="4"/>
  <c r="F1327" i="4"/>
  <c r="G1326" i="4"/>
  <c r="F1326" i="4"/>
  <c r="G1325" i="4"/>
  <c r="F1325" i="4"/>
  <c r="G1324" i="4"/>
  <c r="F1324" i="4"/>
  <c r="G1323" i="4"/>
  <c r="F1323" i="4"/>
  <c r="G1322" i="4"/>
  <c r="F1322" i="4"/>
  <c r="G1321" i="4"/>
  <c r="F1321" i="4"/>
  <c r="G1320" i="4"/>
  <c r="F1320" i="4"/>
  <c r="G1319" i="4"/>
  <c r="F1319" i="4"/>
  <c r="G1318" i="4"/>
  <c r="F1318" i="4"/>
  <c r="G1317" i="4"/>
  <c r="F1317" i="4"/>
  <c r="G1316" i="4"/>
  <c r="F1316" i="4"/>
  <c r="G1315" i="4"/>
  <c r="F1315" i="4"/>
  <c r="G1314" i="4"/>
  <c r="F1314" i="4"/>
  <c r="G1313" i="4"/>
  <c r="F1313" i="4"/>
  <c r="G1312" i="4"/>
  <c r="F1312" i="4"/>
  <c r="G1311" i="4"/>
  <c r="F1311" i="4"/>
  <c r="G1310" i="4"/>
  <c r="F1310" i="4"/>
  <c r="G1309" i="4"/>
  <c r="F1309" i="4"/>
  <c r="G1308" i="4"/>
  <c r="F1308" i="4"/>
  <c r="G1307" i="4"/>
  <c r="F1307" i="4"/>
  <c r="G1306" i="4"/>
  <c r="F1306" i="4"/>
  <c r="G1305" i="4"/>
  <c r="F1305" i="4"/>
  <c r="G1304" i="4"/>
  <c r="F1304" i="4"/>
  <c r="G1303" i="4"/>
  <c r="F1303" i="4"/>
  <c r="G1302" i="4"/>
  <c r="F1302" i="4"/>
  <c r="G1301" i="4"/>
  <c r="F1301" i="4"/>
  <c r="G1300" i="4"/>
  <c r="F1300" i="4"/>
  <c r="G1299" i="4"/>
  <c r="F1299" i="4"/>
  <c r="G1298" i="4"/>
  <c r="F1298" i="4"/>
  <c r="G1297" i="4"/>
  <c r="F1297" i="4"/>
  <c r="G1296" i="4"/>
  <c r="F1296" i="4"/>
  <c r="G1295" i="4"/>
  <c r="F1295" i="4"/>
  <c r="G1294" i="4"/>
  <c r="F1294" i="4"/>
  <c r="G1293" i="4"/>
  <c r="F1293" i="4"/>
  <c r="G1292" i="4"/>
  <c r="F1292" i="4"/>
  <c r="G1291" i="4"/>
  <c r="F1291" i="4"/>
  <c r="G1290" i="4"/>
  <c r="F1290" i="4"/>
  <c r="G1289" i="4"/>
  <c r="F1289" i="4"/>
  <c r="G1288" i="4"/>
  <c r="F1288" i="4"/>
  <c r="G1287" i="4"/>
  <c r="F1287" i="4"/>
  <c r="G1286" i="4"/>
  <c r="F1286" i="4"/>
  <c r="G1285" i="4"/>
  <c r="F1285" i="4"/>
  <c r="G1284" i="4"/>
  <c r="F1284" i="4"/>
  <c r="G1283" i="4"/>
  <c r="F1283" i="4"/>
  <c r="G1282" i="4"/>
  <c r="F1282" i="4"/>
  <c r="G1281" i="4"/>
  <c r="F1281" i="4"/>
  <c r="G1280" i="4"/>
  <c r="F1280" i="4"/>
  <c r="G1279" i="4"/>
  <c r="F1279" i="4"/>
  <c r="G1278" i="4"/>
  <c r="F1278" i="4"/>
  <c r="G1277" i="4"/>
  <c r="F1277" i="4"/>
  <c r="G1276" i="4"/>
  <c r="F1276" i="4"/>
  <c r="G1275" i="4"/>
  <c r="F1275" i="4"/>
  <c r="G1274" i="4"/>
  <c r="F1274" i="4"/>
  <c r="G1273" i="4"/>
  <c r="F1273" i="4"/>
  <c r="G1272" i="4"/>
  <c r="F1272" i="4"/>
  <c r="G1271" i="4"/>
  <c r="F1271" i="4"/>
  <c r="G1270" i="4"/>
  <c r="F1270" i="4"/>
  <c r="G1269" i="4"/>
  <c r="F1269" i="4"/>
  <c r="G1268" i="4"/>
  <c r="F1268" i="4"/>
  <c r="G1267" i="4"/>
  <c r="F1267" i="4"/>
  <c r="G1266" i="4"/>
  <c r="F1266" i="4"/>
  <c r="G1265" i="4"/>
  <c r="F1265" i="4"/>
  <c r="G1264" i="4"/>
  <c r="F1264" i="4"/>
  <c r="G1263" i="4"/>
  <c r="F1263" i="4"/>
  <c r="G1262" i="4"/>
  <c r="F1262" i="4"/>
  <c r="G1261" i="4"/>
  <c r="F1261" i="4"/>
  <c r="G1260" i="4"/>
  <c r="F1260" i="4"/>
  <c r="G1259" i="4"/>
  <c r="F1259" i="4"/>
  <c r="G1258" i="4"/>
  <c r="F1258" i="4"/>
  <c r="G1257" i="4"/>
  <c r="F1257" i="4"/>
  <c r="G1256" i="4"/>
  <c r="F1256" i="4"/>
  <c r="G1255" i="4"/>
  <c r="F1255" i="4"/>
  <c r="G1254" i="4"/>
  <c r="F1254" i="4"/>
  <c r="G1253" i="4"/>
  <c r="F1253" i="4"/>
  <c r="G1252" i="4"/>
  <c r="F1252" i="4"/>
  <c r="G1251" i="4"/>
  <c r="F1251" i="4"/>
  <c r="G1250" i="4"/>
  <c r="F1250" i="4"/>
  <c r="G1249" i="4"/>
  <c r="F1249" i="4"/>
  <c r="G1248" i="4"/>
  <c r="F1248" i="4"/>
  <c r="G1247" i="4"/>
  <c r="F1247" i="4"/>
  <c r="G1246" i="4"/>
  <c r="F1246" i="4"/>
  <c r="G1245" i="4"/>
  <c r="F1245" i="4"/>
  <c r="G1244" i="4"/>
  <c r="F1244" i="4"/>
  <c r="G1243" i="4"/>
  <c r="F1243" i="4"/>
  <c r="G1242" i="4"/>
  <c r="F1242" i="4"/>
  <c r="G1241" i="4"/>
  <c r="F1241" i="4"/>
  <c r="G1240" i="4"/>
  <c r="F1240" i="4"/>
  <c r="G1239" i="4"/>
  <c r="F1239" i="4"/>
  <c r="G1238" i="4"/>
  <c r="F1238" i="4"/>
  <c r="G1237" i="4"/>
  <c r="F1237" i="4"/>
  <c r="G1236" i="4"/>
  <c r="F1236" i="4"/>
  <c r="G1235" i="4"/>
  <c r="F1235" i="4"/>
  <c r="G1234" i="4"/>
  <c r="F1234" i="4"/>
  <c r="G1233" i="4"/>
  <c r="F1233" i="4"/>
  <c r="G1232" i="4"/>
  <c r="F1232" i="4"/>
  <c r="G1231" i="4"/>
  <c r="F1231" i="4"/>
  <c r="G1230" i="4"/>
  <c r="F1230" i="4"/>
  <c r="G1229" i="4"/>
  <c r="F1229" i="4"/>
  <c r="G1228" i="4"/>
  <c r="F1228" i="4"/>
  <c r="G1227" i="4"/>
  <c r="F1227" i="4"/>
  <c r="G1226" i="4"/>
  <c r="F1226" i="4"/>
  <c r="G1225" i="4"/>
  <c r="F1225" i="4"/>
  <c r="G1224" i="4"/>
  <c r="F1224" i="4"/>
  <c r="G1223" i="4"/>
  <c r="F1223" i="4"/>
  <c r="G1222" i="4"/>
  <c r="F1222" i="4"/>
  <c r="G1221" i="4"/>
  <c r="F1221" i="4"/>
  <c r="G1220" i="4"/>
  <c r="F1220" i="4"/>
  <c r="G1219" i="4"/>
  <c r="F1219" i="4"/>
  <c r="G1218" i="4"/>
  <c r="F1218" i="4"/>
  <c r="G1217" i="4"/>
  <c r="F1217" i="4"/>
  <c r="G1216" i="4"/>
  <c r="F1216" i="4"/>
  <c r="G1215" i="4"/>
  <c r="F1215" i="4"/>
  <c r="G1214" i="4"/>
  <c r="F1214" i="4"/>
  <c r="G1213" i="4"/>
  <c r="F1213" i="4"/>
  <c r="G1212" i="4"/>
  <c r="F1212" i="4"/>
  <c r="G1211" i="4"/>
  <c r="F1211" i="4"/>
  <c r="G1210" i="4"/>
  <c r="F1210" i="4"/>
  <c r="G1209" i="4"/>
  <c r="F1209" i="4"/>
  <c r="G1208" i="4"/>
  <c r="F1208" i="4"/>
  <c r="G1207" i="4"/>
  <c r="F1207" i="4"/>
  <c r="G1206" i="4"/>
  <c r="F1206" i="4"/>
  <c r="G1205" i="4"/>
  <c r="F1205" i="4"/>
  <c r="G1204" i="4"/>
  <c r="F1204" i="4"/>
  <c r="G1203" i="4"/>
  <c r="F1203" i="4"/>
  <c r="G1202" i="4"/>
  <c r="F1202" i="4"/>
  <c r="G1201" i="4"/>
  <c r="F1201" i="4"/>
  <c r="G1200" i="4"/>
  <c r="F1200" i="4"/>
  <c r="G1199" i="4"/>
  <c r="F1199" i="4"/>
  <c r="G1198" i="4"/>
  <c r="F1198" i="4"/>
  <c r="G1197" i="4"/>
  <c r="F1197" i="4"/>
  <c r="G1196" i="4"/>
  <c r="F1196" i="4"/>
  <c r="G1195" i="4"/>
  <c r="F1195" i="4"/>
  <c r="G1194" i="4"/>
  <c r="F1194" i="4"/>
  <c r="G1193" i="4"/>
  <c r="F1193" i="4"/>
  <c r="G1192" i="4"/>
  <c r="F1192" i="4"/>
  <c r="G1191" i="4"/>
  <c r="F1191" i="4"/>
  <c r="G1190" i="4"/>
  <c r="F1190" i="4"/>
  <c r="G1189" i="4"/>
  <c r="F1189" i="4"/>
  <c r="G1188" i="4"/>
  <c r="F1188" i="4"/>
  <c r="G1187" i="4"/>
  <c r="F1187" i="4"/>
  <c r="G1186" i="4"/>
  <c r="F1186" i="4"/>
  <c r="G1185" i="4"/>
  <c r="F1185" i="4"/>
  <c r="G1184" i="4"/>
  <c r="F1184" i="4"/>
  <c r="G1183" i="4"/>
  <c r="F1183" i="4"/>
  <c r="G1182" i="4"/>
  <c r="F1182" i="4"/>
  <c r="G1181" i="4"/>
  <c r="F1181" i="4"/>
  <c r="G1180" i="4"/>
  <c r="F1180" i="4"/>
  <c r="G1179" i="4"/>
  <c r="F1179" i="4"/>
  <c r="G1178" i="4"/>
  <c r="F1178" i="4"/>
  <c r="G1177" i="4"/>
  <c r="F1177" i="4"/>
  <c r="G1176" i="4"/>
  <c r="F1176" i="4"/>
  <c r="G1175" i="4"/>
  <c r="F1175" i="4"/>
  <c r="G1174" i="4"/>
  <c r="F1174" i="4"/>
  <c r="G1173" i="4"/>
  <c r="F1173" i="4"/>
  <c r="G1172" i="4"/>
  <c r="F1172" i="4"/>
  <c r="G1171" i="4"/>
  <c r="F1171" i="4"/>
  <c r="G1170" i="4"/>
  <c r="F1170" i="4"/>
  <c r="G1169" i="4"/>
  <c r="F1169" i="4"/>
  <c r="G1168" i="4"/>
  <c r="F1168" i="4"/>
  <c r="G1167" i="4"/>
  <c r="F1167" i="4"/>
  <c r="G1166" i="4"/>
  <c r="F1166" i="4"/>
  <c r="G1165" i="4"/>
  <c r="F1165" i="4"/>
  <c r="G1164" i="4"/>
  <c r="F1164" i="4"/>
  <c r="G1163" i="4"/>
  <c r="F1163" i="4"/>
  <c r="G1162" i="4"/>
  <c r="F1162" i="4"/>
  <c r="G1161" i="4"/>
  <c r="F1161" i="4"/>
  <c r="G1160" i="4"/>
  <c r="F1160" i="4"/>
  <c r="G1159" i="4"/>
  <c r="F1159" i="4"/>
  <c r="G1158" i="4"/>
  <c r="F1158" i="4"/>
  <c r="G1157" i="4"/>
  <c r="F1157" i="4"/>
  <c r="G1156" i="4"/>
  <c r="F1156" i="4"/>
  <c r="G1155" i="4"/>
  <c r="F1155" i="4"/>
  <c r="G1154" i="4"/>
  <c r="F1154" i="4"/>
  <c r="G1153" i="4"/>
  <c r="F1153" i="4"/>
  <c r="G1152" i="4"/>
  <c r="F1152" i="4"/>
  <c r="G1151" i="4"/>
  <c r="F1151" i="4"/>
  <c r="G1150" i="4"/>
  <c r="F1150" i="4"/>
  <c r="G1149" i="4"/>
  <c r="F1149" i="4"/>
  <c r="G1148" i="4"/>
  <c r="F1148" i="4"/>
  <c r="G1147" i="4"/>
  <c r="F1147" i="4"/>
  <c r="G1146" i="4"/>
  <c r="F1146" i="4"/>
  <c r="G1145" i="4"/>
  <c r="F1145" i="4"/>
  <c r="G1144" i="4"/>
  <c r="F1144" i="4"/>
  <c r="G1143" i="4"/>
  <c r="F1143" i="4"/>
  <c r="G1142" i="4"/>
  <c r="F1142" i="4"/>
  <c r="G1141" i="4"/>
  <c r="F1141" i="4"/>
  <c r="G1140" i="4"/>
  <c r="F1140" i="4"/>
  <c r="G1139" i="4"/>
  <c r="F1139" i="4"/>
  <c r="G1138" i="4"/>
  <c r="F1138" i="4"/>
  <c r="G1137" i="4"/>
  <c r="F1137" i="4"/>
  <c r="G1136" i="4"/>
  <c r="F1136" i="4"/>
  <c r="G1135" i="4"/>
  <c r="F1135" i="4"/>
  <c r="G1134" i="4"/>
  <c r="F1134" i="4"/>
  <c r="G1133" i="4"/>
  <c r="F1133" i="4"/>
  <c r="G1132" i="4"/>
  <c r="F1132" i="4"/>
  <c r="G1131" i="4"/>
  <c r="F1131" i="4"/>
  <c r="G1130" i="4"/>
  <c r="F1130" i="4"/>
  <c r="G1129" i="4"/>
  <c r="F1129" i="4"/>
  <c r="G1128" i="4"/>
  <c r="F1128" i="4"/>
  <c r="G1127" i="4"/>
  <c r="F1127" i="4"/>
  <c r="G1126" i="4"/>
  <c r="F1126" i="4"/>
  <c r="G1125" i="4"/>
  <c r="F1125" i="4"/>
  <c r="G1124" i="4"/>
  <c r="F1124" i="4"/>
  <c r="G1123" i="4"/>
  <c r="F1123" i="4"/>
  <c r="G1122" i="4"/>
  <c r="F1122" i="4"/>
  <c r="G1121" i="4"/>
  <c r="F1121" i="4"/>
  <c r="G1120" i="4"/>
  <c r="F1120" i="4"/>
  <c r="G1119" i="4"/>
  <c r="F1119" i="4"/>
  <c r="G1118" i="4"/>
  <c r="F1118" i="4"/>
  <c r="G1117" i="4"/>
  <c r="F1117" i="4"/>
  <c r="G1116" i="4"/>
  <c r="F1116" i="4"/>
  <c r="G1115" i="4"/>
  <c r="F1115" i="4"/>
  <c r="G1114" i="4"/>
  <c r="F1114" i="4"/>
  <c r="G1113" i="4"/>
  <c r="F1113" i="4"/>
  <c r="G1112" i="4"/>
  <c r="F1112" i="4"/>
  <c r="G1111" i="4"/>
  <c r="F1111" i="4"/>
  <c r="G1110" i="4"/>
  <c r="F1110" i="4"/>
  <c r="G1109" i="4"/>
  <c r="F1109" i="4"/>
  <c r="G1108" i="4"/>
  <c r="F1108" i="4"/>
  <c r="G1107" i="4"/>
  <c r="F1107" i="4"/>
  <c r="G1106" i="4"/>
  <c r="F1106" i="4"/>
  <c r="G1105" i="4"/>
  <c r="F1105" i="4"/>
  <c r="G1104" i="4"/>
  <c r="F1104" i="4"/>
  <c r="G1103" i="4"/>
  <c r="F1103" i="4"/>
  <c r="G1102" i="4"/>
  <c r="F1102" i="4"/>
  <c r="G1101" i="4"/>
  <c r="F1101" i="4"/>
  <c r="G1100" i="4"/>
  <c r="F1100" i="4"/>
  <c r="G1099" i="4"/>
  <c r="F1099" i="4"/>
  <c r="G1098" i="4"/>
  <c r="F1098" i="4"/>
  <c r="G1097" i="4"/>
  <c r="F1097" i="4"/>
  <c r="G1096" i="4"/>
  <c r="F1096" i="4"/>
  <c r="G1095" i="4"/>
  <c r="F1095" i="4"/>
  <c r="G1094" i="4"/>
  <c r="F1094" i="4"/>
  <c r="G1093" i="4"/>
  <c r="F1093" i="4"/>
  <c r="G1092" i="4"/>
  <c r="F1092" i="4"/>
  <c r="G1091" i="4"/>
  <c r="F1091" i="4"/>
  <c r="G1090" i="4"/>
  <c r="F1090" i="4"/>
  <c r="G1089" i="4"/>
  <c r="F1089" i="4"/>
  <c r="G1088" i="4"/>
  <c r="F1088" i="4"/>
  <c r="G1087" i="4"/>
  <c r="F1087" i="4"/>
  <c r="G1086" i="4"/>
  <c r="F1086" i="4"/>
  <c r="G1085" i="4"/>
  <c r="F1085" i="4"/>
  <c r="G1084" i="4"/>
  <c r="F1084" i="4"/>
  <c r="G1083" i="4"/>
  <c r="F1083" i="4"/>
  <c r="G1082" i="4"/>
  <c r="F1082" i="4"/>
  <c r="G1081" i="4"/>
  <c r="F1081" i="4"/>
  <c r="G1080" i="4"/>
  <c r="F1080" i="4"/>
  <c r="G1079" i="4"/>
  <c r="F1079" i="4"/>
  <c r="G1078" i="4"/>
  <c r="F1078" i="4"/>
  <c r="G1077" i="4"/>
  <c r="F1077" i="4"/>
  <c r="G1076" i="4"/>
  <c r="F1076" i="4"/>
  <c r="G1075" i="4"/>
  <c r="F1075" i="4"/>
  <c r="G1074" i="4"/>
  <c r="F1074" i="4"/>
  <c r="G1073" i="4"/>
  <c r="F1073" i="4"/>
  <c r="G1072" i="4"/>
  <c r="F1072" i="4"/>
  <c r="G1071" i="4"/>
  <c r="F1071" i="4"/>
  <c r="G1070" i="4"/>
  <c r="F1070" i="4"/>
  <c r="G1069" i="4"/>
  <c r="F1069" i="4"/>
  <c r="G1068" i="4"/>
  <c r="F1068" i="4"/>
  <c r="G1067" i="4"/>
  <c r="F1067" i="4"/>
  <c r="G1066" i="4"/>
  <c r="F1066" i="4"/>
  <c r="G1065" i="4"/>
  <c r="F1065" i="4"/>
  <c r="G1064" i="4"/>
  <c r="F1064" i="4"/>
  <c r="G1063" i="4"/>
  <c r="F1063" i="4"/>
  <c r="G1062" i="4"/>
  <c r="F1062" i="4"/>
  <c r="G1061" i="4"/>
  <c r="F1061" i="4"/>
  <c r="G1060" i="4"/>
  <c r="F1060" i="4"/>
  <c r="G1059" i="4"/>
  <c r="F1059" i="4"/>
  <c r="G1058" i="4"/>
  <c r="F1058" i="4"/>
  <c r="G1057" i="4"/>
  <c r="F1057" i="4"/>
  <c r="G1056" i="4"/>
  <c r="F1056" i="4"/>
  <c r="G1055" i="4"/>
  <c r="F1055" i="4"/>
  <c r="G1054" i="4"/>
  <c r="F1054" i="4"/>
  <c r="G1053" i="4"/>
  <c r="F1053" i="4"/>
  <c r="G1052" i="4"/>
  <c r="F1052" i="4"/>
  <c r="G1051" i="4"/>
  <c r="F1051" i="4"/>
  <c r="G1050" i="4"/>
  <c r="F1050" i="4"/>
  <c r="G1049" i="4"/>
  <c r="F1049" i="4"/>
  <c r="G1048" i="4"/>
  <c r="F1048" i="4"/>
  <c r="G1047" i="4"/>
  <c r="F1047" i="4"/>
  <c r="G1046" i="4"/>
  <c r="F1046" i="4"/>
  <c r="G1045" i="4"/>
  <c r="F1045" i="4"/>
  <c r="G1044" i="4"/>
  <c r="F1044" i="4"/>
  <c r="G1043" i="4"/>
  <c r="F1043" i="4"/>
  <c r="G1042" i="4"/>
  <c r="F1042" i="4"/>
  <c r="G1041" i="4"/>
  <c r="F1041" i="4"/>
  <c r="G1040" i="4"/>
  <c r="F1040" i="4"/>
  <c r="G1039" i="4"/>
  <c r="F1039" i="4"/>
  <c r="G1038" i="4"/>
  <c r="F1038" i="4"/>
  <c r="G1037" i="4"/>
  <c r="F1037" i="4"/>
  <c r="G1036" i="4"/>
  <c r="F1036" i="4"/>
  <c r="G1035" i="4"/>
  <c r="F1035" i="4"/>
  <c r="G1034" i="4"/>
  <c r="F1034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G1033" i="4"/>
  <c r="F1033" i="4"/>
  <c r="G1032" i="4"/>
  <c r="F1032" i="4"/>
  <c r="G1031" i="4"/>
  <c r="F1031" i="4"/>
  <c r="G1030" i="4"/>
  <c r="F1030" i="4"/>
  <c r="G1029" i="4"/>
  <c r="F1029" i="4"/>
  <c r="G1028" i="4"/>
  <c r="F1028" i="4"/>
  <c r="G1027" i="4"/>
  <c r="F1027" i="4"/>
  <c r="G1026" i="4"/>
  <c r="F1026" i="4"/>
  <c r="G1025" i="4"/>
  <c r="F1025" i="4"/>
  <c r="G1024" i="4"/>
  <c r="F1024" i="4"/>
  <c r="G1023" i="4"/>
  <c r="F1023" i="4"/>
  <c r="G1022" i="4"/>
  <c r="F1022" i="4"/>
  <c r="G1021" i="4"/>
  <c r="F1021" i="4"/>
  <c r="G1020" i="4"/>
  <c r="F1020" i="4"/>
  <c r="G1019" i="4"/>
  <c r="F1019" i="4"/>
  <c r="G1018" i="4"/>
  <c r="F1018" i="4"/>
  <c r="G1017" i="4"/>
  <c r="F1017" i="4"/>
  <c r="G1016" i="4"/>
  <c r="F1016" i="4"/>
  <c r="G1015" i="4"/>
  <c r="F1015" i="4"/>
  <c r="G1014" i="4"/>
  <c r="F1014" i="4"/>
  <c r="G1013" i="4"/>
  <c r="F1013" i="4"/>
  <c r="G1012" i="4"/>
  <c r="F1012" i="4"/>
  <c r="G1011" i="4"/>
  <c r="F1011" i="4"/>
  <c r="G1010" i="4"/>
  <c r="F1010" i="4"/>
  <c r="G1009" i="4"/>
  <c r="F1009" i="4"/>
  <c r="G1008" i="4"/>
  <c r="F1008" i="4"/>
  <c r="G1007" i="4"/>
  <c r="F1007" i="4"/>
  <c r="G1006" i="4"/>
  <c r="F1006" i="4"/>
  <c r="G1005" i="4"/>
  <c r="F1005" i="4"/>
  <c r="G1004" i="4"/>
  <c r="F1004" i="4"/>
  <c r="G1003" i="4"/>
  <c r="F1003" i="4"/>
  <c r="G1002" i="4"/>
  <c r="F1002" i="4"/>
  <c r="G1001" i="4"/>
  <c r="F1001" i="4"/>
  <c r="G1000" i="4"/>
  <c r="F1000" i="4"/>
  <c r="G999" i="4"/>
  <c r="F999" i="4"/>
  <c r="G998" i="4"/>
  <c r="F998" i="4"/>
  <c r="G997" i="4"/>
  <c r="F997" i="4"/>
  <c r="G996" i="4"/>
  <c r="F996" i="4"/>
  <c r="G995" i="4"/>
  <c r="F995" i="4"/>
  <c r="G994" i="4"/>
  <c r="F994" i="4"/>
  <c r="G993" i="4"/>
  <c r="F993" i="4"/>
  <c r="G992" i="4"/>
  <c r="F992" i="4"/>
  <c r="G991" i="4"/>
  <c r="F991" i="4"/>
  <c r="G990" i="4"/>
  <c r="F990" i="4"/>
  <c r="G989" i="4"/>
  <c r="F989" i="4"/>
  <c r="G988" i="4"/>
  <c r="F988" i="4"/>
  <c r="G987" i="4"/>
  <c r="F987" i="4"/>
  <c r="G986" i="4"/>
  <c r="F986" i="4"/>
  <c r="G985" i="4"/>
  <c r="F985" i="4"/>
  <c r="G984" i="4"/>
  <c r="F984" i="4"/>
  <c r="G983" i="4"/>
  <c r="F983" i="4"/>
  <c r="G982" i="4"/>
  <c r="F982" i="4"/>
  <c r="G981" i="4"/>
  <c r="F981" i="4"/>
  <c r="G980" i="4"/>
  <c r="F980" i="4"/>
  <c r="G979" i="4"/>
  <c r="F979" i="4"/>
  <c r="G978" i="4"/>
  <c r="F978" i="4"/>
  <c r="G977" i="4"/>
  <c r="F977" i="4"/>
  <c r="G976" i="4"/>
  <c r="F976" i="4"/>
  <c r="G975" i="4"/>
  <c r="F975" i="4"/>
  <c r="G974" i="4"/>
  <c r="F974" i="4"/>
  <c r="G973" i="4"/>
  <c r="F973" i="4"/>
  <c r="G972" i="4"/>
  <c r="F972" i="4"/>
  <c r="G971" i="4"/>
  <c r="F971" i="4"/>
  <c r="G970" i="4"/>
  <c r="F970" i="4"/>
  <c r="G969" i="4"/>
  <c r="F969" i="4"/>
  <c r="G968" i="4"/>
  <c r="F968" i="4"/>
  <c r="G967" i="4"/>
  <c r="F967" i="4"/>
  <c r="G966" i="4"/>
  <c r="F966" i="4"/>
  <c r="G965" i="4"/>
  <c r="F965" i="4"/>
  <c r="G964" i="4"/>
  <c r="F964" i="4"/>
  <c r="G963" i="4"/>
  <c r="F963" i="4"/>
  <c r="G962" i="4"/>
  <c r="F962" i="4"/>
  <c r="G961" i="4"/>
  <c r="F961" i="4"/>
  <c r="G960" i="4"/>
  <c r="F960" i="4"/>
  <c r="G959" i="4"/>
  <c r="F959" i="4"/>
  <c r="G958" i="4"/>
  <c r="F958" i="4"/>
  <c r="G957" i="4"/>
  <c r="F957" i="4"/>
  <c r="G956" i="4"/>
  <c r="F956" i="4"/>
  <c r="G955" i="4"/>
  <c r="F955" i="4"/>
  <c r="G954" i="4"/>
  <c r="F954" i="4"/>
  <c r="G953" i="4"/>
  <c r="F953" i="4"/>
  <c r="G952" i="4"/>
  <c r="F952" i="4"/>
  <c r="G951" i="4"/>
  <c r="F951" i="4"/>
  <c r="G950" i="4"/>
  <c r="F950" i="4"/>
  <c r="G949" i="4"/>
  <c r="F949" i="4"/>
  <c r="G948" i="4"/>
  <c r="F948" i="4"/>
  <c r="G947" i="4"/>
  <c r="F947" i="4"/>
  <c r="G946" i="4"/>
  <c r="F946" i="4"/>
  <c r="G945" i="4"/>
  <c r="F945" i="4"/>
  <c r="G944" i="4"/>
  <c r="F944" i="4"/>
  <c r="G943" i="4"/>
  <c r="F943" i="4"/>
  <c r="G942" i="4"/>
  <c r="F942" i="4"/>
  <c r="G941" i="4"/>
  <c r="F941" i="4"/>
  <c r="G940" i="4"/>
  <c r="F940" i="4"/>
  <c r="G939" i="4"/>
  <c r="F939" i="4"/>
  <c r="G938" i="4"/>
  <c r="F938" i="4"/>
  <c r="G937" i="4"/>
  <c r="F937" i="4"/>
  <c r="G936" i="4"/>
  <c r="F936" i="4"/>
  <c r="G935" i="4"/>
  <c r="F935" i="4"/>
  <c r="G934" i="4"/>
  <c r="F934" i="4"/>
  <c r="G933" i="4"/>
  <c r="F933" i="4"/>
  <c r="G932" i="4"/>
  <c r="F932" i="4"/>
  <c r="G931" i="4"/>
  <c r="F931" i="4"/>
  <c r="G930" i="4"/>
  <c r="F930" i="4"/>
  <c r="G929" i="4"/>
  <c r="F929" i="4"/>
  <c r="G928" i="4"/>
  <c r="F928" i="4"/>
  <c r="G927" i="4"/>
  <c r="F927" i="4"/>
  <c r="G926" i="4"/>
  <c r="F926" i="4"/>
  <c r="G925" i="4"/>
  <c r="F925" i="4"/>
  <c r="G924" i="4"/>
  <c r="F924" i="4"/>
  <c r="G923" i="4"/>
  <c r="F923" i="4"/>
  <c r="G922" i="4"/>
  <c r="F922" i="4"/>
  <c r="G921" i="4"/>
  <c r="F921" i="4"/>
  <c r="G920" i="4"/>
  <c r="F920" i="4"/>
  <c r="G919" i="4"/>
  <c r="F919" i="4"/>
  <c r="G918" i="4"/>
  <c r="F918" i="4"/>
  <c r="G917" i="4"/>
  <c r="F917" i="4"/>
  <c r="G916" i="4"/>
  <c r="F916" i="4"/>
  <c r="G915" i="4"/>
  <c r="F915" i="4"/>
  <c r="G914" i="4"/>
  <c r="F914" i="4"/>
  <c r="G913" i="4"/>
  <c r="F913" i="4"/>
  <c r="G912" i="4"/>
  <c r="F912" i="4"/>
  <c r="G911" i="4"/>
  <c r="F911" i="4"/>
  <c r="G910" i="4"/>
  <c r="F910" i="4"/>
  <c r="G909" i="4"/>
  <c r="F909" i="4"/>
  <c r="G908" i="4"/>
  <c r="F908" i="4"/>
  <c r="G907" i="4"/>
  <c r="F907" i="4"/>
  <c r="G906" i="4"/>
  <c r="F906" i="4"/>
  <c r="G905" i="4"/>
  <c r="F905" i="4"/>
  <c r="G904" i="4"/>
  <c r="F904" i="4"/>
  <c r="G903" i="4"/>
  <c r="F903" i="4"/>
  <c r="G902" i="4"/>
  <c r="F902" i="4"/>
  <c r="G901" i="4"/>
  <c r="F901" i="4"/>
  <c r="G900" i="4"/>
  <c r="F900" i="4"/>
  <c r="G899" i="4"/>
  <c r="F899" i="4"/>
  <c r="G898" i="4"/>
  <c r="F898" i="4"/>
  <c r="G897" i="4"/>
  <c r="F897" i="4"/>
  <c r="G896" i="4"/>
  <c r="F896" i="4"/>
  <c r="G895" i="4"/>
  <c r="F895" i="4"/>
  <c r="G894" i="4"/>
  <c r="F894" i="4"/>
  <c r="G893" i="4"/>
  <c r="F893" i="4"/>
  <c r="G892" i="4"/>
  <c r="F892" i="4"/>
  <c r="G891" i="4"/>
  <c r="F891" i="4"/>
  <c r="G890" i="4"/>
  <c r="F890" i="4"/>
  <c r="G889" i="4"/>
  <c r="F889" i="4"/>
  <c r="G888" i="4"/>
  <c r="F888" i="4"/>
  <c r="G887" i="4"/>
  <c r="F887" i="4"/>
  <c r="G886" i="4"/>
  <c r="F886" i="4"/>
  <c r="G885" i="4"/>
  <c r="F885" i="4"/>
  <c r="G884" i="4"/>
  <c r="F884" i="4"/>
  <c r="G883" i="4"/>
  <c r="F883" i="4"/>
  <c r="G882" i="4"/>
  <c r="F882" i="4"/>
  <c r="G881" i="4"/>
  <c r="F881" i="4"/>
  <c r="G880" i="4"/>
  <c r="F880" i="4"/>
  <c r="G879" i="4"/>
  <c r="F879" i="4"/>
  <c r="G878" i="4"/>
  <c r="F878" i="4"/>
  <c r="G877" i="4"/>
  <c r="F877" i="4"/>
  <c r="G876" i="4"/>
  <c r="F876" i="4"/>
  <c r="G875" i="4"/>
  <c r="F875" i="4"/>
  <c r="G874" i="4"/>
  <c r="F874" i="4"/>
  <c r="G873" i="4"/>
  <c r="F873" i="4"/>
  <c r="G872" i="4"/>
  <c r="F872" i="4"/>
  <c r="G871" i="4"/>
  <c r="F871" i="4"/>
  <c r="G870" i="4"/>
  <c r="F870" i="4"/>
  <c r="G869" i="4"/>
  <c r="F869" i="4"/>
  <c r="G868" i="4"/>
  <c r="F868" i="4"/>
  <c r="G867" i="4"/>
  <c r="F867" i="4"/>
  <c r="G866" i="4"/>
  <c r="F866" i="4"/>
  <c r="G865" i="4"/>
  <c r="F865" i="4"/>
  <c r="G864" i="4"/>
  <c r="F864" i="4"/>
  <c r="G863" i="4"/>
  <c r="F863" i="4"/>
  <c r="G862" i="4"/>
  <c r="F862" i="4"/>
  <c r="G861" i="4"/>
  <c r="F861" i="4"/>
  <c r="G860" i="4"/>
  <c r="F860" i="4"/>
  <c r="G859" i="4"/>
  <c r="F859" i="4"/>
  <c r="G858" i="4"/>
  <c r="F858" i="4"/>
  <c r="G857" i="4"/>
  <c r="F857" i="4"/>
  <c r="G856" i="4"/>
  <c r="F856" i="4"/>
  <c r="G855" i="4"/>
  <c r="F855" i="4"/>
  <c r="G854" i="4"/>
  <c r="F854" i="4"/>
  <c r="G853" i="4"/>
  <c r="F853" i="4"/>
  <c r="G852" i="4"/>
  <c r="F852" i="4"/>
  <c r="G851" i="4"/>
  <c r="F851" i="4"/>
  <c r="G850" i="4"/>
  <c r="F850" i="4"/>
  <c r="G849" i="4"/>
  <c r="F849" i="4"/>
  <c r="G848" i="4"/>
  <c r="F848" i="4"/>
  <c r="G847" i="4"/>
  <c r="F847" i="4"/>
  <c r="G846" i="4"/>
  <c r="F846" i="4"/>
  <c r="G845" i="4"/>
  <c r="F845" i="4"/>
  <c r="G844" i="4"/>
  <c r="F844" i="4"/>
  <c r="G843" i="4"/>
  <c r="F843" i="4"/>
  <c r="G842" i="4"/>
  <c r="F842" i="4"/>
  <c r="G841" i="4"/>
  <c r="F841" i="4"/>
  <c r="G840" i="4"/>
  <c r="F840" i="4"/>
  <c r="G839" i="4"/>
  <c r="F839" i="4"/>
  <c r="G838" i="4"/>
  <c r="F838" i="4"/>
  <c r="G837" i="4"/>
  <c r="F837" i="4"/>
  <c r="G836" i="4"/>
  <c r="F836" i="4"/>
  <c r="G835" i="4"/>
  <c r="F835" i="4"/>
  <c r="G834" i="4"/>
  <c r="F834" i="4"/>
  <c r="G833" i="4"/>
  <c r="F833" i="4"/>
  <c r="G832" i="4"/>
  <c r="F832" i="4"/>
  <c r="G831" i="4"/>
  <c r="F831" i="4"/>
  <c r="G830" i="4"/>
  <c r="F830" i="4"/>
  <c r="G829" i="4"/>
  <c r="F829" i="4"/>
  <c r="G828" i="4"/>
  <c r="F828" i="4"/>
  <c r="G827" i="4"/>
  <c r="F827" i="4"/>
  <c r="G826" i="4"/>
  <c r="F826" i="4"/>
  <c r="G825" i="4"/>
  <c r="F825" i="4"/>
  <c r="G824" i="4"/>
  <c r="F824" i="4"/>
  <c r="G823" i="4"/>
  <c r="F823" i="4"/>
  <c r="G822" i="4"/>
  <c r="F822" i="4"/>
  <c r="G821" i="4"/>
  <c r="F821" i="4"/>
  <c r="G820" i="4"/>
  <c r="F820" i="4"/>
  <c r="G819" i="4"/>
  <c r="F819" i="4"/>
  <c r="G818" i="4"/>
  <c r="F818" i="4"/>
  <c r="G817" i="4"/>
  <c r="F817" i="4"/>
  <c r="G816" i="4"/>
  <c r="F816" i="4"/>
  <c r="G815" i="4"/>
  <c r="F815" i="4"/>
  <c r="G814" i="4"/>
  <c r="F814" i="4"/>
  <c r="G813" i="4"/>
  <c r="F813" i="4"/>
  <c r="G812" i="4"/>
  <c r="F812" i="4"/>
  <c r="G811" i="4"/>
  <c r="F811" i="4"/>
  <c r="G810" i="4"/>
  <c r="F810" i="4"/>
  <c r="G809" i="4"/>
  <c r="F809" i="4"/>
  <c r="G808" i="4"/>
  <c r="F808" i="4"/>
  <c r="G807" i="4"/>
  <c r="F807" i="4"/>
  <c r="G806" i="4"/>
  <c r="F806" i="4"/>
  <c r="G805" i="4"/>
  <c r="F805" i="4"/>
  <c r="G804" i="4"/>
  <c r="F804" i="4"/>
  <c r="G803" i="4"/>
  <c r="F803" i="4"/>
  <c r="G802" i="4"/>
  <c r="F802" i="4"/>
  <c r="G801" i="4"/>
  <c r="F801" i="4"/>
  <c r="G800" i="4"/>
  <c r="F800" i="4"/>
  <c r="G799" i="4"/>
  <c r="F799" i="4"/>
  <c r="G798" i="4"/>
  <c r="F798" i="4"/>
  <c r="G797" i="4"/>
  <c r="F797" i="4"/>
  <c r="G796" i="4"/>
  <c r="F796" i="4"/>
  <c r="G795" i="4"/>
  <c r="F795" i="4"/>
  <c r="G794" i="4"/>
  <c r="F794" i="4"/>
  <c r="G793" i="4"/>
  <c r="F793" i="4"/>
  <c r="G792" i="4"/>
  <c r="F792" i="4"/>
  <c r="G791" i="4"/>
  <c r="F791" i="4"/>
  <c r="G790" i="4"/>
  <c r="F790" i="4"/>
  <c r="G789" i="4"/>
  <c r="F789" i="4"/>
  <c r="G788" i="4"/>
  <c r="F788" i="4"/>
  <c r="G787" i="4"/>
  <c r="F787" i="4"/>
  <c r="G786" i="4"/>
  <c r="F786" i="4"/>
  <c r="G785" i="4"/>
  <c r="F785" i="4"/>
  <c r="G784" i="4"/>
  <c r="F784" i="4"/>
  <c r="G783" i="4"/>
  <c r="F783" i="4"/>
  <c r="G782" i="4"/>
  <c r="F782" i="4"/>
  <c r="G781" i="4"/>
  <c r="F781" i="4"/>
  <c r="G780" i="4"/>
  <c r="F780" i="4"/>
  <c r="G779" i="4"/>
  <c r="F779" i="4"/>
  <c r="G778" i="4"/>
  <c r="F778" i="4"/>
  <c r="G777" i="4"/>
  <c r="F777" i="4"/>
  <c r="G776" i="4"/>
  <c r="F776" i="4"/>
  <c r="G775" i="4"/>
  <c r="F775" i="4"/>
  <c r="G774" i="4"/>
  <c r="F774" i="4"/>
  <c r="G773" i="4"/>
  <c r="F773" i="4"/>
  <c r="G772" i="4"/>
  <c r="F772" i="4"/>
  <c r="G771" i="4"/>
  <c r="F771" i="4"/>
  <c r="G770" i="4"/>
  <c r="F770" i="4"/>
  <c r="G769" i="4"/>
  <c r="F769" i="4"/>
  <c r="G768" i="4"/>
  <c r="F768" i="4"/>
  <c r="G767" i="4"/>
  <c r="F767" i="4"/>
  <c r="G766" i="4"/>
  <c r="F766" i="4"/>
  <c r="G765" i="4"/>
  <c r="F765" i="4"/>
  <c r="G764" i="4"/>
  <c r="F764" i="4"/>
  <c r="G763" i="4"/>
  <c r="F763" i="4"/>
  <c r="G762" i="4"/>
  <c r="F762" i="4"/>
  <c r="G761" i="4"/>
  <c r="F761" i="4"/>
  <c r="G760" i="4"/>
  <c r="F760" i="4"/>
  <c r="G759" i="4"/>
  <c r="F759" i="4"/>
  <c r="G758" i="4"/>
  <c r="F758" i="4"/>
  <c r="G757" i="4"/>
  <c r="F757" i="4"/>
  <c r="G756" i="4"/>
  <c r="F756" i="4"/>
  <c r="G755" i="4"/>
  <c r="F755" i="4"/>
  <c r="G754" i="4"/>
  <c r="F754" i="4"/>
  <c r="G753" i="4"/>
  <c r="F753" i="4"/>
  <c r="G752" i="4"/>
  <c r="F752" i="4"/>
  <c r="G751" i="4"/>
  <c r="F751" i="4"/>
  <c r="G750" i="4"/>
  <c r="F750" i="4"/>
  <c r="G749" i="4"/>
  <c r="F749" i="4"/>
  <c r="G748" i="4"/>
  <c r="F748" i="4"/>
  <c r="G747" i="4"/>
  <c r="F747" i="4"/>
  <c r="G746" i="4"/>
  <c r="F746" i="4"/>
  <c r="G745" i="4"/>
  <c r="F745" i="4"/>
  <c r="G744" i="4"/>
  <c r="F744" i="4"/>
  <c r="G743" i="4"/>
  <c r="F743" i="4"/>
  <c r="G742" i="4"/>
  <c r="F742" i="4"/>
  <c r="G741" i="4"/>
  <c r="F741" i="4"/>
  <c r="G740" i="4"/>
  <c r="F740" i="4"/>
  <c r="G739" i="4"/>
  <c r="F739" i="4"/>
  <c r="G738" i="4"/>
  <c r="F738" i="4"/>
  <c r="G737" i="4"/>
  <c r="F737" i="4"/>
  <c r="G736" i="4"/>
  <c r="F736" i="4"/>
  <c r="G735" i="4"/>
  <c r="F735" i="4"/>
  <c r="G734" i="4"/>
  <c r="F734" i="4"/>
  <c r="G733" i="4"/>
  <c r="F733" i="4"/>
  <c r="G732" i="4"/>
  <c r="F732" i="4"/>
  <c r="G731" i="4"/>
  <c r="F731" i="4"/>
  <c r="G730" i="4"/>
  <c r="F730" i="4"/>
  <c r="G729" i="4"/>
  <c r="F729" i="4"/>
  <c r="G728" i="4"/>
  <c r="F728" i="4"/>
  <c r="G727" i="4"/>
  <c r="F727" i="4"/>
  <c r="G726" i="4"/>
  <c r="F726" i="4"/>
  <c r="G725" i="4"/>
  <c r="F725" i="4"/>
  <c r="G724" i="4"/>
  <c r="F724" i="4"/>
  <c r="G723" i="4"/>
  <c r="F723" i="4"/>
  <c r="G722" i="4"/>
  <c r="F722" i="4"/>
  <c r="G721" i="4"/>
  <c r="F721" i="4"/>
  <c r="G720" i="4"/>
  <c r="F720" i="4"/>
  <c r="G719" i="4"/>
  <c r="F719" i="4"/>
  <c r="G718" i="4"/>
  <c r="F718" i="4"/>
  <c r="G717" i="4"/>
  <c r="F717" i="4"/>
  <c r="G716" i="4"/>
  <c r="F716" i="4"/>
  <c r="G715" i="4"/>
  <c r="F715" i="4"/>
  <c r="G714" i="4"/>
  <c r="F714" i="4"/>
  <c r="G713" i="4"/>
  <c r="F713" i="4"/>
  <c r="G712" i="4"/>
  <c r="F712" i="4"/>
  <c r="G711" i="4"/>
  <c r="F711" i="4"/>
  <c r="G710" i="4"/>
  <c r="F710" i="4"/>
  <c r="G709" i="4"/>
  <c r="F709" i="4"/>
  <c r="G708" i="4"/>
  <c r="F708" i="4"/>
  <c r="G707" i="4"/>
  <c r="F707" i="4"/>
  <c r="G706" i="4"/>
  <c r="F706" i="4"/>
  <c r="G705" i="4"/>
  <c r="F705" i="4"/>
  <c r="G704" i="4"/>
  <c r="F704" i="4"/>
  <c r="G703" i="4"/>
  <c r="F703" i="4"/>
  <c r="G702" i="4"/>
  <c r="F702" i="4"/>
  <c r="G701" i="4"/>
  <c r="F701" i="4"/>
  <c r="G700" i="4"/>
  <c r="F700" i="4"/>
  <c r="G699" i="4"/>
  <c r="F699" i="4"/>
  <c r="G698" i="4"/>
  <c r="F698" i="4"/>
  <c r="G697" i="4"/>
  <c r="F697" i="4"/>
  <c r="G696" i="4"/>
  <c r="F696" i="4"/>
  <c r="G695" i="4"/>
  <c r="F695" i="4"/>
  <c r="G694" i="4"/>
  <c r="F694" i="4"/>
  <c r="G693" i="4"/>
  <c r="F693" i="4"/>
  <c r="G692" i="4"/>
  <c r="F692" i="4"/>
  <c r="G691" i="4"/>
  <c r="F691" i="4"/>
  <c r="G690" i="4"/>
  <c r="F690" i="4"/>
  <c r="G689" i="4"/>
  <c r="F689" i="4"/>
  <c r="G688" i="4"/>
  <c r="F688" i="4"/>
  <c r="G687" i="4"/>
  <c r="F687" i="4"/>
  <c r="G686" i="4"/>
  <c r="F686" i="4"/>
  <c r="G685" i="4"/>
  <c r="F685" i="4"/>
  <c r="G684" i="4"/>
  <c r="F684" i="4"/>
  <c r="G683" i="4"/>
  <c r="F683" i="4"/>
  <c r="G682" i="4"/>
  <c r="F682" i="4"/>
  <c r="G681" i="4"/>
  <c r="F681" i="4"/>
  <c r="G680" i="4"/>
  <c r="F680" i="4"/>
  <c r="G679" i="4"/>
  <c r="F679" i="4"/>
  <c r="G678" i="4"/>
  <c r="F678" i="4"/>
  <c r="G677" i="4"/>
  <c r="F677" i="4"/>
  <c r="G676" i="4"/>
  <c r="F676" i="4"/>
  <c r="G675" i="4"/>
  <c r="F675" i="4"/>
  <c r="G674" i="4"/>
  <c r="F674" i="4"/>
  <c r="G673" i="4"/>
  <c r="F673" i="4"/>
  <c r="G672" i="4"/>
  <c r="F672" i="4"/>
  <c r="G671" i="4"/>
  <c r="F671" i="4"/>
  <c r="G670" i="4"/>
  <c r="F670" i="4"/>
  <c r="G669" i="4"/>
  <c r="F669" i="4"/>
  <c r="G668" i="4"/>
  <c r="F668" i="4"/>
  <c r="G667" i="4"/>
  <c r="F667" i="4"/>
  <c r="G666" i="4"/>
  <c r="F666" i="4"/>
  <c r="G665" i="4"/>
  <c r="F665" i="4"/>
  <c r="G664" i="4"/>
  <c r="F664" i="4"/>
  <c r="G663" i="4"/>
  <c r="F663" i="4"/>
  <c r="G662" i="4"/>
  <c r="F662" i="4"/>
  <c r="G661" i="4"/>
  <c r="F661" i="4"/>
  <c r="G660" i="4"/>
  <c r="F660" i="4"/>
  <c r="G659" i="4"/>
  <c r="F659" i="4"/>
  <c r="G658" i="4"/>
  <c r="F658" i="4"/>
  <c r="G657" i="4"/>
  <c r="F657" i="4"/>
  <c r="G656" i="4"/>
  <c r="F656" i="4"/>
  <c r="G655" i="4"/>
  <c r="F655" i="4"/>
  <c r="G654" i="4"/>
  <c r="F654" i="4"/>
  <c r="G653" i="4"/>
  <c r="F653" i="4"/>
  <c r="G652" i="4"/>
  <c r="F652" i="4"/>
  <c r="G651" i="4"/>
  <c r="F651" i="4"/>
  <c r="G650" i="4"/>
  <c r="F650" i="4"/>
  <c r="G649" i="4"/>
  <c r="F649" i="4"/>
  <c r="G648" i="4"/>
  <c r="F648" i="4"/>
  <c r="G647" i="4"/>
  <c r="F647" i="4"/>
  <c r="G646" i="4"/>
  <c r="F646" i="4"/>
  <c r="G645" i="4"/>
  <c r="F645" i="4"/>
  <c r="G644" i="4"/>
  <c r="F644" i="4"/>
  <c r="G643" i="4"/>
  <c r="F643" i="4"/>
  <c r="G642" i="4"/>
  <c r="F642" i="4"/>
  <c r="G641" i="4"/>
  <c r="F641" i="4"/>
  <c r="G640" i="4"/>
  <c r="F640" i="4"/>
  <c r="G639" i="4"/>
  <c r="F639" i="4"/>
  <c r="G638" i="4"/>
  <c r="F638" i="4"/>
  <c r="G637" i="4"/>
  <c r="F637" i="4"/>
  <c r="G636" i="4"/>
  <c r="F636" i="4"/>
  <c r="G635" i="4"/>
  <c r="F635" i="4"/>
  <c r="G634" i="4"/>
  <c r="F634" i="4"/>
  <c r="G633" i="4"/>
  <c r="F633" i="4"/>
  <c r="G632" i="4"/>
  <c r="F632" i="4"/>
  <c r="G631" i="4"/>
  <c r="F631" i="4"/>
  <c r="G630" i="4"/>
  <c r="F630" i="4"/>
  <c r="G629" i="4"/>
  <c r="F629" i="4"/>
  <c r="G628" i="4"/>
  <c r="F628" i="4"/>
  <c r="G627" i="4"/>
  <c r="F627" i="4"/>
  <c r="G626" i="4"/>
  <c r="F626" i="4"/>
  <c r="G625" i="4"/>
  <c r="F625" i="4"/>
  <c r="G624" i="4"/>
  <c r="F624" i="4"/>
  <c r="G623" i="4"/>
  <c r="F623" i="4"/>
  <c r="G622" i="4"/>
  <c r="F622" i="4"/>
  <c r="G621" i="4"/>
  <c r="F621" i="4"/>
  <c r="G620" i="4"/>
  <c r="F620" i="4"/>
  <c r="G619" i="4"/>
  <c r="F619" i="4"/>
  <c r="G618" i="4"/>
  <c r="F618" i="4"/>
  <c r="G617" i="4"/>
  <c r="F617" i="4"/>
  <c r="G616" i="4"/>
  <c r="F616" i="4"/>
  <c r="G615" i="4"/>
  <c r="F615" i="4"/>
  <c r="G614" i="4"/>
  <c r="F614" i="4"/>
  <c r="G613" i="4"/>
  <c r="F613" i="4"/>
  <c r="G612" i="4"/>
  <c r="F612" i="4"/>
  <c r="G611" i="4"/>
  <c r="F611" i="4"/>
  <c r="G610" i="4"/>
  <c r="F610" i="4"/>
  <c r="G609" i="4"/>
  <c r="F609" i="4"/>
  <c r="G608" i="4"/>
  <c r="F608" i="4"/>
  <c r="G607" i="4"/>
  <c r="F607" i="4"/>
  <c r="G606" i="4"/>
  <c r="F606" i="4"/>
  <c r="G605" i="4"/>
  <c r="F605" i="4"/>
  <c r="G604" i="4"/>
  <c r="F60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G603" i="4"/>
  <c r="F603" i="4"/>
  <c r="G602" i="4"/>
  <c r="F602" i="4"/>
  <c r="G601" i="4"/>
  <c r="F601" i="4"/>
  <c r="G600" i="4"/>
  <c r="F600" i="4"/>
  <c r="G599" i="4"/>
  <c r="F599" i="4"/>
  <c r="G598" i="4"/>
  <c r="F598" i="4"/>
  <c r="G597" i="4"/>
  <c r="F597" i="4"/>
  <c r="G596" i="4"/>
  <c r="F596" i="4"/>
  <c r="G595" i="4"/>
  <c r="F595" i="4"/>
  <c r="G594" i="4"/>
  <c r="F594" i="4"/>
  <c r="G593" i="4"/>
  <c r="F593" i="4"/>
  <c r="G592" i="4"/>
  <c r="F592" i="4"/>
  <c r="G591" i="4"/>
  <c r="F591" i="4"/>
  <c r="G590" i="4"/>
  <c r="F590" i="4"/>
  <c r="G589" i="4"/>
  <c r="F589" i="4"/>
  <c r="G588" i="4"/>
  <c r="F588" i="4"/>
  <c r="G587" i="4"/>
  <c r="F587" i="4"/>
  <c r="G586" i="4"/>
  <c r="F586" i="4"/>
  <c r="G585" i="4"/>
  <c r="F585" i="4"/>
  <c r="G584" i="4"/>
  <c r="F584" i="4"/>
  <c r="G583" i="4"/>
  <c r="F583" i="4"/>
  <c r="G582" i="4"/>
  <c r="F582" i="4"/>
  <c r="G581" i="4"/>
  <c r="F581" i="4"/>
  <c r="G580" i="4"/>
  <c r="F580" i="4"/>
  <c r="G579" i="4"/>
  <c r="F579" i="4"/>
  <c r="G578" i="4"/>
  <c r="F578" i="4"/>
  <c r="G577" i="4"/>
  <c r="F577" i="4"/>
  <c r="G576" i="4"/>
  <c r="F576" i="4"/>
  <c r="G575" i="4"/>
  <c r="F575" i="4"/>
  <c r="G574" i="4"/>
  <c r="F574" i="4"/>
  <c r="G573" i="4"/>
  <c r="F573" i="4"/>
  <c r="G572" i="4"/>
  <c r="F572" i="4"/>
  <c r="G571" i="4"/>
  <c r="F571" i="4"/>
  <c r="G570" i="4"/>
  <c r="F570" i="4"/>
  <c r="G569" i="4"/>
  <c r="F569" i="4"/>
  <c r="G568" i="4"/>
  <c r="F568" i="4"/>
  <c r="G567" i="4"/>
  <c r="F567" i="4"/>
  <c r="G566" i="4"/>
  <c r="F566" i="4"/>
  <c r="G565" i="4"/>
  <c r="F565" i="4"/>
  <c r="G564" i="4"/>
  <c r="F564" i="4"/>
  <c r="G563" i="4"/>
  <c r="F563" i="4"/>
  <c r="G562" i="4"/>
  <c r="F562" i="4"/>
  <c r="G561" i="4"/>
  <c r="F561" i="4"/>
  <c r="G560" i="4"/>
  <c r="F560" i="4"/>
  <c r="G559" i="4"/>
  <c r="F559" i="4"/>
  <c r="G558" i="4"/>
  <c r="F558" i="4"/>
  <c r="G557" i="4"/>
  <c r="F557" i="4"/>
  <c r="G556" i="4"/>
  <c r="F556" i="4"/>
  <c r="G555" i="4"/>
  <c r="F555" i="4"/>
  <c r="G554" i="4"/>
  <c r="F554" i="4"/>
  <c r="G553" i="4"/>
  <c r="F553" i="4"/>
  <c r="G552" i="4"/>
  <c r="F552" i="4"/>
  <c r="G551" i="4"/>
  <c r="F551" i="4"/>
  <c r="G550" i="4"/>
  <c r="F550" i="4"/>
  <c r="G549" i="4"/>
  <c r="F549" i="4"/>
  <c r="G548" i="4"/>
  <c r="F548" i="4"/>
  <c r="G547" i="4"/>
  <c r="F547" i="4"/>
  <c r="G546" i="4"/>
  <c r="F546" i="4"/>
  <c r="G545" i="4"/>
  <c r="F545" i="4"/>
  <c r="G544" i="4"/>
  <c r="F544" i="4"/>
  <c r="G543" i="4"/>
  <c r="F543" i="4"/>
  <c r="G542" i="4"/>
  <c r="F542" i="4"/>
  <c r="G541" i="4"/>
  <c r="F541" i="4"/>
  <c r="G540" i="4"/>
  <c r="F540" i="4"/>
  <c r="G539" i="4"/>
  <c r="F539" i="4"/>
  <c r="G538" i="4"/>
  <c r="F538" i="4"/>
  <c r="G537" i="4"/>
  <c r="F537" i="4"/>
  <c r="G536" i="4"/>
  <c r="F536" i="4"/>
  <c r="G535" i="4"/>
  <c r="F535" i="4"/>
  <c r="G534" i="4"/>
  <c r="F534" i="4"/>
  <c r="G533" i="4"/>
  <c r="F533" i="4"/>
  <c r="G532" i="4"/>
  <c r="F532" i="4"/>
  <c r="G531" i="4"/>
  <c r="F531" i="4"/>
  <c r="G530" i="4"/>
  <c r="F530" i="4"/>
  <c r="G529" i="4"/>
  <c r="F529" i="4"/>
  <c r="G528" i="4"/>
  <c r="F528" i="4"/>
  <c r="G527" i="4"/>
  <c r="F527" i="4"/>
  <c r="G526" i="4"/>
  <c r="F526" i="4"/>
  <c r="G525" i="4"/>
  <c r="F525" i="4"/>
  <c r="G524" i="4"/>
  <c r="F524" i="4"/>
  <c r="G523" i="4"/>
  <c r="F523" i="4"/>
  <c r="G522" i="4"/>
  <c r="F522" i="4"/>
  <c r="G521" i="4"/>
  <c r="F521" i="4"/>
  <c r="G520" i="4"/>
  <c r="F520" i="4"/>
  <c r="G519" i="4"/>
  <c r="F519" i="4"/>
  <c r="G518" i="4"/>
  <c r="F518" i="4"/>
  <c r="G517" i="4"/>
  <c r="F517" i="4"/>
  <c r="G516" i="4"/>
  <c r="F516" i="4"/>
  <c r="G515" i="4"/>
  <c r="F515" i="4"/>
  <c r="G514" i="4"/>
  <c r="F514" i="4"/>
  <c r="G513" i="4"/>
  <c r="F513" i="4"/>
  <c r="G512" i="4"/>
  <c r="F512" i="4"/>
  <c r="G511" i="4"/>
  <c r="F511" i="4"/>
  <c r="G510" i="4"/>
  <c r="F510" i="4"/>
  <c r="G509" i="4"/>
  <c r="F509" i="4"/>
  <c r="G508" i="4"/>
  <c r="F508" i="4"/>
  <c r="G507" i="4"/>
  <c r="F507" i="4"/>
  <c r="G506" i="4"/>
  <c r="F506" i="4"/>
  <c r="G505" i="4"/>
  <c r="F505" i="4"/>
  <c r="G504" i="4"/>
  <c r="F504" i="4"/>
  <c r="G503" i="4"/>
  <c r="F503" i="4"/>
  <c r="G502" i="4"/>
  <c r="F502" i="4"/>
  <c r="G501" i="4"/>
  <c r="F501" i="4"/>
  <c r="G500" i="4"/>
  <c r="F500" i="4"/>
  <c r="G499" i="4"/>
  <c r="F499" i="4"/>
  <c r="G498" i="4"/>
  <c r="F498" i="4"/>
  <c r="G497" i="4"/>
  <c r="F497" i="4"/>
  <c r="G496" i="4"/>
  <c r="F496" i="4"/>
  <c r="G495" i="4"/>
  <c r="F495" i="4"/>
  <c r="G494" i="4"/>
  <c r="F494" i="4"/>
  <c r="G493" i="4"/>
  <c r="F493" i="4"/>
  <c r="G492" i="4"/>
  <c r="F492" i="4"/>
  <c r="G491" i="4"/>
  <c r="F491" i="4"/>
  <c r="G490" i="4"/>
  <c r="F490" i="4"/>
  <c r="G489" i="4"/>
  <c r="F489" i="4"/>
  <c r="G488" i="4"/>
  <c r="F488" i="4"/>
  <c r="G487" i="4"/>
  <c r="F487" i="4"/>
  <c r="G486" i="4"/>
  <c r="F486" i="4"/>
  <c r="G485" i="4"/>
  <c r="F485" i="4"/>
  <c r="G484" i="4"/>
  <c r="F484" i="4"/>
  <c r="G483" i="4"/>
  <c r="F483" i="4"/>
  <c r="G482" i="4"/>
  <c r="F482" i="4"/>
  <c r="G481" i="4"/>
  <c r="F481" i="4"/>
  <c r="G480" i="4"/>
  <c r="F480" i="4"/>
  <c r="G479" i="4"/>
  <c r="F479" i="4"/>
  <c r="G478" i="4"/>
  <c r="F478" i="4"/>
  <c r="G477" i="4"/>
  <c r="F477" i="4"/>
  <c r="G476" i="4"/>
  <c r="F476" i="4"/>
  <c r="G475" i="4"/>
  <c r="F475" i="4"/>
  <c r="G474" i="4"/>
  <c r="F474" i="4"/>
  <c r="G473" i="4"/>
  <c r="F473" i="4"/>
  <c r="G472" i="4"/>
  <c r="F472" i="4"/>
  <c r="G471" i="4"/>
  <c r="F471" i="4"/>
  <c r="G470" i="4"/>
  <c r="F470" i="4"/>
  <c r="G469" i="4"/>
  <c r="F469" i="4"/>
  <c r="G468" i="4"/>
  <c r="F468" i="4"/>
  <c r="G467" i="4"/>
  <c r="F467" i="4"/>
  <c r="G466" i="4"/>
  <c r="F466" i="4"/>
  <c r="G465" i="4"/>
  <c r="F465" i="4"/>
  <c r="G464" i="4"/>
  <c r="F464" i="4"/>
  <c r="G463" i="4"/>
  <c r="F463" i="4"/>
  <c r="G462" i="4"/>
  <c r="F462" i="4"/>
  <c r="G461" i="4"/>
  <c r="F461" i="4"/>
  <c r="G460" i="4"/>
  <c r="F460" i="4"/>
  <c r="G459" i="4"/>
  <c r="F459" i="4"/>
  <c r="G458" i="4"/>
  <c r="F458" i="4"/>
  <c r="G457" i="4"/>
  <c r="F457" i="4"/>
  <c r="G456" i="4"/>
  <c r="F456" i="4"/>
  <c r="G455" i="4"/>
  <c r="F455" i="4"/>
  <c r="G454" i="4"/>
  <c r="F454" i="4"/>
  <c r="G453" i="4"/>
  <c r="F453" i="4"/>
  <c r="G452" i="4"/>
  <c r="F452" i="4"/>
  <c r="G451" i="4"/>
  <c r="F451" i="4"/>
  <c r="G450" i="4"/>
  <c r="F450" i="4"/>
  <c r="G449" i="4"/>
  <c r="F449" i="4"/>
  <c r="G448" i="4"/>
  <c r="F448" i="4"/>
  <c r="G447" i="4"/>
  <c r="F447" i="4"/>
  <c r="G446" i="4"/>
  <c r="F446" i="4"/>
  <c r="G445" i="4"/>
  <c r="F445" i="4"/>
  <c r="G444" i="4"/>
  <c r="F444" i="4"/>
  <c r="G443" i="4"/>
  <c r="F443" i="4"/>
  <c r="G442" i="4"/>
  <c r="F442" i="4"/>
  <c r="G441" i="4"/>
  <c r="F441" i="4"/>
  <c r="G440" i="4"/>
  <c r="F440" i="4"/>
  <c r="G439" i="4"/>
  <c r="F439" i="4"/>
  <c r="G438" i="4"/>
  <c r="F438" i="4"/>
  <c r="G437" i="4"/>
  <c r="F437" i="4"/>
  <c r="G436" i="4"/>
  <c r="F436" i="4"/>
  <c r="G435" i="4"/>
  <c r="F435" i="4"/>
  <c r="G434" i="4"/>
  <c r="F434" i="4"/>
  <c r="G433" i="4"/>
  <c r="F433" i="4"/>
  <c r="G432" i="4"/>
  <c r="F432" i="4"/>
  <c r="G431" i="4"/>
  <c r="F431" i="4"/>
  <c r="G430" i="4"/>
  <c r="F430" i="4"/>
  <c r="G429" i="4"/>
  <c r="F429" i="4"/>
  <c r="G428" i="4"/>
  <c r="F428" i="4"/>
  <c r="G427" i="4"/>
  <c r="F427" i="4"/>
  <c r="G426" i="4"/>
  <c r="F426" i="4"/>
  <c r="G425" i="4"/>
  <c r="F425" i="4"/>
  <c r="G424" i="4"/>
  <c r="F424" i="4"/>
  <c r="G423" i="4"/>
  <c r="F423" i="4"/>
  <c r="G422" i="4"/>
  <c r="F422" i="4"/>
  <c r="G421" i="4"/>
  <c r="F421" i="4"/>
  <c r="G420" i="4"/>
  <c r="F420" i="4"/>
  <c r="G419" i="4"/>
  <c r="F419" i="4"/>
  <c r="G418" i="4"/>
  <c r="F418" i="4"/>
  <c r="G417" i="4"/>
  <c r="F417" i="4"/>
  <c r="G416" i="4"/>
  <c r="F416" i="4"/>
  <c r="G415" i="4"/>
  <c r="F415" i="4"/>
  <c r="G414" i="4"/>
  <c r="F414" i="4"/>
  <c r="G413" i="4"/>
  <c r="F413" i="4"/>
  <c r="G412" i="4"/>
  <c r="F412" i="4"/>
  <c r="G411" i="4"/>
  <c r="F411" i="4"/>
  <c r="G410" i="4"/>
  <c r="F410" i="4"/>
  <c r="G409" i="4"/>
  <c r="F409" i="4"/>
  <c r="G408" i="4"/>
  <c r="F408" i="4"/>
  <c r="G407" i="4"/>
  <c r="F407" i="4"/>
  <c r="G406" i="4"/>
  <c r="F406" i="4"/>
  <c r="G405" i="4"/>
  <c r="F405" i="4"/>
  <c r="G404" i="4"/>
  <c r="F404" i="4"/>
  <c r="G403" i="4"/>
  <c r="F403" i="4"/>
  <c r="G402" i="4"/>
  <c r="F402" i="4"/>
  <c r="G401" i="4"/>
  <c r="F401" i="4"/>
  <c r="G400" i="4"/>
  <c r="F400" i="4"/>
  <c r="G399" i="4"/>
  <c r="F399" i="4"/>
  <c r="G398" i="4"/>
  <c r="F398" i="4"/>
  <c r="G397" i="4"/>
  <c r="F397" i="4"/>
  <c r="G396" i="4"/>
  <c r="F396" i="4"/>
  <c r="G395" i="4"/>
  <c r="F395" i="4"/>
  <c r="G394" i="4"/>
  <c r="F394" i="4"/>
  <c r="G393" i="4"/>
  <c r="F393" i="4"/>
  <c r="G392" i="4"/>
  <c r="F392" i="4"/>
  <c r="G391" i="4"/>
  <c r="F391" i="4"/>
  <c r="G390" i="4"/>
  <c r="F390" i="4"/>
  <c r="G389" i="4"/>
  <c r="F389" i="4"/>
  <c r="G388" i="4"/>
  <c r="F388" i="4"/>
  <c r="G387" i="4"/>
  <c r="F387" i="4"/>
  <c r="G386" i="4"/>
  <c r="F386" i="4"/>
  <c r="G385" i="4"/>
  <c r="F385" i="4"/>
  <c r="G384" i="4"/>
  <c r="F384" i="4"/>
  <c r="G383" i="4"/>
  <c r="F383" i="4"/>
  <c r="G382" i="4"/>
  <c r="F382" i="4"/>
  <c r="G381" i="4"/>
  <c r="F381" i="4"/>
  <c r="G380" i="4"/>
  <c r="F380" i="4"/>
  <c r="G379" i="4"/>
  <c r="F379" i="4"/>
  <c r="G378" i="4"/>
  <c r="F378" i="4"/>
  <c r="G377" i="4"/>
  <c r="F377" i="4"/>
  <c r="G376" i="4"/>
  <c r="F376" i="4"/>
  <c r="G375" i="4"/>
  <c r="F375" i="4"/>
  <c r="G374" i="4"/>
  <c r="F374" i="4"/>
  <c r="G373" i="4"/>
  <c r="F373" i="4"/>
  <c r="G372" i="4"/>
  <c r="F372" i="4"/>
  <c r="G371" i="4"/>
  <c r="F371" i="4"/>
  <c r="G370" i="4"/>
  <c r="F370" i="4"/>
  <c r="G369" i="4"/>
  <c r="F369" i="4"/>
  <c r="G368" i="4"/>
  <c r="F368" i="4"/>
  <c r="G367" i="4"/>
  <c r="F367" i="4"/>
  <c r="G366" i="4"/>
  <c r="F366" i="4"/>
  <c r="G365" i="4"/>
  <c r="F365" i="4"/>
  <c r="G364" i="4"/>
  <c r="F364" i="4"/>
  <c r="G363" i="4"/>
  <c r="F363" i="4"/>
  <c r="G362" i="4"/>
  <c r="F362" i="4"/>
  <c r="G361" i="4"/>
  <c r="F361" i="4"/>
  <c r="G360" i="4"/>
  <c r="F360" i="4"/>
  <c r="G359" i="4"/>
  <c r="F359" i="4"/>
  <c r="G358" i="4"/>
  <c r="F358" i="4"/>
  <c r="G357" i="4"/>
  <c r="F357" i="4"/>
  <c r="G356" i="4"/>
  <c r="F356" i="4"/>
  <c r="G355" i="4"/>
  <c r="F355" i="4"/>
  <c r="G354" i="4"/>
  <c r="F354" i="4"/>
  <c r="G353" i="4"/>
  <c r="F353" i="4"/>
  <c r="G352" i="4"/>
  <c r="F352" i="4"/>
  <c r="G351" i="4"/>
  <c r="F351" i="4"/>
  <c r="G350" i="4"/>
  <c r="F350" i="4"/>
  <c r="G349" i="4"/>
  <c r="F349" i="4"/>
  <c r="G348" i="4"/>
  <c r="F348" i="4"/>
  <c r="G347" i="4"/>
  <c r="F347" i="4"/>
  <c r="G346" i="4"/>
  <c r="F346" i="4"/>
  <c r="G345" i="4"/>
  <c r="F345" i="4"/>
  <c r="G344" i="4"/>
  <c r="F344" i="4"/>
  <c r="G343" i="4"/>
  <c r="F343" i="4"/>
  <c r="G342" i="4"/>
  <c r="F342" i="4"/>
  <c r="G341" i="4"/>
  <c r="F341" i="4"/>
  <c r="G340" i="4"/>
  <c r="F340" i="4"/>
  <c r="G339" i="4"/>
  <c r="F339" i="4"/>
  <c r="G338" i="4"/>
  <c r="F338" i="4"/>
  <c r="G337" i="4"/>
  <c r="F337" i="4"/>
  <c r="G336" i="4"/>
  <c r="F336" i="4"/>
  <c r="G335" i="4"/>
  <c r="F335" i="4"/>
  <c r="G334" i="4"/>
  <c r="F334" i="4"/>
  <c r="G333" i="4"/>
  <c r="F333" i="4"/>
  <c r="G332" i="4"/>
  <c r="F332" i="4"/>
  <c r="G331" i="4"/>
  <c r="F331" i="4"/>
  <c r="G330" i="4"/>
  <c r="F330" i="4"/>
  <c r="G329" i="4"/>
  <c r="F329" i="4"/>
  <c r="G328" i="4"/>
  <c r="F328" i="4"/>
  <c r="G327" i="4"/>
  <c r="F327" i="4"/>
  <c r="G326" i="4"/>
  <c r="F326" i="4"/>
  <c r="G325" i="4"/>
  <c r="F325" i="4"/>
  <c r="G324" i="4"/>
  <c r="F324" i="4"/>
  <c r="G323" i="4"/>
  <c r="F323" i="4"/>
  <c r="G322" i="4"/>
  <c r="F322" i="4"/>
  <c r="G321" i="4"/>
  <c r="F321" i="4"/>
  <c r="G320" i="4"/>
  <c r="F320" i="4"/>
  <c r="G319" i="4"/>
  <c r="F319" i="4"/>
  <c r="G318" i="4"/>
  <c r="F318" i="4"/>
  <c r="G317" i="4"/>
  <c r="F317" i="4"/>
  <c r="G316" i="4"/>
  <c r="F316" i="4"/>
  <c r="G315" i="4"/>
  <c r="F315" i="4"/>
  <c r="G314" i="4"/>
  <c r="F314" i="4"/>
  <c r="G313" i="4"/>
  <c r="F313" i="4"/>
  <c r="G312" i="4"/>
  <c r="F312" i="4"/>
  <c r="G311" i="4"/>
  <c r="F311" i="4"/>
  <c r="G310" i="4"/>
  <c r="F310" i="4"/>
  <c r="G309" i="4"/>
  <c r="F309" i="4"/>
  <c r="G308" i="4"/>
  <c r="F308" i="4"/>
  <c r="G307" i="4"/>
  <c r="F307" i="4"/>
  <c r="G306" i="4"/>
  <c r="F306" i="4"/>
  <c r="G305" i="4"/>
  <c r="F305" i="4"/>
  <c r="G304" i="4"/>
  <c r="F304" i="4"/>
  <c r="G303" i="4"/>
  <c r="F303" i="4"/>
  <c r="G302" i="4"/>
  <c r="F302" i="4"/>
  <c r="G301" i="4"/>
  <c r="F301" i="4"/>
  <c r="G300" i="4"/>
  <c r="F300" i="4"/>
  <c r="G299" i="4"/>
  <c r="F299" i="4"/>
  <c r="G298" i="4"/>
  <c r="F298" i="4"/>
  <c r="G297" i="4"/>
  <c r="F297" i="4"/>
  <c r="G296" i="4"/>
  <c r="F296" i="4"/>
  <c r="G295" i="4"/>
  <c r="F295" i="4"/>
  <c r="G294" i="4"/>
  <c r="F294" i="4"/>
  <c r="G293" i="4"/>
  <c r="F293" i="4"/>
  <c r="G292" i="4"/>
  <c r="F292" i="4"/>
  <c r="G291" i="4"/>
  <c r="F291" i="4"/>
  <c r="G290" i="4"/>
  <c r="F290" i="4"/>
  <c r="G289" i="4"/>
  <c r="F289" i="4"/>
  <c r="G288" i="4"/>
  <c r="F288" i="4"/>
  <c r="G287" i="4"/>
  <c r="F287" i="4"/>
  <c r="G286" i="4"/>
  <c r="F286" i="4"/>
  <c r="G285" i="4"/>
  <c r="F285" i="4"/>
  <c r="G284" i="4"/>
  <c r="F284" i="4"/>
  <c r="G283" i="4"/>
  <c r="F283" i="4"/>
  <c r="G282" i="4"/>
  <c r="F282" i="4"/>
  <c r="G281" i="4"/>
  <c r="F281" i="4"/>
  <c r="G280" i="4"/>
  <c r="F280" i="4"/>
  <c r="G279" i="4"/>
  <c r="F279" i="4"/>
  <c r="G278" i="4"/>
  <c r="F278" i="4"/>
  <c r="G277" i="4"/>
  <c r="F277" i="4"/>
  <c r="G276" i="4"/>
  <c r="F276" i="4"/>
  <c r="G275" i="4"/>
  <c r="F275" i="4"/>
  <c r="G274" i="4"/>
  <c r="F274" i="4"/>
  <c r="G273" i="4"/>
  <c r="F273" i="4"/>
  <c r="G272" i="4"/>
  <c r="F272" i="4"/>
  <c r="G271" i="4"/>
  <c r="F271" i="4"/>
  <c r="G270" i="4"/>
  <c r="F270" i="4"/>
  <c r="G269" i="4"/>
  <c r="F269" i="4"/>
  <c r="D271" i="4"/>
  <c r="D270" i="4"/>
  <c r="D269" i="4"/>
  <c r="D268" i="4"/>
  <c r="D267" i="4"/>
  <c r="D266" i="4"/>
  <c r="G268" i="4"/>
  <c r="F268" i="4"/>
  <c r="G267" i="4"/>
  <c r="F267" i="4"/>
  <c r="G266" i="4"/>
  <c r="F266" i="4"/>
  <c r="D265" i="4"/>
  <c r="D264" i="4"/>
  <c r="D263" i="4"/>
  <c r="D262" i="4"/>
  <c r="D261" i="4"/>
  <c r="D260" i="4"/>
  <c r="G265" i="4"/>
  <c r="F265" i="4"/>
  <c r="G264" i="4"/>
  <c r="F264" i="4"/>
  <c r="G263" i="4"/>
  <c r="F263" i="4"/>
  <c r="G262" i="4"/>
  <c r="F262" i="4"/>
  <c r="G261" i="4"/>
  <c r="F261" i="4"/>
  <c r="G260" i="4"/>
  <c r="F260" i="4"/>
  <c r="D259" i="4"/>
  <c r="D258" i="4"/>
  <c r="D257" i="4"/>
  <c r="D256" i="4"/>
  <c r="D255" i="4"/>
  <c r="D254" i="4"/>
  <c r="G259" i="4"/>
  <c r="F259" i="4"/>
  <c r="G258" i="4"/>
  <c r="F258" i="4"/>
  <c r="G257" i="4"/>
  <c r="F257" i="4"/>
  <c r="G256" i="4"/>
  <c r="F256" i="4"/>
  <c r="G255" i="4"/>
  <c r="F255" i="4"/>
  <c r="G254" i="4"/>
  <c r="F254" i="4"/>
  <c r="D253" i="4"/>
  <c r="D252" i="4"/>
  <c r="D251" i="4"/>
  <c r="G253" i="4"/>
  <c r="F253" i="4"/>
  <c r="G252" i="4"/>
  <c r="F252" i="4"/>
  <c r="G251" i="4"/>
  <c r="F251" i="4"/>
  <c r="D250" i="4"/>
  <c r="D249" i="4"/>
  <c r="D248" i="4"/>
  <c r="D247" i="4"/>
  <c r="D246" i="4"/>
  <c r="D245" i="4"/>
  <c r="D244" i="4"/>
  <c r="D243" i="4"/>
  <c r="D242" i="4"/>
  <c r="G250" i="4"/>
  <c r="F250" i="4"/>
  <c r="G249" i="4"/>
  <c r="F249" i="4"/>
  <c r="G248" i="4"/>
  <c r="F248" i="4"/>
  <c r="G247" i="4"/>
  <c r="F247" i="4"/>
  <c r="G246" i="4"/>
  <c r="F246" i="4"/>
  <c r="G245" i="4"/>
  <c r="F245" i="4"/>
  <c r="G244" i="4"/>
  <c r="F244" i="4"/>
  <c r="G243" i="4"/>
  <c r="F243" i="4"/>
  <c r="G242" i="4"/>
  <c r="F242" i="4"/>
  <c r="D241" i="4"/>
  <c r="D240" i="4"/>
  <c r="D239" i="4"/>
  <c r="D238" i="4"/>
  <c r="D237" i="4"/>
  <c r="D236" i="4"/>
  <c r="G241" i="4"/>
  <c r="F241" i="4"/>
  <c r="G240" i="4"/>
  <c r="F240" i="4"/>
  <c r="G239" i="4"/>
  <c r="F239" i="4"/>
  <c r="G238" i="4"/>
  <c r="F238" i="4"/>
  <c r="G237" i="4"/>
  <c r="F237" i="4"/>
  <c r="G236" i="4"/>
  <c r="F236" i="4"/>
  <c r="D235" i="4"/>
  <c r="D234" i="4"/>
  <c r="D233" i="4"/>
  <c r="G235" i="4"/>
  <c r="F235" i="4"/>
  <c r="G234" i="4"/>
  <c r="F234" i="4"/>
  <c r="G233" i="4"/>
  <c r="F233" i="4"/>
  <c r="D232" i="4"/>
  <c r="D231" i="4"/>
  <c r="D230" i="4"/>
  <c r="D229" i="4"/>
  <c r="D228" i="4"/>
  <c r="D227" i="4"/>
  <c r="G232" i="4"/>
  <c r="F232" i="4"/>
  <c r="G231" i="4"/>
  <c r="F231" i="4"/>
  <c r="G230" i="4"/>
  <c r="F230" i="4"/>
  <c r="G229" i="4"/>
  <c r="F229" i="4"/>
  <c r="G228" i="4"/>
  <c r="F228" i="4"/>
  <c r="G227" i="4"/>
  <c r="F227" i="4"/>
  <c r="D226" i="4"/>
  <c r="D225" i="4"/>
  <c r="D224" i="4"/>
  <c r="G226" i="4"/>
  <c r="F226" i="4"/>
  <c r="G225" i="4"/>
  <c r="F225" i="4"/>
  <c r="G224" i="4"/>
  <c r="F224" i="4"/>
  <c r="D223" i="4"/>
  <c r="D222" i="4"/>
  <c r="D221" i="4"/>
  <c r="D220" i="4"/>
  <c r="D219" i="4"/>
  <c r="D218" i="4"/>
  <c r="G223" i="4"/>
  <c r="F223" i="4"/>
  <c r="G222" i="4"/>
  <c r="F222" i="4"/>
  <c r="G221" i="4"/>
  <c r="F221" i="4"/>
  <c r="G220" i="4"/>
  <c r="F220" i="4"/>
  <c r="G219" i="4"/>
  <c r="F219" i="4"/>
  <c r="G218" i="4"/>
  <c r="F218" i="4"/>
  <c r="D217" i="4"/>
  <c r="D216" i="4"/>
  <c r="D215" i="4"/>
  <c r="D214" i="4"/>
  <c r="D213" i="4"/>
  <c r="D212" i="4"/>
  <c r="G217" i="4"/>
  <c r="F217" i="4"/>
  <c r="G216" i="4"/>
  <c r="F216" i="4"/>
  <c r="G215" i="4"/>
  <c r="F215" i="4"/>
  <c r="G214" i="4"/>
  <c r="F214" i="4"/>
  <c r="G213" i="4"/>
  <c r="F213" i="4"/>
  <c r="G212" i="4"/>
  <c r="F212" i="4"/>
  <c r="D211" i="4"/>
  <c r="D210" i="4"/>
  <c r="D209" i="4"/>
  <c r="D208" i="4"/>
  <c r="D207" i="4"/>
  <c r="D206" i="4"/>
  <c r="G211" i="4"/>
  <c r="F211" i="4"/>
  <c r="G210" i="4"/>
  <c r="F210" i="4"/>
  <c r="G209" i="4"/>
  <c r="F209" i="4"/>
  <c r="G208" i="4"/>
  <c r="F208" i="4"/>
  <c r="G207" i="4"/>
  <c r="F207" i="4"/>
  <c r="G206" i="4"/>
  <c r="F206" i="4"/>
  <c r="G205" i="4"/>
  <c r="F205" i="4"/>
  <c r="G204" i="4"/>
  <c r="F204" i="4"/>
  <c r="G203" i="4"/>
  <c r="F203" i="4"/>
  <c r="G202" i="4"/>
  <c r="F202" i="4"/>
  <c r="G201" i="4"/>
  <c r="F201" i="4"/>
  <c r="G200" i="4"/>
  <c r="F200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G199" i="4"/>
  <c r="F199" i="4"/>
  <c r="G198" i="4"/>
  <c r="F198" i="4"/>
  <c r="G197" i="4"/>
  <c r="F197" i="4"/>
  <c r="G196" i="4"/>
  <c r="F196" i="4"/>
  <c r="G195" i="4"/>
  <c r="F195" i="4"/>
  <c r="G194" i="4"/>
  <c r="F194" i="4"/>
  <c r="G193" i="4"/>
  <c r="F193" i="4"/>
  <c r="G192" i="4"/>
  <c r="F192" i="4"/>
  <c r="G191" i="4"/>
  <c r="F191" i="4"/>
  <c r="G190" i="4"/>
  <c r="F190" i="4"/>
  <c r="G189" i="4"/>
  <c r="F189" i="4"/>
  <c r="G188" i="4"/>
  <c r="F188" i="4"/>
  <c r="G187" i="4"/>
  <c r="F187" i="4"/>
  <c r="G186" i="4"/>
  <c r="F186" i="4"/>
  <c r="G185" i="4"/>
  <c r="F185" i="4"/>
  <c r="G184" i="4"/>
  <c r="F184" i="4"/>
  <c r="G183" i="4"/>
  <c r="F183" i="4"/>
  <c r="G182" i="4"/>
  <c r="F182" i="4"/>
  <c r="G181" i="4"/>
  <c r="F181" i="4"/>
  <c r="G180" i="4"/>
  <c r="F180" i="4"/>
  <c r="G179" i="4"/>
  <c r="F179" i="4"/>
  <c r="G178" i="4"/>
  <c r="F178" i="4"/>
  <c r="G177" i="4"/>
  <c r="F177" i="4"/>
  <c r="G176" i="4"/>
  <c r="F176" i="4"/>
  <c r="G175" i="4"/>
  <c r="F175" i="4"/>
  <c r="G174" i="4"/>
  <c r="F174" i="4"/>
  <c r="G173" i="4"/>
  <c r="F173" i="4"/>
  <c r="G172" i="4"/>
  <c r="F172" i="4"/>
  <c r="G171" i="4"/>
  <c r="F171" i="4"/>
  <c r="G170" i="4"/>
  <c r="F170" i="4"/>
  <c r="G169" i="4"/>
  <c r="F169" i="4"/>
  <c r="G168" i="4"/>
  <c r="F168" i="4"/>
  <c r="G167" i="4"/>
  <c r="F167" i="4"/>
  <c r="G166" i="4"/>
  <c r="F166" i="4"/>
  <c r="G165" i="4"/>
  <c r="F165" i="4"/>
  <c r="G164" i="4"/>
  <c r="F164" i="4"/>
  <c r="G163" i="4"/>
  <c r="F163" i="4"/>
  <c r="G162" i="4"/>
  <c r="F162" i="4"/>
  <c r="G161" i="4"/>
  <c r="F161" i="4"/>
  <c r="G160" i="4"/>
  <c r="F160" i="4"/>
  <c r="G159" i="4"/>
  <c r="F159" i="4"/>
  <c r="G158" i="4"/>
  <c r="F158" i="4"/>
  <c r="G157" i="4"/>
  <c r="F157" i="4"/>
  <c r="G156" i="4"/>
  <c r="F156" i="4"/>
  <c r="G155" i="4"/>
  <c r="F155" i="4"/>
  <c r="G154" i="4"/>
  <c r="F154" i="4"/>
  <c r="G153" i="4"/>
  <c r="F153" i="4"/>
  <c r="G152" i="4"/>
  <c r="F152" i="4"/>
  <c r="G151" i="4"/>
  <c r="F151" i="4"/>
  <c r="G150" i="4"/>
  <c r="F150" i="4"/>
  <c r="G149" i="4"/>
  <c r="F149" i="4"/>
  <c r="G148" i="4"/>
  <c r="F148" i="4"/>
  <c r="G147" i="4"/>
  <c r="F147" i="4"/>
  <c r="G146" i="4"/>
  <c r="F146" i="4"/>
  <c r="G145" i="4"/>
  <c r="F145" i="4"/>
  <c r="G144" i="4"/>
  <c r="F144" i="4"/>
  <c r="G143" i="4"/>
  <c r="F143" i="4"/>
  <c r="G142" i="4"/>
  <c r="F142" i="4"/>
  <c r="G141" i="4"/>
  <c r="F141" i="4"/>
  <c r="G140" i="4"/>
  <c r="F140" i="4"/>
  <c r="G139" i="4"/>
  <c r="F139" i="4"/>
  <c r="G138" i="4"/>
  <c r="F138" i="4"/>
  <c r="G137" i="4"/>
  <c r="F137" i="4"/>
  <c r="G136" i="4"/>
  <c r="F136" i="4"/>
  <c r="G135" i="4"/>
  <c r="F135" i="4"/>
  <c r="G134" i="4"/>
  <c r="F134" i="4"/>
  <c r="G133" i="4"/>
  <c r="F133" i="4"/>
  <c r="G132" i="4"/>
  <c r="F132" i="4"/>
  <c r="G131" i="4"/>
  <c r="F131" i="4"/>
  <c r="G130" i="4"/>
  <c r="F130" i="4"/>
  <c r="G129" i="4"/>
  <c r="F129" i="4"/>
  <c r="G128" i="4"/>
  <c r="F128" i="4"/>
  <c r="G127" i="4"/>
  <c r="F127" i="4"/>
  <c r="F124" i="4"/>
  <c r="G124" i="4"/>
  <c r="G126" i="4"/>
  <c r="G125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F66" i="4"/>
  <c r="F126" i="4"/>
  <c r="F125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K674" i="5" l="1"/>
  <c r="K14" i="5"/>
  <c r="K228" i="5"/>
  <c r="K89" i="5"/>
  <c r="K597" i="5"/>
  <c r="K8" i="5"/>
  <c r="K20" i="5"/>
  <c r="K91" i="5"/>
  <c r="K117" i="5"/>
  <c r="K405" i="5"/>
  <c r="K5" i="5"/>
  <c r="K88" i="5"/>
  <c r="K6" i="5"/>
  <c r="K372" i="5"/>
  <c r="K9" i="5"/>
  <c r="K21" i="5"/>
  <c r="K92" i="5"/>
  <c r="K124" i="5"/>
  <c r="K408" i="5"/>
  <c r="K2" i="5"/>
  <c r="K225" i="5"/>
  <c r="K673" i="5"/>
  <c r="K773" i="5"/>
  <c r="K114" i="5"/>
  <c r="K19" i="5"/>
  <c r="K90" i="5"/>
  <c r="K1177" i="5"/>
  <c r="K10" i="5"/>
  <c r="K22" i="5"/>
  <c r="K93" i="5"/>
  <c r="K125" i="5"/>
  <c r="K440" i="5"/>
  <c r="K87" i="5"/>
  <c r="K17" i="5"/>
  <c r="K774" i="5"/>
  <c r="K115" i="5"/>
  <c r="K404" i="5"/>
  <c r="K11" i="5"/>
  <c r="K24" i="5"/>
  <c r="K94" i="5"/>
  <c r="K132" i="5"/>
  <c r="K441" i="5"/>
  <c r="K15" i="5"/>
  <c r="K86" i="5"/>
  <c r="K675" i="5"/>
  <c r="K4" i="5"/>
  <c r="K16" i="5"/>
  <c r="K113" i="5"/>
  <c r="K260" i="5"/>
  <c r="K18" i="5"/>
  <c r="K775" i="5"/>
  <c r="K7" i="5"/>
  <c r="K116" i="5"/>
  <c r="K12" i="5"/>
  <c r="K25" i="5"/>
  <c r="K95" i="5"/>
  <c r="K133" i="5"/>
  <c r="K512" i="5"/>
  <c r="K13" i="5"/>
  <c r="K84" i="5"/>
  <c r="K96" i="5"/>
  <c r="K139" i="5"/>
  <c r="K261" i="5"/>
  <c r="K547" i="5"/>
  <c r="K264" i="5"/>
  <c r="K548" i="5"/>
  <c r="K296" i="5"/>
  <c r="K549" i="5"/>
  <c r="K369" i="5"/>
  <c r="K164" i="5"/>
  <c r="K297" i="5"/>
  <c r="K165" i="5"/>
  <c r="K300" i="5"/>
  <c r="K444" i="5"/>
  <c r="K599" i="5"/>
  <c r="K189" i="5"/>
  <c r="K332" i="5"/>
  <c r="K475" i="5"/>
  <c r="K635" i="5"/>
  <c r="K190" i="5"/>
  <c r="K333" i="5"/>
  <c r="K476" i="5"/>
  <c r="K636" i="5"/>
  <c r="K598" i="5"/>
  <c r="K192" i="5"/>
  <c r="K336" i="5"/>
  <c r="K477" i="5"/>
  <c r="K637" i="5"/>
  <c r="K121" i="5"/>
  <c r="K224" i="5"/>
  <c r="K368" i="5"/>
  <c r="K511" i="5"/>
  <c r="K67" i="5"/>
  <c r="K97" i="5"/>
  <c r="K118" i="5"/>
  <c r="K140" i="5"/>
  <c r="K166" i="5"/>
  <c r="K199" i="5"/>
  <c r="K235" i="5"/>
  <c r="K271" i="5"/>
  <c r="K307" i="5"/>
  <c r="K343" i="5"/>
  <c r="K379" i="5"/>
  <c r="K415" i="5"/>
  <c r="K451" i="5"/>
  <c r="K480" i="5"/>
  <c r="K516" i="5"/>
  <c r="K552" i="5"/>
  <c r="K602" i="5"/>
  <c r="K640" i="5"/>
  <c r="K680" i="5"/>
  <c r="K778" i="5"/>
  <c r="I999" i="5"/>
  <c r="K31" i="5"/>
  <c r="K68" i="5"/>
  <c r="K103" i="5"/>
  <c r="K120" i="5"/>
  <c r="K141" i="5"/>
  <c r="K168" i="5"/>
  <c r="K200" i="5"/>
  <c r="K236" i="5"/>
  <c r="K272" i="5"/>
  <c r="K308" i="5"/>
  <c r="K344" i="5"/>
  <c r="K380" i="5"/>
  <c r="K416" i="5"/>
  <c r="K452" i="5"/>
  <c r="K487" i="5"/>
  <c r="K523" i="5"/>
  <c r="K559" i="5"/>
  <c r="K609" i="5"/>
  <c r="K647" i="5"/>
  <c r="K743" i="5"/>
  <c r="K175" i="5"/>
  <c r="K237" i="5"/>
  <c r="K309" i="5"/>
  <c r="K345" i="5"/>
  <c r="K417" i="5"/>
  <c r="K453" i="5"/>
  <c r="K524" i="5"/>
  <c r="K610" i="5"/>
  <c r="K70" i="5"/>
  <c r="K144" i="5"/>
  <c r="K240" i="5"/>
  <c r="K312" i="5"/>
  <c r="K384" i="5"/>
  <c r="K456" i="5"/>
  <c r="K525" i="5"/>
  <c r="K611" i="5"/>
  <c r="K649" i="5"/>
  <c r="K72" i="5"/>
  <c r="K106" i="5"/>
  <c r="K151" i="5"/>
  <c r="K211" i="5"/>
  <c r="K247" i="5"/>
  <c r="K283" i="5"/>
  <c r="K355" i="5"/>
  <c r="K391" i="5"/>
  <c r="K427" i="5"/>
  <c r="K463" i="5"/>
  <c r="K492" i="5"/>
  <c r="K528" i="5"/>
  <c r="K564" i="5"/>
  <c r="K614" i="5"/>
  <c r="K652" i="5"/>
  <c r="K748" i="5"/>
  <c r="K73" i="5"/>
  <c r="K127" i="5"/>
  <c r="K152" i="5"/>
  <c r="K178" i="5"/>
  <c r="K212" i="5"/>
  <c r="K248" i="5"/>
  <c r="K284" i="5"/>
  <c r="K320" i="5"/>
  <c r="K356" i="5"/>
  <c r="K392" i="5"/>
  <c r="K428" i="5"/>
  <c r="K464" i="5"/>
  <c r="K499" i="5"/>
  <c r="K535" i="5"/>
  <c r="K581" i="5"/>
  <c r="K623" i="5"/>
  <c r="K659" i="5"/>
  <c r="K761" i="5"/>
  <c r="K176" i="5"/>
  <c r="K177" i="5"/>
  <c r="K79" i="5"/>
  <c r="K128" i="5"/>
  <c r="K153" i="5"/>
  <c r="K180" i="5"/>
  <c r="K213" i="5"/>
  <c r="K249" i="5"/>
  <c r="K285" i="5"/>
  <c r="K321" i="5"/>
  <c r="K357" i="5"/>
  <c r="K393" i="5"/>
  <c r="K429" i="5"/>
  <c r="K465" i="5"/>
  <c r="K500" i="5"/>
  <c r="K536" i="5"/>
  <c r="K582" i="5"/>
  <c r="K624" i="5"/>
  <c r="K660" i="5"/>
  <c r="K772" i="5"/>
  <c r="K760" i="5"/>
  <c r="K742" i="5"/>
  <c r="K672" i="5"/>
  <c r="K658" i="5"/>
  <c r="K646" i="5"/>
  <c r="K634" i="5"/>
  <c r="K622" i="5"/>
  <c r="K608" i="5"/>
  <c r="K596" i="5"/>
  <c r="K580" i="5"/>
  <c r="K558" i="5"/>
  <c r="K546" i="5"/>
  <c r="K534" i="5"/>
  <c r="K522" i="5"/>
  <c r="K510" i="5"/>
  <c r="K498" i="5"/>
  <c r="K486" i="5"/>
  <c r="K474" i="5"/>
  <c r="K462" i="5"/>
  <c r="K450" i="5"/>
  <c r="K438" i="5"/>
  <c r="K426" i="5"/>
  <c r="K414" i="5"/>
  <c r="K402" i="5"/>
  <c r="K390" i="5"/>
  <c r="K378" i="5"/>
  <c r="K366" i="5"/>
  <c r="K354" i="5"/>
  <c r="K342" i="5"/>
  <c r="K330" i="5"/>
  <c r="K318" i="5"/>
  <c r="K306" i="5"/>
  <c r="K294" i="5"/>
  <c r="K282" i="5"/>
  <c r="K270" i="5"/>
  <c r="K258" i="5"/>
  <c r="K246" i="5"/>
  <c r="K234" i="5"/>
  <c r="K222" i="5"/>
  <c r="K210" i="5"/>
  <c r="K198" i="5"/>
  <c r="K186" i="5"/>
  <c r="K174" i="5"/>
  <c r="K162" i="5"/>
  <c r="K150" i="5"/>
  <c r="K138" i="5"/>
  <c r="K126" i="5"/>
  <c r="K102" i="5"/>
  <c r="K78" i="5"/>
  <c r="K66" i="5"/>
  <c r="K30" i="5"/>
  <c r="K76" i="5"/>
  <c r="K362" i="5"/>
  <c r="K98" i="5"/>
  <c r="K767" i="5"/>
  <c r="K755" i="5"/>
  <c r="K681" i="5"/>
  <c r="K667" i="5"/>
  <c r="K653" i="5"/>
  <c r="K629" i="5"/>
  <c r="K603" i="5"/>
  <c r="K553" i="5"/>
  <c r="K529" i="5"/>
  <c r="K505" i="5"/>
  <c r="K493" i="5"/>
  <c r="K457" i="5"/>
  <c r="K445" i="5"/>
  <c r="K421" i="5"/>
  <c r="K409" i="5"/>
  <c r="K397" i="5"/>
  <c r="K373" i="5"/>
  <c r="K337" i="5"/>
  <c r="K301" i="5"/>
  <c r="K277" i="5"/>
  <c r="K253" i="5"/>
  <c r="K229" i="5"/>
  <c r="K205" i="5"/>
  <c r="K181" i="5"/>
  <c r="K145" i="5"/>
  <c r="I1000" i="5"/>
  <c r="I785" i="5"/>
  <c r="K771" i="5"/>
  <c r="K759" i="5"/>
  <c r="K741" i="5"/>
  <c r="K671" i="5"/>
  <c r="K657" i="5"/>
  <c r="K645" i="5"/>
  <c r="K633" i="5"/>
  <c r="K621" i="5"/>
  <c r="K607" i="5"/>
  <c r="K595" i="5"/>
  <c r="K579" i="5"/>
  <c r="K557" i="5"/>
  <c r="K545" i="5"/>
  <c r="K533" i="5"/>
  <c r="K521" i="5"/>
  <c r="K509" i="5"/>
  <c r="K497" i="5"/>
  <c r="K485" i="5"/>
  <c r="K473" i="5"/>
  <c r="K461" i="5"/>
  <c r="K449" i="5"/>
  <c r="K437" i="5"/>
  <c r="K425" i="5"/>
  <c r="K413" i="5"/>
  <c r="K401" i="5"/>
  <c r="K389" i="5"/>
  <c r="K377" i="5"/>
  <c r="K365" i="5"/>
  <c r="K353" i="5"/>
  <c r="K341" i="5"/>
  <c r="K329" i="5"/>
  <c r="K317" i="5"/>
  <c r="K305" i="5"/>
  <c r="K293" i="5"/>
  <c r="K281" i="5"/>
  <c r="K269" i="5"/>
  <c r="K257" i="5"/>
  <c r="K245" i="5"/>
  <c r="K233" i="5"/>
  <c r="K221" i="5"/>
  <c r="K209" i="5"/>
  <c r="K197" i="5"/>
  <c r="K185" i="5"/>
  <c r="K173" i="5"/>
  <c r="K161" i="5"/>
  <c r="K149" i="5"/>
  <c r="K137" i="5"/>
  <c r="K101" i="5"/>
  <c r="K77" i="5"/>
  <c r="K29" i="5"/>
  <c r="K641" i="5"/>
  <c r="K313" i="5"/>
  <c r="K157" i="5"/>
  <c r="K786" i="5"/>
  <c r="K770" i="5"/>
  <c r="K758" i="5"/>
  <c r="K740" i="5"/>
  <c r="K670" i="5"/>
  <c r="K656" i="5"/>
  <c r="K644" i="5"/>
  <c r="K632" i="5"/>
  <c r="K620" i="5"/>
  <c r="K606" i="5"/>
  <c r="K594" i="5"/>
  <c r="K568" i="5"/>
  <c r="K556" i="5"/>
  <c r="K544" i="5"/>
  <c r="K532" i="5"/>
  <c r="K520" i="5"/>
  <c r="K508" i="5"/>
  <c r="K496" i="5"/>
  <c r="K484" i="5"/>
  <c r="K472" i="5"/>
  <c r="K460" i="5"/>
  <c r="K448" i="5"/>
  <c r="K436" i="5"/>
  <c r="K424" i="5"/>
  <c r="K412" i="5"/>
  <c r="K400" i="5"/>
  <c r="K388" i="5"/>
  <c r="K376" i="5"/>
  <c r="K364" i="5"/>
  <c r="K352" i="5"/>
  <c r="K340" i="5"/>
  <c r="K328" i="5"/>
  <c r="K316" i="5"/>
  <c r="K304" i="5"/>
  <c r="K292" i="5"/>
  <c r="K280" i="5"/>
  <c r="K268" i="5"/>
  <c r="K256" i="5"/>
  <c r="K244" i="5"/>
  <c r="K232" i="5"/>
  <c r="K220" i="5"/>
  <c r="K208" i="5"/>
  <c r="K196" i="5"/>
  <c r="K184" i="5"/>
  <c r="K172" i="5"/>
  <c r="K160" i="5"/>
  <c r="K148" i="5"/>
  <c r="K136" i="5"/>
  <c r="K112" i="5"/>
  <c r="K100" i="5"/>
  <c r="K28" i="5"/>
  <c r="K134" i="5"/>
  <c r="K781" i="5"/>
  <c r="K769" i="5"/>
  <c r="K757" i="5"/>
  <c r="K739" i="5"/>
  <c r="K669" i="5"/>
  <c r="K655" i="5"/>
  <c r="K643" i="5"/>
  <c r="K631" i="5"/>
  <c r="K619" i="5"/>
  <c r="K605" i="5"/>
  <c r="K593" i="5"/>
  <c r="K567" i="5"/>
  <c r="K555" i="5"/>
  <c r="K543" i="5"/>
  <c r="K531" i="5"/>
  <c r="K519" i="5"/>
  <c r="K507" i="5"/>
  <c r="K495" i="5"/>
  <c r="K483" i="5"/>
  <c r="K471" i="5"/>
  <c r="K459" i="5"/>
  <c r="K447" i="5"/>
  <c r="K435" i="5"/>
  <c r="K423" i="5"/>
  <c r="K411" i="5"/>
  <c r="K399" i="5"/>
  <c r="K387" i="5"/>
  <c r="K375" i="5"/>
  <c r="K363" i="5"/>
  <c r="K351" i="5"/>
  <c r="K339" i="5"/>
  <c r="K327" i="5"/>
  <c r="K315" i="5"/>
  <c r="K303" i="5"/>
  <c r="K291" i="5"/>
  <c r="K279" i="5"/>
  <c r="K267" i="5"/>
  <c r="K255" i="5"/>
  <c r="K243" i="5"/>
  <c r="K231" i="5"/>
  <c r="K219" i="5"/>
  <c r="K207" i="5"/>
  <c r="K195" i="5"/>
  <c r="K183" i="5"/>
  <c r="K171" i="5"/>
  <c r="K159" i="5"/>
  <c r="K147" i="5"/>
  <c r="K135" i="5"/>
  <c r="K123" i="5"/>
  <c r="K111" i="5"/>
  <c r="K99" i="5"/>
  <c r="K75" i="5"/>
  <c r="K27" i="5"/>
  <c r="K3" i="5"/>
  <c r="K768" i="5"/>
  <c r="K542" i="5"/>
  <c r="K506" i="5"/>
  <c r="K494" i="5"/>
  <c r="K458" i="5"/>
  <c r="K434" i="5"/>
  <c r="K422" i="5"/>
  <c r="K398" i="5"/>
  <c r="K374" i="5"/>
  <c r="K338" i="5"/>
  <c r="K314" i="5"/>
  <c r="K290" i="5"/>
  <c r="K266" i="5"/>
  <c r="K242" i="5"/>
  <c r="K218" i="5"/>
  <c r="K194" i="5"/>
  <c r="K170" i="5"/>
  <c r="K146" i="5"/>
  <c r="K122" i="5"/>
  <c r="K74" i="5"/>
  <c r="K433" i="5"/>
  <c r="K385" i="5"/>
  <c r="K361" i="5"/>
  <c r="K349" i="5"/>
  <c r="K325" i="5"/>
  <c r="K289" i="5"/>
  <c r="K265" i="5"/>
  <c r="K241" i="5"/>
  <c r="K217" i="5"/>
  <c r="K193" i="5"/>
  <c r="K169" i="5"/>
  <c r="I997" i="5"/>
  <c r="I1001" i="5"/>
  <c r="K780" i="5"/>
  <c r="K756" i="5"/>
  <c r="K682" i="5"/>
  <c r="K668" i="5"/>
  <c r="K654" i="5"/>
  <c r="K642" i="5"/>
  <c r="K630" i="5"/>
  <c r="K616" i="5"/>
  <c r="K604" i="5"/>
  <c r="K592" i="5"/>
  <c r="K566" i="5"/>
  <c r="K554" i="5"/>
  <c r="K530" i="5"/>
  <c r="K518" i="5"/>
  <c r="K482" i="5"/>
  <c r="K470" i="5"/>
  <c r="K446" i="5"/>
  <c r="K410" i="5"/>
  <c r="K386" i="5"/>
  <c r="K350" i="5"/>
  <c r="K326" i="5"/>
  <c r="K302" i="5"/>
  <c r="K278" i="5"/>
  <c r="K254" i="5"/>
  <c r="K230" i="5"/>
  <c r="K206" i="5"/>
  <c r="K182" i="5"/>
  <c r="K158" i="5"/>
  <c r="K110" i="5"/>
  <c r="K26" i="5"/>
  <c r="K779" i="5"/>
  <c r="K615" i="5"/>
  <c r="K591" i="5"/>
  <c r="K565" i="5"/>
  <c r="K541" i="5"/>
  <c r="K517" i="5"/>
  <c r="K481" i="5"/>
  <c r="I998" i="5"/>
  <c r="I783" i="5"/>
  <c r="K777" i="5"/>
  <c r="K765" i="5"/>
  <c r="K747" i="5"/>
  <c r="K679" i="5"/>
  <c r="K665" i="5"/>
  <c r="K651" i="5"/>
  <c r="K639" i="5"/>
  <c r="K627" i="5"/>
  <c r="K613" i="5"/>
  <c r="K601" i="5"/>
  <c r="K589" i="5"/>
  <c r="K563" i="5"/>
  <c r="K551" i="5"/>
  <c r="K539" i="5"/>
  <c r="K527" i="5"/>
  <c r="K515" i="5"/>
  <c r="K503" i="5"/>
  <c r="K491" i="5"/>
  <c r="K479" i="5"/>
  <c r="K467" i="5"/>
  <c r="K455" i="5"/>
  <c r="K443" i="5"/>
  <c r="K431" i="5"/>
  <c r="K419" i="5"/>
  <c r="K407" i="5"/>
  <c r="K395" i="5"/>
  <c r="K383" i="5"/>
  <c r="K371" i="5"/>
  <c r="K359" i="5"/>
  <c r="K347" i="5"/>
  <c r="K335" i="5"/>
  <c r="K323" i="5"/>
  <c r="K311" i="5"/>
  <c r="K299" i="5"/>
  <c r="K287" i="5"/>
  <c r="K275" i="5"/>
  <c r="K263" i="5"/>
  <c r="K251" i="5"/>
  <c r="K239" i="5"/>
  <c r="K227" i="5"/>
  <c r="K215" i="5"/>
  <c r="K203" i="5"/>
  <c r="K191" i="5"/>
  <c r="K179" i="5"/>
  <c r="K167" i="5"/>
  <c r="K155" i="5"/>
  <c r="K143" i="5"/>
  <c r="K131" i="5"/>
  <c r="K119" i="5"/>
  <c r="K107" i="5"/>
  <c r="K71" i="5"/>
  <c r="K23" i="5"/>
  <c r="K776" i="5"/>
  <c r="K764" i="5"/>
  <c r="K746" i="5"/>
  <c r="K678" i="5"/>
  <c r="K664" i="5"/>
  <c r="K650" i="5"/>
  <c r="K638" i="5"/>
  <c r="K626" i="5"/>
  <c r="K612" i="5"/>
  <c r="K600" i="5"/>
  <c r="K588" i="5"/>
  <c r="K562" i="5"/>
  <c r="K550" i="5"/>
  <c r="K538" i="5"/>
  <c r="K526" i="5"/>
  <c r="K514" i="5"/>
  <c r="K502" i="5"/>
  <c r="K490" i="5"/>
  <c r="K478" i="5"/>
  <c r="K466" i="5"/>
  <c r="K454" i="5"/>
  <c r="K442" i="5"/>
  <c r="K430" i="5"/>
  <c r="K418" i="5"/>
  <c r="K406" i="5"/>
  <c r="K394" i="5"/>
  <c r="K382" i="5"/>
  <c r="K370" i="5"/>
  <c r="K358" i="5"/>
  <c r="K346" i="5"/>
  <c r="K334" i="5"/>
  <c r="K322" i="5"/>
  <c r="K310" i="5"/>
  <c r="K298" i="5"/>
  <c r="K286" i="5"/>
  <c r="K274" i="5"/>
  <c r="K262" i="5"/>
  <c r="K250" i="5"/>
  <c r="K238" i="5"/>
  <c r="K226" i="5"/>
  <c r="K214" i="5"/>
  <c r="K202" i="5"/>
  <c r="K69" i="5"/>
  <c r="K104" i="5"/>
  <c r="K142" i="5"/>
  <c r="K201" i="5"/>
  <c r="K273" i="5"/>
  <c r="K381" i="5"/>
  <c r="K488" i="5"/>
  <c r="K560" i="5"/>
  <c r="K648" i="5"/>
  <c r="K105" i="5"/>
  <c r="K204" i="5"/>
  <c r="K276" i="5"/>
  <c r="K348" i="5"/>
  <c r="K420" i="5"/>
  <c r="K489" i="5"/>
  <c r="K561" i="5"/>
  <c r="I784" i="5"/>
  <c r="K319" i="5"/>
  <c r="K80" i="5"/>
  <c r="K129" i="5"/>
  <c r="K154" i="5"/>
  <c r="K187" i="5"/>
  <c r="K216" i="5"/>
  <c r="K252" i="5"/>
  <c r="K288" i="5"/>
  <c r="K324" i="5"/>
  <c r="K360" i="5"/>
  <c r="K396" i="5"/>
  <c r="K432" i="5"/>
  <c r="K468" i="5"/>
  <c r="K501" i="5"/>
  <c r="K537" i="5"/>
  <c r="K583" i="5"/>
  <c r="K625" i="5"/>
  <c r="K661" i="5"/>
  <c r="K763" i="5"/>
  <c r="K744" i="5"/>
  <c r="K745" i="5"/>
  <c r="K81" i="5"/>
  <c r="K130" i="5"/>
  <c r="K156" i="5"/>
  <c r="K188" i="5"/>
  <c r="K223" i="5"/>
  <c r="K259" i="5"/>
  <c r="K295" i="5"/>
  <c r="K331" i="5"/>
  <c r="K367" i="5"/>
  <c r="K403" i="5"/>
  <c r="K439" i="5"/>
  <c r="K469" i="5"/>
  <c r="K504" i="5"/>
  <c r="K540" i="5"/>
  <c r="K590" i="5"/>
  <c r="K628" i="5"/>
  <c r="K666" i="5"/>
  <c r="K766" i="5"/>
  <c r="K1046" i="5"/>
  <c r="K683" i="5"/>
  <c r="K711" i="5"/>
  <c r="K737" i="5"/>
  <c r="K807" i="5"/>
  <c r="K835" i="5"/>
  <c r="K861" i="5"/>
  <c r="K894" i="5"/>
  <c r="K920" i="5"/>
  <c r="K951" i="5"/>
  <c r="K979" i="5"/>
  <c r="K1010" i="5"/>
  <c r="K1043" i="5"/>
  <c r="K1069" i="5"/>
  <c r="K1100" i="5"/>
  <c r="K1128" i="5"/>
  <c r="K1163" i="5"/>
  <c r="K1164" i="5"/>
  <c r="K980" i="5"/>
  <c r="K687" i="5"/>
  <c r="K713" i="5"/>
  <c r="K811" i="5"/>
  <c r="K837" i="5"/>
  <c r="K870" i="5"/>
  <c r="K896" i="5"/>
  <c r="K927" i="5"/>
  <c r="K955" i="5"/>
  <c r="K981" i="5"/>
  <c r="K1019" i="5"/>
  <c r="K1045" i="5"/>
  <c r="K1076" i="5"/>
  <c r="K1104" i="5"/>
  <c r="K1130" i="5"/>
  <c r="K1165" i="5"/>
  <c r="K1079" i="5"/>
  <c r="K1105" i="5"/>
  <c r="K1136" i="5"/>
  <c r="K1166" i="5"/>
  <c r="K843" i="5"/>
  <c r="K722" i="5"/>
  <c r="K787" i="5"/>
  <c r="K813" i="5"/>
  <c r="K846" i="5"/>
  <c r="K872" i="5"/>
  <c r="K903" i="5"/>
  <c r="K931" i="5"/>
  <c r="K957" i="5"/>
  <c r="K989" i="5"/>
  <c r="K1021" i="5"/>
  <c r="K1052" i="5"/>
  <c r="K1080" i="5"/>
  <c r="K1106" i="5"/>
  <c r="K1139" i="5"/>
  <c r="K1175" i="5"/>
  <c r="K871" i="5"/>
  <c r="K906" i="5"/>
  <c r="K932" i="5"/>
  <c r="K963" i="5"/>
  <c r="K990" i="5"/>
  <c r="K1022" i="5"/>
  <c r="K1055" i="5"/>
  <c r="K1081" i="5"/>
  <c r="K1112" i="5"/>
  <c r="K1140" i="5"/>
  <c r="K1176" i="5"/>
  <c r="K836" i="5"/>
  <c r="K867" i="5"/>
  <c r="K895" i="5"/>
  <c r="K1016" i="5"/>
  <c r="K1070" i="5"/>
  <c r="K688" i="5"/>
  <c r="K719" i="5"/>
  <c r="K812" i="5"/>
  <c r="K930" i="5"/>
  <c r="K676" i="5"/>
  <c r="K695" i="5"/>
  <c r="K723" i="5"/>
  <c r="K847" i="5"/>
  <c r="K698" i="5"/>
  <c r="K724" i="5"/>
  <c r="K789" i="5"/>
  <c r="K822" i="5"/>
  <c r="K848" i="5"/>
  <c r="K879" i="5"/>
  <c r="K907" i="5"/>
  <c r="K933" i="5"/>
  <c r="K966" i="5"/>
  <c r="K991" i="5"/>
  <c r="K1028" i="5"/>
  <c r="K1056" i="5"/>
  <c r="K1082" i="5"/>
  <c r="K1115" i="5"/>
  <c r="K1141" i="5"/>
  <c r="K1199" i="5"/>
  <c r="K1198" i="5"/>
  <c r="K1186" i="5"/>
  <c r="K1174" i="5"/>
  <c r="K1162" i="5"/>
  <c r="K1150" i="5"/>
  <c r="K1138" i="5"/>
  <c r="K1126" i="5"/>
  <c r="K1114" i="5"/>
  <c r="K1102" i="5"/>
  <c r="K1090" i="5"/>
  <c r="K1078" i="5"/>
  <c r="K1066" i="5"/>
  <c r="K1054" i="5"/>
  <c r="K1042" i="5"/>
  <c r="K1030" i="5"/>
  <c r="K1018" i="5"/>
  <c r="K1006" i="5"/>
  <c r="K988" i="5"/>
  <c r="K977" i="5"/>
  <c r="K965" i="5"/>
  <c r="K953" i="5"/>
  <c r="K941" i="5"/>
  <c r="K929" i="5"/>
  <c r="K917" i="5"/>
  <c r="K905" i="5"/>
  <c r="K893" i="5"/>
  <c r="K881" i="5"/>
  <c r="K869" i="5"/>
  <c r="K857" i="5"/>
  <c r="K845" i="5"/>
  <c r="K833" i="5"/>
  <c r="K821" i="5"/>
  <c r="K809" i="5"/>
  <c r="K797" i="5"/>
  <c r="K733" i="5"/>
  <c r="K721" i="5"/>
  <c r="K709" i="5"/>
  <c r="K697" i="5"/>
  <c r="K685" i="5"/>
  <c r="K587" i="5"/>
  <c r="K575" i="5"/>
  <c r="K1185" i="5"/>
  <c r="K1173" i="5"/>
  <c r="K1161" i="5"/>
  <c r="K1149" i="5"/>
  <c r="K1137" i="5"/>
  <c r="K1125" i="5"/>
  <c r="K1113" i="5"/>
  <c r="K1101" i="5"/>
  <c r="K1089" i="5"/>
  <c r="K1077" i="5"/>
  <c r="K1065" i="5"/>
  <c r="K1053" i="5"/>
  <c r="K1041" i="5"/>
  <c r="K1029" i="5"/>
  <c r="K1017" i="5"/>
  <c r="K1005" i="5"/>
  <c r="K987" i="5"/>
  <c r="K976" i="5"/>
  <c r="K964" i="5"/>
  <c r="K952" i="5"/>
  <c r="K940" i="5"/>
  <c r="K928" i="5"/>
  <c r="K916" i="5"/>
  <c r="K904" i="5"/>
  <c r="K892" i="5"/>
  <c r="K880" i="5"/>
  <c r="K868" i="5"/>
  <c r="K856" i="5"/>
  <c r="K844" i="5"/>
  <c r="K832" i="5"/>
  <c r="K820" i="5"/>
  <c r="K808" i="5"/>
  <c r="K796" i="5"/>
  <c r="K732" i="5"/>
  <c r="K720" i="5"/>
  <c r="K708" i="5"/>
  <c r="K696" i="5"/>
  <c r="K684" i="5"/>
  <c r="K586" i="5"/>
  <c r="K574" i="5"/>
  <c r="K1184" i="5"/>
  <c r="K1172" i="5"/>
  <c r="K1160" i="5"/>
  <c r="K1148" i="5"/>
  <c r="K1197" i="5"/>
  <c r="K1196" i="5"/>
  <c r="K1195" i="5"/>
  <c r="K1183" i="5"/>
  <c r="K1171" i="5"/>
  <c r="K1159" i="5"/>
  <c r="K1147" i="5"/>
  <c r="K1135" i="5"/>
  <c r="K1111" i="5"/>
  <c r="K1099" i="5"/>
  <c r="K1087" i="5"/>
  <c r="K1075" i="5"/>
  <c r="K1063" i="5"/>
  <c r="K1051" i="5"/>
  <c r="K1039" i="5"/>
  <c r="K1027" i="5"/>
  <c r="K1015" i="5"/>
  <c r="K1003" i="5"/>
  <c r="K985" i="5"/>
  <c r="K974" i="5"/>
  <c r="K962" i="5"/>
  <c r="K950" i="5"/>
  <c r="K938" i="5"/>
  <c r="K926" i="5"/>
  <c r="K914" i="5"/>
  <c r="K902" i="5"/>
  <c r="K890" i="5"/>
  <c r="K878" i="5"/>
  <c r="K866" i="5"/>
  <c r="K854" i="5"/>
  <c r="K842" i="5"/>
  <c r="K830" i="5"/>
  <c r="K818" i="5"/>
  <c r="K806" i="5"/>
  <c r="K794" i="5"/>
  <c r="K754" i="5"/>
  <c r="K730" i="5"/>
  <c r="K718" i="5"/>
  <c r="K706" i="5"/>
  <c r="K694" i="5"/>
  <c r="K584" i="5"/>
  <c r="K572" i="5"/>
  <c r="K691" i="5"/>
  <c r="K617" i="5"/>
  <c r="K1194" i="5"/>
  <c r="K1182" i="5"/>
  <c r="K1170" i="5"/>
  <c r="K1158" i="5"/>
  <c r="K1146" i="5"/>
  <c r="K1134" i="5"/>
  <c r="K1110" i="5"/>
  <c r="K1098" i="5"/>
  <c r="K1086" i="5"/>
  <c r="K1074" i="5"/>
  <c r="K1062" i="5"/>
  <c r="K1050" i="5"/>
  <c r="K1038" i="5"/>
  <c r="K1026" i="5"/>
  <c r="K1014" i="5"/>
  <c r="K1002" i="5"/>
  <c r="K984" i="5"/>
  <c r="K973" i="5"/>
  <c r="K961" i="5"/>
  <c r="K949" i="5"/>
  <c r="K937" i="5"/>
  <c r="K925" i="5"/>
  <c r="K913" i="5"/>
  <c r="K901" i="5"/>
  <c r="K889" i="5"/>
  <c r="K877" i="5"/>
  <c r="K865" i="5"/>
  <c r="K853" i="5"/>
  <c r="K841" i="5"/>
  <c r="K829" i="5"/>
  <c r="K817" i="5"/>
  <c r="K805" i="5"/>
  <c r="K793" i="5"/>
  <c r="K753" i="5"/>
  <c r="K729" i="5"/>
  <c r="K717" i="5"/>
  <c r="K705" i="5"/>
  <c r="K693" i="5"/>
  <c r="K571" i="5"/>
  <c r="K828" i="5"/>
  <c r="K792" i="5"/>
  <c r="K752" i="5"/>
  <c r="K728" i="5"/>
  <c r="K716" i="5"/>
  <c r="K704" i="5"/>
  <c r="K692" i="5"/>
  <c r="K618" i="5"/>
  <c r="K570" i="5"/>
  <c r="K569" i="5"/>
  <c r="K1193" i="5"/>
  <c r="K1181" i="5"/>
  <c r="K1169" i="5"/>
  <c r="K1157" i="5"/>
  <c r="K1145" i="5"/>
  <c r="K1133" i="5"/>
  <c r="K1109" i="5"/>
  <c r="K1097" i="5"/>
  <c r="K1085" i="5"/>
  <c r="K1073" i="5"/>
  <c r="K1061" i="5"/>
  <c r="K1049" i="5"/>
  <c r="K1037" i="5"/>
  <c r="K1025" i="5"/>
  <c r="K1013" i="5"/>
  <c r="K995" i="5"/>
  <c r="K983" i="5"/>
  <c r="K972" i="5"/>
  <c r="K960" i="5"/>
  <c r="K948" i="5"/>
  <c r="K936" i="5"/>
  <c r="K924" i="5"/>
  <c r="K912" i="5"/>
  <c r="K900" i="5"/>
  <c r="K888" i="5"/>
  <c r="K876" i="5"/>
  <c r="K864" i="5"/>
  <c r="K852" i="5"/>
  <c r="K840" i="5"/>
  <c r="K816" i="5"/>
  <c r="K804" i="5"/>
  <c r="K1192" i="5"/>
  <c r="K1180" i="5"/>
  <c r="K1168" i="5"/>
  <c r="K1156" i="5"/>
  <c r="K1144" i="5"/>
  <c r="K1132" i="5"/>
  <c r="K1120" i="5"/>
  <c r="K1108" i="5"/>
  <c r="K1096" i="5"/>
  <c r="K1084" i="5"/>
  <c r="K1072" i="5"/>
  <c r="K1060" i="5"/>
  <c r="K1048" i="5"/>
  <c r="K1036" i="5"/>
  <c r="K1024" i="5"/>
  <c r="K1012" i="5"/>
  <c r="K994" i="5"/>
  <c r="K971" i="5"/>
  <c r="K959" i="5"/>
  <c r="K947" i="5"/>
  <c r="K935" i="5"/>
  <c r="K923" i="5"/>
  <c r="K911" i="5"/>
  <c r="K899" i="5"/>
  <c r="K887" i="5"/>
  <c r="K875" i="5"/>
  <c r="K863" i="5"/>
  <c r="K851" i="5"/>
  <c r="K839" i="5"/>
  <c r="K827" i="5"/>
  <c r="K815" i="5"/>
  <c r="K803" i="5"/>
  <c r="K791" i="5"/>
  <c r="K751" i="5"/>
  <c r="K727" i="5"/>
  <c r="K715" i="5"/>
  <c r="K703" i="5"/>
  <c r="K1191" i="5"/>
  <c r="K1179" i="5"/>
  <c r="K1167" i="5"/>
  <c r="K1155" i="5"/>
  <c r="K1143" i="5"/>
  <c r="K1131" i="5"/>
  <c r="K1119" i="5"/>
  <c r="K1107" i="5"/>
  <c r="K1095" i="5"/>
  <c r="K1083" i="5"/>
  <c r="K1071" i="5"/>
  <c r="K1059" i="5"/>
  <c r="K1047" i="5"/>
  <c r="K1035" i="5"/>
  <c r="K1023" i="5"/>
  <c r="K1011" i="5"/>
  <c r="K993" i="5"/>
  <c r="K982" i="5"/>
  <c r="K970" i="5"/>
  <c r="K958" i="5"/>
  <c r="K946" i="5"/>
  <c r="K934" i="5"/>
  <c r="K922" i="5"/>
  <c r="K910" i="5"/>
  <c r="K898" i="5"/>
  <c r="K886" i="5"/>
  <c r="K874" i="5"/>
  <c r="K862" i="5"/>
  <c r="K850" i="5"/>
  <c r="K838" i="5"/>
  <c r="K826" i="5"/>
  <c r="K814" i="5"/>
  <c r="K802" i="5"/>
  <c r="K790" i="5"/>
  <c r="K750" i="5"/>
  <c r="K738" i="5"/>
  <c r="K726" i="5"/>
  <c r="K714" i="5"/>
  <c r="K702" i="5"/>
  <c r="K690" i="5"/>
  <c r="K921" i="5"/>
  <c r="K1044" i="5"/>
  <c r="K1020" i="5"/>
  <c r="K585" i="5"/>
  <c r="K788" i="5"/>
  <c r="K819" i="5"/>
  <c r="K873" i="5"/>
  <c r="K677" i="5"/>
  <c r="K573" i="5"/>
  <c r="K699" i="5"/>
  <c r="K725" i="5"/>
  <c r="K795" i="5"/>
  <c r="K823" i="5"/>
  <c r="K849" i="5"/>
  <c r="K882" i="5"/>
  <c r="K908" i="5"/>
  <c r="K939" i="5"/>
  <c r="K967" i="5"/>
  <c r="K992" i="5"/>
  <c r="K1031" i="5"/>
  <c r="K1057" i="5"/>
  <c r="K1088" i="5"/>
  <c r="K1116" i="5"/>
  <c r="K1142" i="5"/>
  <c r="K1178" i="5"/>
  <c r="K954" i="5"/>
  <c r="K1129" i="5"/>
  <c r="K956" i="5"/>
  <c r="K731" i="5"/>
  <c r="K824" i="5"/>
  <c r="K855" i="5"/>
  <c r="K883" i="5"/>
  <c r="K909" i="5"/>
  <c r="K942" i="5"/>
  <c r="K968" i="5"/>
  <c r="K1004" i="5"/>
  <c r="K1032" i="5"/>
  <c r="K1058" i="5"/>
  <c r="K1091" i="5"/>
  <c r="K1117" i="5"/>
  <c r="K1151" i="5"/>
  <c r="K1187" i="5"/>
  <c r="K986" i="5"/>
  <c r="K689" i="5"/>
  <c r="K798" i="5"/>
  <c r="K858" i="5"/>
  <c r="K884" i="5"/>
  <c r="K943" i="5"/>
  <c r="K969" i="5"/>
  <c r="K1007" i="5"/>
  <c r="K1033" i="5"/>
  <c r="K1064" i="5"/>
  <c r="K1092" i="5"/>
  <c r="K1118" i="5"/>
  <c r="K1152" i="5"/>
  <c r="K1188" i="5"/>
  <c r="K686" i="5"/>
  <c r="K712" i="5"/>
  <c r="K810" i="5"/>
  <c r="K1103" i="5"/>
  <c r="K897" i="5"/>
  <c r="K576" i="5"/>
  <c r="K700" i="5"/>
  <c r="K577" i="5"/>
  <c r="K701" i="5"/>
  <c r="K734" i="5"/>
  <c r="K799" i="5"/>
  <c r="K825" i="5"/>
  <c r="K915" i="5"/>
  <c r="K578" i="5"/>
  <c r="K707" i="5"/>
  <c r="K735" i="5"/>
  <c r="K800" i="5"/>
  <c r="K831" i="5"/>
  <c r="K859" i="5"/>
  <c r="K885" i="5"/>
  <c r="K918" i="5"/>
  <c r="K944" i="5"/>
  <c r="K975" i="5"/>
  <c r="K1008" i="5"/>
  <c r="K1034" i="5"/>
  <c r="K1067" i="5"/>
  <c r="K1093" i="5"/>
  <c r="K1153" i="5"/>
  <c r="K1189" i="5"/>
  <c r="K710" i="5"/>
  <c r="K736" i="5"/>
  <c r="K749" i="5"/>
  <c r="K801" i="5"/>
  <c r="K834" i="5"/>
  <c r="K860" i="5"/>
  <c r="K891" i="5"/>
  <c r="K919" i="5"/>
  <c r="K945" i="5"/>
  <c r="K978" i="5"/>
  <c r="K1009" i="5"/>
  <c r="K1040" i="5"/>
  <c r="K1068" i="5"/>
  <c r="K1094" i="5"/>
  <c r="K1127" i="5"/>
  <c r="K1154" i="5"/>
  <c r="K1190" i="5"/>
  <c r="I109" i="5"/>
  <c r="I113" i="5"/>
  <c r="I2" i="5"/>
  <c r="I13" i="5"/>
  <c r="I15" i="5"/>
  <c r="I18" i="5"/>
  <c r="I85" i="5"/>
  <c r="I14" i="5"/>
  <c r="I94" i="5"/>
  <c r="I96" i="5"/>
  <c r="I108" i="5"/>
  <c r="I5" i="5"/>
  <c r="I86" i="5"/>
  <c r="I114" i="5"/>
  <c r="I6" i="5"/>
  <c r="I115" i="5"/>
  <c r="I7" i="5"/>
  <c r="I88" i="5"/>
  <c r="I116" i="5"/>
  <c r="I8" i="5"/>
  <c r="I89" i="5"/>
  <c r="I124" i="5"/>
  <c r="I9" i="5"/>
  <c r="I90" i="5"/>
  <c r="I10" i="5"/>
  <c r="I92" i="5"/>
  <c r="I87" i="5"/>
  <c r="I125" i="5"/>
  <c r="I11" i="5"/>
  <c r="I93" i="5"/>
  <c r="I588" i="5"/>
  <c r="I12" i="5"/>
  <c r="I91" i="5"/>
  <c r="I117" i="5"/>
  <c r="I4" i="5"/>
  <c r="I17" i="5"/>
  <c r="I95" i="5"/>
  <c r="I589" i="5"/>
  <c r="I230" i="5"/>
  <c r="I126" i="5"/>
  <c r="I98" i="5"/>
  <c r="I243" i="5"/>
  <c r="I99" i="5"/>
  <c r="I268" i="5"/>
  <c r="I286" i="5"/>
  <c r="I311" i="5"/>
  <c r="I171" i="5"/>
  <c r="I312" i="5"/>
  <c r="I229" i="5"/>
  <c r="I25" i="5"/>
  <c r="I610" i="5"/>
  <c r="I26" i="5"/>
  <c r="I231" i="5"/>
  <c r="I148" i="5"/>
  <c r="I152" i="5"/>
  <c r="I153" i="5"/>
  <c r="I155" i="5"/>
  <c r="I173" i="5"/>
  <c r="I430" i="5"/>
  <c r="I212" i="5"/>
  <c r="I213" i="5"/>
  <c r="I454" i="5"/>
  <c r="I450" i="5"/>
  <c r="I228" i="5"/>
  <c r="I172" i="5"/>
  <c r="I285" i="5"/>
  <c r="I195" i="5"/>
  <c r="I287" i="5"/>
  <c r="I196" i="5"/>
  <c r="I310" i="5"/>
  <c r="I97" i="5"/>
  <c r="I193" i="5"/>
  <c r="I244" i="5"/>
  <c r="I316" i="5"/>
  <c r="I245" i="5"/>
  <c r="I342" i="5"/>
  <c r="I264" i="5"/>
  <c r="I101" i="5"/>
  <c r="I127" i="5"/>
  <c r="I199" i="5"/>
  <c r="I266" i="5"/>
  <c r="I353" i="5"/>
  <c r="I102" i="5"/>
  <c r="I208" i="5"/>
  <c r="I267" i="5"/>
  <c r="I429" i="5"/>
  <c r="I100" i="5"/>
  <c r="I156" i="5"/>
  <c r="I200" i="5"/>
  <c r="I232" i="5"/>
  <c r="I269" i="5"/>
  <c r="I317" i="5"/>
  <c r="I468" i="5"/>
  <c r="I128" i="5"/>
  <c r="I249" i="5"/>
  <c r="I630" i="5"/>
  <c r="I30" i="5"/>
  <c r="I67" i="5"/>
  <c r="I112" i="5"/>
  <c r="I132" i="5"/>
  <c r="I176" i="5"/>
  <c r="I216" i="5"/>
  <c r="I250" i="5"/>
  <c r="I292" i="5"/>
  <c r="I361" i="5"/>
  <c r="I29" i="5"/>
  <c r="I175" i="5"/>
  <c r="I291" i="5"/>
  <c r="I31" i="5"/>
  <c r="I68" i="5"/>
  <c r="I135" i="5"/>
  <c r="I177" i="5"/>
  <c r="I217" i="5"/>
  <c r="I251" i="5"/>
  <c r="I293" i="5"/>
  <c r="I371" i="5"/>
  <c r="I215" i="5"/>
  <c r="I355" i="5"/>
  <c r="I145" i="5"/>
  <c r="I192" i="5"/>
  <c r="I227" i="5"/>
  <c r="I263" i="5"/>
  <c r="I306" i="5"/>
  <c r="I426" i="5"/>
  <c r="I69" i="5"/>
  <c r="I104" i="5"/>
  <c r="I120" i="5"/>
  <c r="I136" i="5"/>
  <c r="I181" i="5"/>
  <c r="I201" i="5"/>
  <c r="I218" i="5"/>
  <c r="I233" i="5"/>
  <c r="I252" i="5"/>
  <c r="I273" i="5"/>
  <c r="I294" i="5"/>
  <c r="I324" i="5"/>
  <c r="I380" i="5"/>
  <c r="I472" i="5"/>
  <c r="I157" i="5"/>
  <c r="I77" i="5"/>
  <c r="I105" i="5"/>
  <c r="I121" i="5"/>
  <c r="I137" i="5"/>
  <c r="I161" i="5"/>
  <c r="I187" i="5"/>
  <c r="I202" i="5"/>
  <c r="I219" i="5"/>
  <c r="I234" i="5"/>
  <c r="I254" i="5"/>
  <c r="I274" i="5"/>
  <c r="I298" i="5"/>
  <c r="I329" i="5"/>
  <c r="I386" i="5"/>
  <c r="I473" i="5"/>
  <c r="I78" i="5"/>
  <c r="I138" i="5"/>
  <c r="I162" i="5"/>
  <c r="I203" i="5"/>
  <c r="I220" i="5"/>
  <c r="I237" i="5"/>
  <c r="I255" i="5"/>
  <c r="I275" i="5"/>
  <c r="I300" i="5"/>
  <c r="I330" i="5"/>
  <c r="I399" i="5"/>
  <c r="I484" i="5"/>
  <c r="I188" i="5"/>
  <c r="I79" i="5"/>
  <c r="I123" i="5"/>
  <c r="I139" i="5"/>
  <c r="I163" i="5"/>
  <c r="I189" i="5"/>
  <c r="I204" i="5"/>
  <c r="I221" i="5"/>
  <c r="I238" i="5"/>
  <c r="I256" i="5"/>
  <c r="I279" i="5"/>
  <c r="I303" i="5"/>
  <c r="I331" i="5"/>
  <c r="I408" i="5"/>
  <c r="I534" i="5"/>
  <c r="I122" i="5"/>
  <c r="I110" i="5"/>
  <c r="I143" i="5"/>
  <c r="I169" i="5"/>
  <c r="I190" i="5"/>
  <c r="I205" i="5"/>
  <c r="I222" i="5"/>
  <c r="I239" i="5"/>
  <c r="I261" i="5"/>
  <c r="I280" i="5"/>
  <c r="I304" i="5"/>
  <c r="I340" i="5"/>
  <c r="I409" i="5"/>
  <c r="I546" i="5"/>
  <c r="I111" i="5"/>
  <c r="I144" i="5"/>
  <c r="I170" i="5"/>
  <c r="I191" i="5"/>
  <c r="I206" i="5"/>
  <c r="I225" i="5"/>
  <c r="I242" i="5"/>
  <c r="I262" i="5"/>
  <c r="I281" i="5"/>
  <c r="I305" i="5"/>
  <c r="I341" i="5"/>
  <c r="I419" i="5"/>
  <c r="I547" i="5"/>
  <c r="I76" i="5"/>
  <c r="I103" i="5"/>
  <c r="I134" i="5"/>
  <c r="I154" i="5"/>
  <c r="I174" i="5"/>
  <c r="I194" i="5"/>
  <c r="I209" i="5"/>
  <c r="I226" i="5"/>
  <c r="I240" i="5"/>
  <c r="I257" i="5"/>
  <c r="I278" i="5"/>
  <c r="I299" i="5"/>
  <c r="I325" i="5"/>
  <c r="I372" i="5"/>
  <c r="I455" i="5"/>
  <c r="I661" i="5"/>
  <c r="I276" i="5"/>
  <c r="I289" i="5"/>
  <c r="I301" i="5"/>
  <c r="I314" i="5"/>
  <c r="I332" i="5"/>
  <c r="I365" i="5"/>
  <c r="I552" i="5"/>
  <c r="I241" i="5"/>
  <c r="I253" i="5"/>
  <c r="I265" i="5"/>
  <c r="I277" i="5"/>
  <c r="I290" i="5"/>
  <c r="I302" i="5"/>
  <c r="I315" i="5"/>
  <c r="I368" i="5"/>
  <c r="I465" i="5"/>
  <c r="I568" i="5"/>
  <c r="I246" i="5"/>
  <c r="I258" i="5"/>
  <c r="I270" i="5"/>
  <c r="I282" i="5"/>
  <c r="I295" i="5"/>
  <c r="I307" i="5"/>
  <c r="I348" i="5"/>
  <c r="I387" i="5"/>
  <c r="I431" i="5"/>
  <c r="I489" i="5"/>
  <c r="I634" i="5"/>
  <c r="I19" i="5"/>
  <c r="I80" i="5"/>
  <c r="I106" i="5"/>
  <c r="I118" i="5"/>
  <c r="I129" i="5"/>
  <c r="I146" i="5"/>
  <c r="I167" i="5"/>
  <c r="I182" i="5"/>
  <c r="I197" i="5"/>
  <c r="I210" i="5"/>
  <c r="I223" i="5"/>
  <c r="I235" i="5"/>
  <c r="I247" i="5"/>
  <c r="I259" i="5"/>
  <c r="I271" i="5"/>
  <c r="I283" i="5"/>
  <c r="I296" i="5"/>
  <c r="I308" i="5"/>
  <c r="I351" i="5"/>
  <c r="I389" i="5"/>
  <c r="I442" i="5"/>
  <c r="I508" i="5"/>
  <c r="I635" i="5"/>
  <c r="I23" i="5"/>
  <c r="I107" i="5"/>
  <c r="I119" i="5"/>
  <c r="I130" i="5"/>
  <c r="I147" i="5"/>
  <c r="I168" i="5"/>
  <c r="I183" i="5"/>
  <c r="I198" i="5"/>
  <c r="I211" i="5"/>
  <c r="I224" i="5"/>
  <c r="I236" i="5"/>
  <c r="I248" i="5"/>
  <c r="I260" i="5"/>
  <c r="I272" i="5"/>
  <c r="I284" i="5"/>
  <c r="I297" i="5"/>
  <c r="I309" i="5"/>
  <c r="I352" i="5"/>
  <c r="I392" i="5"/>
  <c r="I447" i="5"/>
  <c r="I520" i="5"/>
  <c r="I656" i="5"/>
  <c r="I522" i="5"/>
  <c r="I27" i="5"/>
  <c r="I3" i="5"/>
  <c r="I28" i="5"/>
  <c r="I492" i="5"/>
  <c r="I861" i="5"/>
  <c r="I870" i="5"/>
  <c r="I730" i="5"/>
  <c r="I732" i="5"/>
  <c r="I16" i="5"/>
  <c r="I149" i="5"/>
  <c r="I214" i="5"/>
  <c r="I545" i="5"/>
  <c r="I662" i="5"/>
  <c r="I150" i="5"/>
  <c r="I179" i="5"/>
  <c r="I667" i="5"/>
  <c r="I66" i="5"/>
  <c r="I151" i="5"/>
  <c r="I671" i="5"/>
  <c r="I694" i="5"/>
  <c r="I766" i="5"/>
  <c r="I966" i="5"/>
  <c r="I496" i="5"/>
  <c r="I497" i="5"/>
  <c r="I695" i="5"/>
  <c r="I974" i="5"/>
  <c r="I672" i="5"/>
  <c r="I185" i="5"/>
  <c r="I696" i="5"/>
  <c r="I986" i="5"/>
  <c r="I516" i="5"/>
  <c r="I569" i="5"/>
  <c r="I697" i="5"/>
  <c r="I820" i="5"/>
  <c r="I1135" i="5"/>
  <c r="I84" i="5"/>
  <c r="I207" i="5"/>
  <c r="I71" i="5"/>
  <c r="I24" i="5"/>
  <c r="I74" i="5"/>
  <c r="I654" i="5"/>
  <c r="I721" i="5"/>
  <c r="I789" i="5"/>
  <c r="I849" i="5"/>
  <c r="I184" i="5"/>
  <c r="I186" i="5"/>
  <c r="I1005" i="5"/>
  <c r="I75" i="5"/>
  <c r="I160" i="5"/>
  <c r="I521" i="5"/>
  <c r="I655" i="5"/>
  <c r="I726" i="5"/>
  <c r="I793" i="5"/>
  <c r="I855" i="5"/>
  <c r="I159" i="5"/>
  <c r="I313" i="5"/>
  <c r="I323" i="5"/>
  <c r="I328" i="5"/>
  <c r="I339" i="5"/>
  <c r="I350" i="5"/>
  <c r="I364" i="5"/>
  <c r="I385" i="5"/>
  <c r="I407" i="5"/>
  <c r="I423" i="5"/>
  <c r="I445" i="5"/>
  <c r="I463" i="5"/>
  <c r="I487" i="5"/>
  <c r="I511" i="5"/>
  <c r="I544" i="5"/>
  <c r="I625" i="5"/>
  <c r="I653" i="5"/>
  <c r="I720" i="5"/>
  <c r="I765" i="5"/>
  <c r="I788" i="5"/>
  <c r="I955" i="5"/>
  <c r="I1107" i="5"/>
  <c r="I990" i="5"/>
  <c r="I1178" i="5"/>
  <c r="I20" i="5"/>
  <c r="I140" i="5"/>
  <c r="I164" i="5"/>
  <c r="I318" i="5"/>
  <c r="I333" i="5"/>
  <c r="I344" i="5"/>
  <c r="I356" i="5"/>
  <c r="I373" i="5"/>
  <c r="I395" i="5"/>
  <c r="I411" i="5"/>
  <c r="I432" i="5"/>
  <c r="I456" i="5"/>
  <c r="I474" i="5"/>
  <c r="I498" i="5"/>
  <c r="I523" i="5"/>
  <c r="I556" i="5"/>
  <c r="I570" i="5"/>
  <c r="I673" i="5"/>
  <c r="I702" i="5"/>
  <c r="I733" i="5"/>
  <c r="I805" i="5"/>
  <c r="I883" i="5"/>
  <c r="I21" i="5"/>
  <c r="I141" i="5"/>
  <c r="I165" i="5"/>
  <c r="I319" i="5"/>
  <c r="I334" i="5"/>
  <c r="I345" i="5"/>
  <c r="I357" i="5"/>
  <c r="I374" i="5"/>
  <c r="I396" i="5"/>
  <c r="I414" i="5"/>
  <c r="I433" i="5"/>
  <c r="I457" i="5"/>
  <c r="I475" i="5"/>
  <c r="I499" i="5"/>
  <c r="I528" i="5"/>
  <c r="I557" i="5"/>
  <c r="I571" i="5"/>
  <c r="I595" i="5"/>
  <c r="I612" i="5"/>
  <c r="I637" i="5"/>
  <c r="I674" i="5"/>
  <c r="I706" i="5"/>
  <c r="I738" i="5"/>
  <c r="I751" i="5"/>
  <c r="I772" i="5"/>
  <c r="I795" i="5"/>
  <c r="I808" i="5"/>
  <c r="I890" i="5"/>
  <c r="I1188" i="5"/>
  <c r="I1177" i="5"/>
  <c r="I1159" i="5"/>
  <c r="I1148" i="5"/>
  <c r="I1136" i="5"/>
  <c r="I1118" i="5"/>
  <c r="I1106" i="5"/>
  <c r="I1094" i="5"/>
  <c r="I1082" i="5"/>
  <c r="I1075" i="5"/>
  <c r="I1063" i="5"/>
  <c r="I1049" i="5"/>
  <c r="I1037" i="5"/>
  <c r="I1025" i="5"/>
  <c r="I1013" i="5"/>
  <c r="I984" i="5"/>
  <c r="I973" i="5"/>
  <c r="I962" i="5"/>
  <c r="I933" i="5"/>
  <c r="I921" i="5"/>
  <c r="I909" i="5"/>
  <c r="I898" i="5"/>
  <c r="I880" i="5"/>
  <c r="I868" i="5"/>
  <c r="I859" i="5"/>
  <c r="I851" i="5"/>
  <c r="I1199" i="5"/>
  <c r="I1187" i="5"/>
  <c r="I1176" i="5"/>
  <c r="I1158" i="5"/>
  <c r="I1147" i="5"/>
  <c r="I1129" i="5"/>
  <c r="I1117" i="5"/>
  <c r="I1105" i="5"/>
  <c r="I1093" i="5"/>
  <c r="I1081" i="5"/>
  <c r="I1074" i="5"/>
  <c r="I1062" i="5"/>
  <c r="I1048" i="5"/>
  <c r="I1036" i="5"/>
  <c r="I1024" i="5"/>
  <c r="I1012" i="5"/>
  <c r="I983" i="5"/>
  <c r="I972" i="5"/>
  <c r="I961" i="5"/>
  <c r="I953" i="5"/>
  <c r="I932" i="5"/>
  <c r="I920" i="5"/>
  <c r="I908" i="5"/>
  <c r="I897" i="5"/>
  <c r="I879" i="5"/>
  <c r="I867" i="5"/>
  <c r="I850" i="5"/>
  <c r="I1198" i="5"/>
  <c r="I1186" i="5"/>
  <c r="I1175" i="5"/>
  <c r="I1167" i="5"/>
  <c r="I1157" i="5"/>
  <c r="I1146" i="5"/>
  <c r="I1128" i="5"/>
  <c r="I1116" i="5"/>
  <c r="I1104" i="5"/>
  <c r="I1092" i="5"/>
  <c r="I1073" i="5"/>
  <c r="I1061" i="5"/>
  <c r="I1197" i="5"/>
  <c r="I1185" i="5"/>
  <c r="I1174" i="5"/>
  <c r="I1166" i="5"/>
  <c r="I1156" i="5"/>
  <c r="I1145" i="5"/>
  <c r="I1127" i="5"/>
  <c r="I1115" i="5"/>
  <c r="I1103" i="5"/>
  <c r="I1091" i="5"/>
  <c r="I1072" i="5"/>
  <c r="I1060" i="5"/>
  <c r="I1046" i="5"/>
  <c r="I1034" i="5"/>
  <c r="I1022" i="5"/>
  <c r="I1010" i="5"/>
  <c r="I982" i="5"/>
  <c r="I970" i="5"/>
  <c r="I959" i="5"/>
  <c r="I951" i="5"/>
  <c r="I942" i="5"/>
  <c r="I930" i="5"/>
  <c r="I918" i="5"/>
  <c r="I906" i="5"/>
  <c r="I895" i="5"/>
  <c r="I889" i="5"/>
  <c r="I877" i="5"/>
  <c r="I865" i="5"/>
  <c r="I848" i="5"/>
  <c r="I843" i="5"/>
  <c r="I831" i="5"/>
  <c r="I819" i="5"/>
  <c r="I1196" i="5"/>
  <c r="I1184" i="5"/>
  <c r="I1173" i="5"/>
  <c r="I1165" i="5"/>
  <c r="I1155" i="5"/>
  <c r="I1144" i="5"/>
  <c r="I1126" i="5"/>
  <c r="I1114" i="5"/>
  <c r="I1102" i="5"/>
  <c r="I1090" i="5"/>
  <c r="I1071" i="5"/>
  <c r="I1059" i="5"/>
  <c r="I1045" i="5"/>
  <c r="I1033" i="5"/>
  <c r="I1021" i="5"/>
  <c r="I1009" i="5"/>
  <c r="I992" i="5"/>
  <c r="I981" i="5"/>
  <c r="I958" i="5"/>
  <c r="I950" i="5"/>
  <c r="I941" i="5"/>
  <c r="I929" i="5"/>
  <c r="I917" i="5"/>
  <c r="I905" i="5"/>
  <c r="I899" i="5"/>
  <c r="I894" i="5"/>
  <c r="I888" i="5"/>
  <c r="I876" i="5"/>
  <c r="I864" i="5"/>
  <c r="I1195" i="5"/>
  <c r="I1183" i="5"/>
  <c r="I1172" i="5"/>
  <c r="I1164" i="5"/>
  <c r="I1154" i="5"/>
  <c r="I1143" i="5"/>
  <c r="I1125" i="5"/>
  <c r="I1113" i="5"/>
  <c r="I1101" i="5"/>
  <c r="I1089" i="5"/>
  <c r="I1070" i="5"/>
  <c r="I1058" i="5"/>
  <c r="I1044" i="5"/>
  <c r="I1032" i="5"/>
  <c r="I1020" i="5"/>
  <c r="I1008" i="5"/>
  <c r="I996" i="5"/>
  <c r="I991" i="5"/>
  <c r="I980" i="5"/>
  <c r="I969" i="5"/>
  <c r="I957" i="5"/>
  <c r="I949" i="5"/>
  <c r="I940" i="5"/>
  <c r="I928" i="5"/>
  <c r="I916" i="5"/>
  <c r="I904" i="5"/>
  <c r="I893" i="5"/>
  <c r="I887" i="5"/>
  <c r="I875" i="5"/>
  <c r="I863" i="5"/>
  <c r="I858" i="5"/>
  <c r="I841" i="5"/>
  <c r="I829" i="5"/>
  <c r="I823" i="5"/>
  <c r="I817" i="5"/>
  <c r="I1194" i="5"/>
  <c r="I1193" i="5"/>
  <c r="I1170" i="5"/>
  <c r="I1162" i="5"/>
  <c r="I1152" i="5"/>
  <c r="I1141" i="5"/>
  <c r="I1134" i="5"/>
  <c r="I1123" i="5"/>
  <c r="I1111" i="5"/>
  <c r="I1099" i="5"/>
  <c r="I1087" i="5"/>
  <c r="I1080" i="5"/>
  <c r="I1068" i="5"/>
  <c r="I1056" i="5"/>
  <c r="I1042" i="5"/>
  <c r="I1030" i="5"/>
  <c r="I1018" i="5"/>
  <c r="I1192" i="5"/>
  <c r="I1181" i="5"/>
  <c r="I1169" i="5"/>
  <c r="I1161" i="5"/>
  <c r="I1151" i="5"/>
  <c r="I1140" i="5"/>
  <c r="I1133" i="5"/>
  <c r="I1122" i="5"/>
  <c r="I1110" i="5"/>
  <c r="I1098" i="5"/>
  <c r="I1086" i="5"/>
  <c r="I1079" i="5"/>
  <c r="I1067" i="5"/>
  <c r="I1055" i="5"/>
  <c r="I1053" i="5"/>
  <c r="I1041" i="5"/>
  <c r="I1029" i="5"/>
  <c r="I1191" i="5"/>
  <c r="I1180" i="5"/>
  <c r="I1168" i="5"/>
  <c r="I1160" i="5"/>
  <c r="I1150" i="5"/>
  <c r="I1139" i="5"/>
  <c r="I1132" i="5"/>
  <c r="I1121" i="5"/>
  <c r="I1109" i="5"/>
  <c r="I1097" i="5"/>
  <c r="I1085" i="5"/>
  <c r="I1078" i="5"/>
  <c r="I1066" i="5"/>
  <c r="I1054" i="5"/>
  <c r="I1052" i="5"/>
  <c r="I1040" i="5"/>
  <c r="I1028" i="5"/>
  <c r="I1016" i="5"/>
  <c r="I1138" i="5"/>
  <c r="I1096" i="5"/>
  <c r="I1027" i="5"/>
  <c r="I1003" i="5"/>
  <c r="I988" i="5"/>
  <c r="I968" i="5"/>
  <c r="I936" i="5"/>
  <c r="I914" i="5"/>
  <c r="I885" i="5"/>
  <c r="I866" i="5"/>
  <c r="I853" i="5"/>
  <c r="I838" i="5"/>
  <c r="I822" i="5"/>
  <c r="I813" i="5"/>
  <c r="I797" i="5"/>
  <c r="I774" i="5"/>
  <c r="I761" i="5"/>
  <c r="I753" i="5"/>
  <c r="I740" i="5"/>
  <c r="I728" i="5"/>
  <c r="I716" i="5"/>
  <c r="I704" i="5"/>
  <c r="I692" i="5"/>
  <c r="I681" i="5"/>
  <c r="I669" i="5"/>
  <c r="I651" i="5"/>
  <c r="I639" i="5"/>
  <c r="I632" i="5"/>
  <c r="I620" i="5"/>
  <c r="I604" i="5"/>
  <c r="I578" i="5"/>
  <c r="I566" i="5"/>
  <c r="I554" i="5"/>
  <c r="I542" i="5"/>
  <c r="I530" i="5"/>
  <c r="I518" i="5"/>
  <c r="I506" i="5"/>
  <c r="I494" i="5"/>
  <c r="I482" i="5"/>
  <c r="I470" i="5"/>
  <c r="I452" i="5"/>
  <c r="I440" i="5"/>
  <c r="I428" i="5"/>
  <c r="I416" i="5"/>
  <c r="I406" i="5"/>
  <c r="I394" i="5"/>
  <c r="I382" i="5"/>
  <c r="I370" i="5"/>
  <c r="I358" i="5"/>
  <c r="I1137" i="5"/>
  <c r="I1095" i="5"/>
  <c r="I1026" i="5"/>
  <c r="I1002" i="5"/>
  <c r="I987" i="5"/>
  <c r="I967" i="5"/>
  <c r="I952" i="5"/>
  <c r="I935" i="5"/>
  <c r="I913" i="5"/>
  <c r="I884" i="5"/>
  <c r="I862" i="5"/>
  <c r="I852" i="5"/>
  <c r="I837" i="5"/>
  <c r="I821" i="5"/>
  <c r="I812" i="5"/>
  <c r="I796" i="5"/>
  <c r="I773" i="5"/>
  <c r="I760" i="5"/>
  <c r="I752" i="5"/>
  <c r="I739" i="5"/>
  <c r="I727" i="5"/>
  <c r="I715" i="5"/>
  <c r="I703" i="5"/>
  <c r="I691" i="5"/>
  <c r="I680" i="5"/>
  <c r="I668" i="5"/>
  <c r="I650" i="5"/>
  <c r="I638" i="5"/>
  <c r="I631" i="5"/>
  <c r="I619" i="5"/>
  <c r="I611" i="5"/>
  <c r="I603" i="5"/>
  <c r="I577" i="5"/>
  <c r="I553" i="5"/>
  <c r="I541" i="5"/>
  <c r="I529" i="5"/>
  <c r="I517" i="5"/>
  <c r="I505" i="5"/>
  <c r="I493" i="5"/>
  <c r="I481" i="5"/>
  <c r="I469" i="5"/>
  <c r="I451" i="5"/>
  <c r="I439" i="5"/>
  <c r="I427" i="5"/>
  <c r="I415" i="5"/>
  <c r="I405" i="5"/>
  <c r="I393" i="5"/>
  <c r="I381" i="5"/>
  <c r="I369" i="5"/>
  <c r="I1131" i="5"/>
  <c r="I1084" i="5"/>
  <c r="I1019" i="5"/>
  <c r="I995" i="5"/>
  <c r="I985" i="5"/>
  <c r="I965" i="5"/>
  <c r="I947" i="5"/>
  <c r="I931" i="5"/>
  <c r="I911" i="5"/>
  <c r="I896" i="5"/>
  <c r="I882" i="5"/>
  <c r="I860" i="5"/>
  <c r="I847" i="5"/>
  <c r="I835" i="5"/>
  <c r="I818" i="5"/>
  <c r="I794" i="5"/>
  <c r="I792" i="5"/>
  <c r="I782" i="5"/>
  <c r="I758" i="5"/>
  <c r="I750" i="5"/>
  <c r="I737" i="5"/>
  <c r="I725" i="5"/>
  <c r="I713" i="5"/>
  <c r="I701" i="5"/>
  <c r="I690" i="5"/>
  <c r="I678" i="5"/>
  <c r="I666" i="5"/>
  <c r="I660" i="5"/>
  <c r="I648" i="5"/>
  <c r="I636" i="5"/>
  <c r="I629" i="5"/>
  <c r="I617" i="5"/>
  <c r="I609" i="5"/>
  <c r="I602" i="5"/>
  <c r="I593" i="5"/>
  <c r="I587" i="5"/>
  <c r="I575" i="5"/>
  <c r="I551" i="5"/>
  <c r="I539" i="5"/>
  <c r="I527" i="5"/>
  <c r="I515" i="5"/>
  <c r="I503" i="5"/>
  <c r="I491" i="5"/>
  <c r="I479" i="5"/>
  <c r="I467" i="5"/>
  <c r="I449" i="5"/>
  <c r="I437" i="5"/>
  <c r="I425" i="5"/>
  <c r="I413" i="5"/>
  <c r="I403" i="5"/>
  <c r="I391" i="5"/>
  <c r="I379" i="5"/>
  <c r="I367" i="5"/>
  <c r="I1130" i="5"/>
  <c r="I1083" i="5"/>
  <c r="I1051" i="5"/>
  <c r="I1017" i="5"/>
  <c r="I994" i="5"/>
  <c r="I964" i="5"/>
  <c r="I946" i="5"/>
  <c r="I927" i="5"/>
  <c r="I910" i="5"/>
  <c r="I892" i="5"/>
  <c r="I881" i="5"/>
  <c r="I834" i="5"/>
  <c r="I816" i="5"/>
  <c r="I771" i="5"/>
  <c r="I769" i="5"/>
  <c r="I757" i="5"/>
  <c r="I749" i="5"/>
  <c r="I736" i="5"/>
  <c r="I724" i="5"/>
  <c r="I712" i="5"/>
  <c r="I700" i="5"/>
  <c r="I689" i="5"/>
  <c r="I677" i="5"/>
  <c r="I665" i="5"/>
  <c r="I659" i="5"/>
  <c r="I647" i="5"/>
  <c r="I628" i="5"/>
  <c r="I616" i="5"/>
  <c r="I608" i="5"/>
  <c r="I601" i="5"/>
  <c r="I592" i="5"/>
  <c r="I586" i="5"/>
  <c r="I574" i="5"/>
  <c r="I565" i="5"/>
  <c r="I562" i="5"/>
  <c r="I550" i="5"/>
  <c r="I538" i="5"/>
  <c r="I526" i="5"/>
  <c r="I514" i="5"/>
  <c r="I502" i="5"/>
  <c r="I490" i="5"/>
  <c r="I478" i="5"/>
  <c r="I466" i="5"/>
  <c r="I460" i="5"/>
  <c r="I448" i="5"/>
  <c r="I436" i="5"/>
  <c r="I424" i="5"/>
  <c r="I412" i="5"/>
  <c r="I402" i="5"/>
  <c r="I390" i="5"/>
  <c r="I378" i="5"/>
  <c r="I366" i="5"/>
  <c r="I354" i="5"/>
  <c r="I343" i="5"/>
  <c r="I1163" i="5"/>
  <c r="I1124" i="5"/>
  <c r="I1050" i="5"/>
  <c r="I1015" i="5"/>
  <c r="I979" i="5"/>
  <c r="I963" i="5"/>
  <c r="I945" i="5"/>
  <c r="I926" i="5"/>
  <c r="I907" i="5"/>
  <c r="I901" i="5"/>
  <c r="I891" i="5"/>
  <c r="I878" i="5"/>
  <c r="I833" i="5"/>
  <c r="I810" i="5"/>
  <c r="I804" i="5"/>
  <c r="I791" i="5"/>
  <c r="I781" i="5"/>
  <c r="I768" i="5"/>
  <c r="I756" i="5"/>
  <c r="I747" i="5"/>
  <c r="I735" i="5"/>
  <c r="I723" i="5"/>
  <c r="I711" i="5"/>
  <c r="I699" i="5"/>
  <c r="I688" i="5"/>
  <c r="I676" i="5"/>
  <c r="I664" i="5"/>
  <c r="I658" i="5"/>
  <c r="I646" i="5"/>
  <c r="I627" i="5"/>
  <c r="I615" i="5"/>
  <c r="I607" i="5"/>
  <c r="I600" i="5"/>
  <c r="I591" i="5"/>
  <c r="I585" i="5"/>
  <c r="I573" i="5"/>
  <c r="I564" i="5"/>
  <c r="I561" i="5"/>
  <c r="I549" i="5"/>
  <c r="I537" i="5"/>
  <c r="I525" i="5"/>
  <c r="I513" i="5"/>
  <c r="I1190" i="5"/>
  <c r="I1120" i="5"/>
  <c r="I1077" i="5"/>
  <c r="I1047" i="5"/>
  <c r="I1014" i="5"/>
  <c r="I978" i="5"/>
  <c r="I960" i="5"/>
  <c r="I944" i="5"/>
  <c r="I925" i="5"/>
  <c r="I903" i="5"/>
  <c r="I900" i="5"/>
  <c r="I874" i="5"/>
  <c r="I846" i="5"/>
  <c r="I832" i="5"/>
  <c r="I809" i="5"/>
  <c r="I803" i="5"/>
  <c r="I790" i="5"/>
  <c r="I780" i="5"/>
  <c r="I770" i="5"/>
  <c r="I767" i="5"/>
  <c r="I746" i="5"/>
  <c r="I734" i="5"/>
  <c r="I722" i="5"/>
  <c r="I710" i="5"/>
  <c r="I698" i="5"/>
  <c r="I687" i="5"/>
  <c r="I675" i="5"/>
  <c r="I663" i="5"/>
  <c r="I657" i="5"/>
  <c r="I645" i="5"/>
  <c r="I626" i="5"/>
  <c r="I614" i="5"/>
  <c r="I599" i="5"/>
  <c r="I590" i="5"/>
  <c r="I584" i="5"/>
  <c r="I572" i="5"/>
  <c r="I563" i="5"/>
  <c r="I560" i="5"/>
  <c r="I548" i="5"/>
  <c r="I536" i="5"/>
  <c r="I524" i="5"/>
  <c r="I512" i="5"/>
  <c r="I500" i="5"/>
  <c r="I488" i="5"/>
  <c r="I476" i="5"/>
  <c r="I464" i="5"/>
  <c r="I458" i="5"/>
  <c r="I446" i="5"/>
  <c r="I434" i="5"/>
  <c r="I422" i="5"/>
  <c r="I410" i="5"/>
  <c r="I400" i="5"/>
  <c r="I388" i="5"/>
  <c r="I376" i="5"/>
  <c r="I1189" i="5"/>
  <c r="I1119" i="5"/>
  <c r="I1076" i="5"/>
  <c r="I1043" i="5"/>
  <c r="I1011" i="5"/>
  <c r="I977" i="5"/>
  <c r="I956" i="5"/>
  <c r="I924" i="5"/>
  <c r="I902" i="5"/>
  <c r="I873" i="5"/>
  <c r="I845" i="5"/>
  <c r="I830" i="5"/>
  <c r="I1182" i="5"/>
  <c r="I1153" i="5"/>
  <c r="I1112" i="5"/>
  <c r="I1069" i="5"/>
  <c r="I1039" i="5"/>
  <c r="I1007" i="5"/>
  <c r="I976" i="5"/>
  <c r="I943" i="5"/>
  <c r="I923" i="5"/>
  <c r="I872" i="5"/>
  <c r="I857" i="5"/>
  <c r="I844" i="5"/>
  <c r="I828" i="5"/>
  <c r="I807" i="5"/>
  <c r="I1179" i="5"/>
  <c r="I1149" i="5"/>
  <c r="I1108" i="5"/>
  <c r="I1065" i="5"/>
  <c r="I1038" i="5"/>
  <c r="I1006" i="5"/>
  <c r="I993" i="5"/>
  <c r="I975" i="5"/>
  <c r="I939" i="5"/>
  <c r="I922" i="5"/>
  <c r="I871" i="5"/>
  <c r="I856" i="5"/>
  <c r="I842" i="5"/>
  <c r="I827" i="5"/>
  <c r="I806" i="5"/>
  <c r="I800" i="5"/>
  <c r="I787" i="5"/>
  <c r="I777" i="5"/>
  <c r="I764" i="5"/>
  <c r="I743" i="5"/>
  <c r="I731" i="5"/>
  <c r="I719" i="5"/>
  <c r="I1171" i="5"/>
  <c r="I1142" i="5"/>
  <c r="I1100" i="5"/>
  <c r="I1057" i="5"/>
  <c r="I1031" i="5"/>
  <c r="I1004" i="5"/>
  <c r="I989" i="5"/>
  <c r="I971" i="5"/>
  <c r="I954" i="5"/>
  <c r="I937" i="5"/>
  <c r="I915" i="5"/>
  <c r="I886" i="5"/>
  <c r="I869" i="5"/>
  <c r="I854" i="5"/>
  <c r="I839" i="5"/>
  <c r="I825" i="5"/>
  <c r="I814" i="5"/>
  <c r="I798" i="5"/>
  <c r="I786" i="5"/>
  <c r="I775" i="5"/>
  <c r="I762" i="5"/>
  <c r="I754" i="5"/>
  <c r="I748" i="5"/>
  <c r="I741" i="5"/>
  <c r="I729" i="5"/>
  <c r="I717" i="5"/>
  <c r="I705" i="5"/>
  <c r="I693" i="5"/>
  <c r="I682" i="5"/>
  <c r="I670" i="5"/>
  <c r="I652" i="5"/>
  <c r="I640" i="5"/>
  <c r="I633" i="5"/>
  <c r="I621" i="5"/>
  <c r="I605" i="5"/>
  <c r="I594" i="5"/>
  <c r="I579" i="5"/>
  <c r="I567" i="5"/>
  <c r="I555" i="5"/>
  <c r="I543" i="5"/>
  <c r="I531" i="5"/>
  <c r="I519" i="5"/>
  <c r="I507" i="5"/>
  <c r="I495" i="5"/>
  <c r="I483" i="5"/>
  <c r="I471" i="5"/>
  <c r="I461" i="5"/>
  <c r="I453" i="5"/>
  <c r="I441" i="5"/>
  <c r="I22" i="5"/>
  <c r="I81" i="5"/>
  <c r="I142" i="5"/>
  <c r="I166" i="5"/>
  <c r="I320" i="5"/>
  <c r="I335" i="5"/>
  <c r="I346" i="5"/>
  <c r="I359" i="5"/>
  <c r="I375" i="5"/>
  <c r="I397" i="5"/>
  <c r="I417" i="5"/>
  <c r="I435" i="5"/>
  <c r="I459" i="5"/>
  <c r="I477" i="5"/>
  <c r="I501" i="5"/>
  <c r="I532" i="5"/>
  <c r="I558" i="5"/>
  <c r="I576" i="5"/>
  <c r="I596" i="5"/>
  <c r="I613" i="5"/>
  <c r="I641" i="5"/>
  <c r="I679" i="5"/>
  <c r="I707" i="5"/>
  <c r="I742" i="5"/>
  <c r="I776" i="5"/>
  <c r="I799" i="5"/>
  <c r="I811" i="5"/>
  <c r="I824" i="5"/>
  <c r="I912" i="5"/>
  <c r="I1023" i="5"/>
  <c r="I70" i="5"/>
  <c r="I131" i="5"/>
  <c r="I178" i="5"/>
  <c r="I321" i="5"/>
  <c r="I336" i="5"/>
  <c r="I347" i="5"/>
  <c r="I360" i="5"/>
  <c r="I377" i="5"/>
  <c r="I398" i="5"/>
  <c r="I418" i="5"/>
  <c r="I438" i="5"/>
  <c r="I480" i="5"/>
  <c r="I504" i="5"/>
  <c r="I533" i="5"/>
  <c r="I559" i="5"/>
  <c r="I580" i="5"/>
  <c r="I597" i="5"/>
  <c r="I618" i="5"/>
  <c r="I642" i="5"/>
  <c r="I683" i="5"/>
  <c r="I708" i="5"/>
  <c r="I744" i="5"/>
  <c r="I778" i="5"/>
  <c r="I801" i="5"/>
  <c r="I815" i="5"/>
  <c r="I826" i="5"/>
  <c r="I919" i="5"/>
  <c r="I1035" i="5"/>
  <c r="I581" i="5"/>
  <c r="I598" i="5"/>
  <c r="I622" i="5"/>
  <c r="I643" i="5"/>
  <c r="I684" i="5"/>
  <c r="I709" i="5"/>
  <c r="I745" i="5"/>
  <c r="I755" i="5"/>
  <c r="I779" i="5"/>
  <c r="I802" i="5"/>
  <c r="I836" i="5"/>
  <c r="I934" i="5"/>
  <c r="I72" i="5"/>
  <c r="I133" i="5"/>
  <c r="I180" i="5"/>
  <c r="I322" i="5"/>
  <c r="I326" i="5"/>
  <c r="I337" i="5"/>
  <c r="I362" i="5"/>
  <c r="I383" i="5"/>
  <c r="I401" i="5"/>
  <c r="I420" i="5"/>
  <c r="I443" i="5"/>
  <c r="I485" i="5"/>
  <c r="I509" i="5"/>
  <c r="I535" i="5"/>
  <c r="I582" i="5"/>
  <c r="I623" i="5"/>
  <c r="I644" i="5"/>
  <c r="I685" i="5"/>
  <c r="I714" i="5"/>
  <c r="I759" i="5"/>
  <c r="I840" i="5"/>
  <c r="I938" i="5"/>
  <c r="I1064" i="5"/>
  <c r="I73" i="5"/>
  <c r="I158" i="5"/>
  <c r="I288" i="5"/>
  <c r="I327" i="5"/>
  <c r="I338" i="5"/>
  <c r="I349" i="5"/>
  <c r="I363" i="5"/>
  <c r="I384" i="5"/>
  <c r="I404" i="5"/>
  <c r="I421" i="5"/>
  <c r="I444" i="5"/>
  <c r="I462" i="5"/>
  <c r="I486" i="5"/>
  <c r="I510" i="5"/>
  <c r="I540" i="5"/>
  <c r="I583" i="5"/>
  <c r="I606" i="5"/>
  <c r="I624" i="5"/>
  <c r="I649" i="5"/>
  <c r="I686" i="5"/>
  <c r="I718" i="5"/>
  <c r="I763" i="5"/>
  <c r="I948" i="5"/>
  <c r="I1088" i="5"/>
</calcChain>
</file>

<file path=xl/sharedStrings.xml><?xml version="1.0" encoding="utf-8"?>
<sst xmlns="http://schemas.openxmlformats.org/spreadsheetml/2006/main" count="15646" uniqueCount="4149">
  <si>
    <t>STAINLESS STRAINER</t>
  </si>
  <si>
    <t>id</t>
  </si>
  <si>
    <t>name</t>
  </si>
  <si>
    <t>status</t>
  </si>
  <si>
    <t>STAINLESS PIANO HINGES  WITH SCREW</t>
  </si>
  <si>
    <t>PVC COATED CUP HOOK</t>
  </si>
  <si>
    <t>B/P CUP HOOK (BRASS)</t>
  </si>
  <si>
    <t>MAGNETIC DOOR STOPPER</t>
  </si>
  <si>
    <t>DRAWER LOCK</t>
  </si>
  <si>
    <t>SOLID DOOR</t>
  </si>
  <si>
    <t>T-TYPE STAINLESS HANDLE LIGHT DUTY</t>
  </si>
  <si>
    <t>T-TYPE STAINLESS HANDLE  HEAVY DUTY</t>
  </si>
  <si>
    <t>STAINLESS BOLT W/ STAINLESS SCREW</t>
  </si>
  <si>
    <t>STAINLESS BARREL BOLTS WITH HASP</t>
  </si>
  <si>
    <t>STAINLESS BARREL BOLT W/SCREW</t>
  </si>
  <si>
    <t>POLONET BARREL BOLT CHROME PLATED</t>
  </si>
  <si>
    <t>HEAVY DUTY BOLT</t>
  </si>
  <si>
    <t>SAFETY HASP STAINLESS W/ SCREW</t>
  </si>
  <si>
    <t>SAFETY HASP  W/ SCREW</t>
  </si>
  <si>
    <t>HEAVY DUTY PADLOCK HASP</t>
  </si>
  <si>
    <t>HASP LOCK</t>
  </si>
  <si>
    <t>STAINLESS DUAL HINGE STAINLESS</t>
  </si>
  <si>
    <t>NARROW BUTTS STAINLESS</t>
  </si>
  <si>
    <t>NARROW BUTTS 505-B</t>
  </si>
  <si>
    <t>NARROW BUTTS 838-B</t>
  </si>
  <si>
    <t>NARROW BUTTS BRASS PLATED</t>
  </si>
  <si>
    <t>STAINLESS BALL BEARING HINGES</t>
  </si>
  <si>
    <t>LOOSE PIN HINGES</t>
  </si>
  <si>
    <t>STAINLESS LOOSE PIN HINGES</t>
  </si>
  <si>
    <t>POLOLOCK LOOSE PIN HINGES</t>
  </si>
  <si>
    <t>SOLID BRASS COMBINATION PADLOCK</t>
  </si>
  <si>
    <t>BICYCLE LOCK</t>
  </si>
  <si>
    <t>TOP SECURITY LOCK SHORT &amp; LONG SHACKLE</t>
  </si>
  <si>
    <t>BRASS SIDE KEY PADLOCK</t>
  </si>
  <si>
    <t>POLOLOCK BRASS PADLOCK</t>
  </si>
  <si>
    <t>LAMINATED PADLOCK HEAVY DUTY</t>
  </si>
  <si>
    <t>WATERPROOF PADLOCK</t>
  </si>
  <si>
    <t>LAMINATED PADLOCK LONG</t>
  </si>
  <si>
    <t>LAMINATED PADLOCK SHORT</t>
  </si>
  <si>
    <t>SHELF BRACKET</t>
  </si>
  <si>
    <t>DOOR CLOSER</t>
  </si>
  <si>
    <t>SCREEN DOOR CLOSER</t>
  </si>
  <si>
    <t>DRAWER SLIDE BALL BEARING 3FOLD BLACK</t>
  </si>
  <si>
    <t>DRAWER SLIDE 3FOLD SOFT CLOSING STAINLESS</t>
  </si>
  <si>
    <t>DRAWER SLIDE BALL BEARING 3FOLD BLACK &amp; SILVER</t>
  </si>
  <si>
    <t>CYLINDRICAL HINGES</t>
  </si>
  <si>
    <t>HYDRAULIC CLIP-ON CONCEALED HINGES</t>
  </si>
  <si>
    <t>ORD. CONCEALED HINGES</t>
  </si>
  <si>
    <t>HYDRAULIC PRESSURE CONCEALED HINGES - MATTE BLACK</t>
  </si>
  <si>
    <t>HYDRAULIC CONCEALED HINGES</t>
  </si>
  <si>
    <t>588 LOCK SET</t>
  </si>
  <si>
    <t>POLOLOCK H2D2 HANDLESET LOCK</t>
  </si>
  <si>
    <t>POLOLOCK H2D1 HANDLESET LOCK</t>
  </si>
  <si>
    <t>H1D2 HANDLESET LOCK</t>
  </si>
  <si>
    <t>H1D1 HANDLESET LOCK</t>
  </si>
  <si>
    <t>COMBO LOCKSET</t>
  </si>
  <si>
    <t>576 TUBULAR KNOBSET LOCK</t>
  </si>
  <si>
    <t>587 TUBULAR KNOBSET LOCK</t>
  </si>
  <si>
    <t>HEAVY DUTY TUBULAR LEVERSET LOCK</t>
  </si>
  <si>
    <t>TUBULAR LEVERDOOR LOCK</t>
  </si>
  <si>
    <t>SINGLE CYLINDER DEADBOLT D101 &amp; D102</t>
  </si>
  <si>
    <t>RIM DEADLOCK DOUBLE CYLINDER</t>
  </si>
  <si>
    <t>RIM DEADLOCK SINGLE CYLINDER</t>
  </si>
  <si>
    <t>RIM LOCK</t>
  </si>
  <si>
    <t>CYLINDRICAL KNOBSET 588</t>
  </si>
  <si>
    <t>CYLINDRICAL KNOBSET 587</t>
  </si>
  <si>
    <t>TOX W/ SCREW</t>
  </si>
  <si>
    <t>TOX WALL PLUG W/ STOPPER</t>
  </si>
  <si>
    <t>PIPE CLAMP</t>
  </si>
  <si>
    <t>INSULATED STAPLE</t>
  </si>
  <si>
    <t>HOLE CLAMP</t>
  </si>
  <si>
    <t>ACRYLIC SEALANT</t>
  </si>
  <si>
    <t>SILICON SEALANT</t>
  </si>
  <si>
    <t>GYPSUM TAPE - MESH TAPE</t>
  </si>
  <si>
    <t>FIBER GLASS MESH CLOTH</t>
  </si>
  <si>
    <t>SACKOLINE - BLACK</t>
  </si>
  <si>
    <t>SACKOLINE - ORANGE BLUE</t>
  </si>
  <si>
    <t>BLIND RIVETS POLONET</t>
  </si>
  <si>
    <t>BLIND RIVETS POLOLOCK</t>
  </si>
  <si>
    <t>J-BOLT W/ RUBBER WASHER</t>
  </si>
  <si>
    <t>HEX NUT</t>
  </si>
  <si>
    <t>HANG THE KEEL</t>
  </si>
  <si>
    <t>WALL CLIP</t>
  </si>
  <si>
    <t>SCAFFOLDING CLAMP</t>
  </si>
  <si>
    <t>THREADED ROD</t>
  </si>
  <si>
    <t>TILE DECORATIVE</t>
  </si>
  <si>
    <t>ANNEALED WIRE</t>
  </si>
  <si>
    <t>SERVICE DROP WIRE</t>
  </si>
  <si>
    <t>THYLENE SCREEN</t>
  </si>
  <si>
    <t>HOT DIPPED HARDWARE CLOTH</t>
  </si>
  <si>
    <t>HOT DIPPED WELDED WIRE</t>
  </si>
  <si>
    <t>ALUMINUM SCREEN</t>
  </si>
  <si>
    <t>EXPANDED WIRE</t>
  </si>
  <si>
    <t>COMBAT WIRE</t>
  </si>
  <si>
    <t>HOT DIPPED CYCLONE WIRE</t>
  </si>
  <si>
    <t>CYCLONE WIRE ORD.</t>
  </si>
  <si>
    <t>BARBED WIRE</t>
  </si>
  <si>
    <t>COATED WELDED WIRE</t>
  </si>
  <si>
    <t>GALVANIZED WELDED WIRE ORD.</t>
  </si>
  <si>
    <t>GALVANIZED WELDED WIRE</t>
  </si>
  <si>
    <t>PVC CLAMP</t>
  </si>
  <si>
    <t>CONCRETE SLIM NAIL</t>
  </si>
  <si>
    <t>CONCRETE NAIL</t>
  </si>
  <si>
    <t>PAN HEAD SCREW</t>
  </si>
  <si>
    <t>HARDIFLEX SCREW W/ 8 NIBS</t>
  </si>
  <si>
    <t>LAGSCREW</t>
  </si>
  <si>
    <t>LAG SCREW</t>
  </si>
  <si>
    <t>POLOLOCK TEK SCREW WOOD</t>
  </si>
  <si>
    <t>POLOLOCK TEKSCREW - METAL</t>
  </si>
  <si>
    <t>POLONET TEK SCREW -WOOD</t>
  </si>
  <si>
    <t>POLONET TEK SCREW - METAL</t>
  </si>
  <si>
    <t>GYPSUM SCREW - WOOD</t>
  </si>
  <si>
    <t>GYPSUM SCREW - METAL</t>
  </si>
  <si>
    <t>EXPANSION SHIELD</t>
  </si>
  <si>
    <t>ROOFING NAIL PLAIN</t>
  </si>
  <si>
    <t>POWER SMOOTH NAIL</t>
  </si>
  <si>
    <t>HARDIFLEX NAIL</t>
  </si>
  <si>
    <t>GRIP ANCHOR</t>
  </si>
  <si>
    <t>DYNA BOLT</t>
  </si>
  <si>
    <t>SHIP CHAIN</t>
  </si>
  <si>
    <t>TUBE CUTTER</t>
  </si>
  <si>
    <t>PPR HEATER / FUSHION WELD</t>
  </si>
  <si>
    <t>AMETEK PRESSURE GAUGE</t>
  </si>
  <si>
    <t>ALUMINUM DUCT TAPE</t>
  </si>
  <si>
    <t>CLOTH DUCT TAPE</t>
  </si>
  <si>
    <t>MASKING TAPE</t>
  </si>
  <si>
    <t>POLONET STAPLES</t>
  </si>
  <si>
    <t>STAPLE GUN</t>
  </si>
  <si>
    <t>CHALK STONE</t>
  </si>
  <si>
    <t>FLAP DISC - STAINLESS</t>
  </si>
  <si>
    <t>FLAP DISC - METAL</t>
  </si>
  <si>
    <t>CIRCULAR SAW BLADE</t>
  </si>
  <si>
    <t>CUTTING WHEEL</t>
  </si>
  <si>
    <t>CIRCULAR WIRE BRUSH</t>
  </si>
  <si>
    <t>CUP BRUSH - TWISTED</t>
  </si>
  <si>
    <t>CUP BRUSH -PLAIN</t>
  </si>
  <si>
    <t>SANDING ROLL -METAL</t>
  </si>
  <si>
    <t>SANDING ROLL - FLOOR</t>
  </si>
  <si>
    <t>SAND PAPER</t>
  </si>
  <si>
    <t>WELDING LENS</t>
  </si>
  <si>
    <t>WELDING MASK</t>
  </si>
  <si>
    <t>WELDING ELECTRODES</t>
  </si>
  <si>
    <t>WELDING CABLE</t>
  </si>
  <si>
    <t>WELDING ELECTRODE HOLDER</t>
  </si>
  <si>
    <t>HAND RIVETER</t>
  </si>
  <si>
    <t>NYLON FISHING LINE</t>
  </si>
  <si>
    <t>NYLON ROPE -BLUE</t>
  </si>
  <si>
    <t>NYLON ROPE -ORANGE</t>
  </si>
  <si>
    <t>SAFETY HELMET</t>
  </si>
  <si>
    <t>POLONET SAFETY SHOES</t>
  </si>
  <si>
    <t>SAFETY RAIN SHOES</t>
  </si>
  <si>
    <t>GLOVES</t>
  </si>
  <si>
    <t>GALVANIZED  CABLE CLIP</t>
  </si>
  <si>
    <t>GALVANIZED SHACKLE U-TYPE</t>
  </si>
  <si>
    <t>TACKLE PULLEY -DOUBLE</t>
  </si>
  <si>
    <t>TACKLE PULLEY -SINGLE</t>
  </si>
  <si>
    <t>RUBBER WHEEL W/RIM &amp; BEARING HD</t>
  </si>
  <si>
    <t>TURN BUCKLE</t>
  </si>
  <si>
    <t>PILLOW BLOCK</t>
  </si>
  <si>
    <t>WHEEL BARROW</t>
  </si>
  <si>
    <t>CAULKING GUN</t>
  </si>
  <si>
    <t>HOLE SAW</t>
  </si>
  <si>
    <t>BORING BIT</t>
  </si>
  <si>
    <t>LOCK INSTALLATION KIT</t>
  </si>
  <si>
    <t>HACKSAW FRAME  W/ BLADE</t>
  </si>
  <si>
    <t>HACKSAW  W/ PVC HANDLE</t>
  </si>
  <si>
    <t>HACKSAW FRAME</t>
  </si>
  <si>
    <t>HACKSAW BLADE</t>
  </si>
  <si>
    <t>MAGNETIC TEKSCREW ADAPTOR</t>
  </si>
  <si>
    <t>SCREW DRIVER BIT</t>
  </si>
  <si>
    <t>MASONRY DRILL BIT</t>
  </si>
  <si>
    <t>M2 HSS DRILL BIT</t>
  </si>
  <si>
    <t>PAINT ROLLER</t>
  </si>
  <si>
    <t>PAINT BRUSH</t>
  </si>
  <si>
    <t>TIN SNIP</t>
  </si>
  <si>
    <t>AVIATION SNIP</t>
  </si>
  <si>
    <t>ALLEN KEY WRENCH SET</t>
  </si>
  <si>
    <t>PIPE WRENCH HD</t>
  </si>
  <si>
    <t>PLIERS</t>
  </si>
  <si>
    <t>VISE GRIP</t>
  </si>
  <si>
    <t>PUTTY KNIFE</t>
  </si>
  <si>
    <t>CEMENT TROWEL W/WOOD HANDLE - POLONET / TRICYCLE</t>
  </si>
  <si>
    <t>CEMENT TROWEL W/PLASTIC HANDLE - POLONET / TRICYCLE</t>
  </si>
  <si>
    <t>PLASTERING TROWEL</t>
  </si>
  <si>
    <t>GARDEN RAKE WOODEN HANDLE W/SCREW</t>
  </si>
  <si>
    <t>GARDEN RAKE</t>
  </si>
  <si>
    <t>STEEL BRUSH</t>
  </si>
  <si>
    <t>HOE</t>
  </si>
  <si>
    <t>PICK MATTOCK (PIKO)</t>
  </si>
  <si>
    <t>HOLE DIGGER</t>
  </si>
  <si>
    <t>SHOVEL</t>
  </si>
  <si>
    <t>DIGGING BAR</t>
  </si>
  <si>
    <t>CLAW BAR</t>
  </si>
  <si>
    <t>HAMMER</t>
  </si>
  <si>
    <t>SCRAPPER W/ HANDLE</t>
  </si>
  <si>
    <t>TRI SQUARE</t>
  </si>
  <si>
    <t>ALUMINUM LEVER BAR</t>
  </si>
  <si>
    <t>POLONET MINI LEVEL</t>
  </si>
  <si>
    <t>FRANCE COUPLING HOT DIPPED</t>
  </si>
  <si>
    <t>G.I NIPPLE - LIGHT WEIGHT</t>
  </si>
  <si>
    <t>G.I NIPPLE - LIGHT  DUTY</t>
  </si>
  <si>
    <t>G.I NIPPLE</t>
  </si>
  <si>
    <t>G.I HOSE CLAMP</t>
  </si>
  <si>
    <t>PE COMPRESSION FITTINGS -BLUE P.E COMPRESSION  COUPLING - (SOCKET)</t>
  </si>
  <si>
    <t>PE COMPRESSION FITTINGS -BLUE P.E COMPRESSION  COUPLING REDUCER</t>
  </si>
  <si>
    <t>PE COMPRESSION FITTINGS -BLUE P.E COMPRESSION ELBOW</t>
  </si>
  <si>
    <t>PE COMPRESSION FITTINGS -BLUE P.E COMPRESSION MALE ELBOW</t>
  </si>
  <si>
    <t>PVC BALL VALVE THREADED</t>
  </si>
  <si>
    <t>PVC BALL VALVE</t>
  </si>
  <si>
    <t>PPR FITTINGS PPR  PLASTIC UNION PATENTE</t>
  </si>
  <si>
    <t>PPR FITTINGS PPR PLASTIC BALL VALVE</t>
  </si>
  <si>
    <t>PPR FITTINGS PPR  BRASS BALL VALVE</t>
  </si>
  <si>
    <t>PPR FITTINGS PPR TEE SOCKET</t>
  </si>
  <si>
    <t>PPR FITTINGS PPR TEE REDUCER</t>
  </si>
  <si>
    <t>PPR FITTINGS PPR FEMALE THREAD UNION</t>
  </si>
  <si>
    <t>PPR FITTINGS PPR MALE THREAD UNION</t>
  </si>
  <si>
    <t>PPR FITTINGS PPR STOP VALVE</t>
  </si>
  <si>
    <t>PPR FITTINGS PPR FEMALE THREAD TEE</t>
  </si>
  <si>
    <t>PPR FITTINGS PPR MALE THREAD TEE</t>
  </si>
  <si>
    <t>PPR FITTINGS PPR MALE THREAD ELBOW</t>
  </si>
  <si>
    <t>PPR FITTINGS PPR ELBOW</t>
  </si>
  <si>
    <t>PPR FITTINGS PPR ELBOW REDUCER</t>
  </si>
  <si>
    <t>PPR FITTINGS PPR PIPE CLIP</t>
  </si>
  <si>
    <t>PPR FITTINGS PPR COUPLING REDUCER (SOCKET)</t>
  </si>
  <si>
    <t>PPR FITTINGS PPR END CAP</t>
  </si>
  <si>
    <t>PPR FITTINGS PPR PIPE PLUG</t>
  </si>
  <si>
    <t>PPR FITTINGS PPR  FEMALE THREAD ELBOW</t>
  </si>
  <si>
    <t>PPR FITTINGS PPR FEMALE THREAD SOCKET</t>
  </si>
  <si>
    <t>PPR FITTINGS PPR MALE THREAD SOCKET</t>
  </si>
  <si>
    <t>PPR FITTINGS PPR COUPLING -  (SOCKET)</t>
  </si>
  <si>
    <t>PPR PIPE</t>
  </si>
  <si>
    <t>PPR PIPE ROLL</t>
  </si>
  <si>
    <t>PVC FITTINGS PVC END CAP</t>
  </si>
  <si>
    <t>PVC FITTINGS PVC UNION PATENTE</t>
  </si>
  <si>
    <t>PVC FITTINGS PVC MALE ADAPTOR -SOCKET</t>
  </si>
  <si>
    <t>PVC FITTINGS PVC FEMALE THREAD ELBOW</t>
  </si>
  <si>
    <t>PVC FITTINGS PVC FEMALE THREAD TEE</t>
  </si>
  <si>
    <t>PVC FITTINGS PVC COUPLING -SOCKET</t>
  </si>
  <si>
    <t>PVC FITTINGS PVC COUPLING REDUCER -SOCKET</t>
  </si>
  <si>
    <t>PVC FITTINGS PVC FEMALE ADAPTOR -SOCKET</t>
  </si>
  <si>
    <t>PVC FITTINGS PVC ELBOW</t>
  </si>
  <si>
    <t>PVC FITTINGS PVC ELBOW REDUCER</t>
  </si>
  <si>
    <t>PVC FITTINGS PVC TEE</t>
  </si>
  <si>
    <t>PVC FITTINGS PVC TEE REDUCER</t>
  </si>
  <si>
    <t>BRASS SWING CHECK VALVE</t>
  </si>
  <si>
    <t>BRASS FOOT VALVE</t>
  </si>
  <si>
    <t>BRASS VERTICAL CHECK VALVE</t>
  </si>
  <si>
    <t>BRASS GATE VALVE</t>
  </si>
  <si>
    <t>BRASS CORE VALVE</t>
  </si>
  <si>
    <t>STAINLESS SINK FAUCET MATTE BLACK</t>
  </si>
  <si>
    <t>304 SINK FAUCET</t>
  </si>
  <si>
    <t>STAINLESS ANGLE VALVE MATTE BLACK</t>
  </si>
  <si>
    <t>POLOLOCK 304 STAINLESS ANGLE VALVE</t>
  </si>
  <si>
    <t>ANGLE VALVE</t>
  </si>
  <si>
    <t>304 STAINLESS TWO WAY FAUCET - MATTE BLACK</t>
  </si>
  <si>
    <t>304 STAINLESS TWO WAY FAUCET</t>
  </si>
  <si>
    <t>TWO WAY FAUCET</t>
  </si>
  <si>
    <t>FAST OPEN FAUCET - HOSE</t>
  </si>
  <si>
    <t>FAST OPEN FAUCET - PLAIN</t>
  </si>
  <si>
    <t>FAUCET WALL TYPE</t>
  </si>
  <si>
    <t>STAINLESS LAVATORY FAUCET MATTE BLACK</t>
  </si>
  <si>
    <t>POLOLOCK 304 STAINLESS LAVATORY FAUCET</t>
  </si>
  <si>
    <t>LAVATORY FAUCET</t>
  </si>
  <si>
    <t>304 STAINLESS GOOSENECK FAUCET SINK TYPE MATTE BLACK</t>
  </si>
  <si>
    <t>304 STAINLESS GOOSENECK FAUCET SINK TYPE</t>
  </si>
  <si>
    <t>GOOSENECK FAUCET</t>
  </si>
  <si>
    <t>BIDET SET</t>
  </si>
  <si>
    <t>HAND SHOWER SET</t>
  </si>
  <si>
    <t>304 STAINLESS MULTIFUNCTIONAL SHOWER FAUCET SUIT</t>
  </si>
  <si>
    <t>MULTIFUNCTION FAUCET SHOWER SET</t>
  </si>
  <si>
    <t>STAINLESS FLEXIBLE HOSE FOR SHOWER</t>
  </si>
  <si>
    <t>304 STAINLESS FLEXIBLE HOSE W/HANDLE</t>
  </si>
  <si>
    <t>DOWNPIPE SET</t>
  </si>
  <si>
    <t>PIG DRINKER</t>
  </si>
  <si>
    <t>BRASS FAUCET</t>
  </si>
  <si>
    <t>BLUE PLASTIC WATER FAUCET</t>
  </si>
  <si>
    <t>PREMIUM PTFE SEAL TAPE</t>
  </si>
  <si>
    <t>TEFLON TAPE</t>
  </si>
  <si>
    <t>CHROME PIPE</t>
  </si>
  <si>
    <t>F BRASS CONNECTOR</t>
  </si>
  <si>
    <t>PRESSURE SWITCH</t>
  </si>
  <si>
    <t>WATER METER</t>
  </si>
  <si>
    <t>PITCHER PUMP</t>
  </si>
  <si>
    <t>JETMATIC PUMP</t>
  </si>
  <si>
    <t>POWER SPRAYER HOSE BLACK</t>
  </si>
  <si>
    <t>POWER SPRAYER HOSE ORANGE</t>
  </si>
  <si>
    <t>POWER SPRAYER SET</t>
  </si>
  <si>
    <t>CAPACITOR START - ASYNCHRONOUS MOTOR</t>
  </si>
  <si>
    <t>HOT MACHINER</t>
  </si>
  <si>
    <t>WATER PUMP</t>
  </si>
  <si>
    <t>HOSE COUPLING</t>
  </si>
  <si>
    <t>CHEMICAL HOSE</t>
  </si>
  <si>
    <t>CLEAR HOSE</t>
  </si>
  <si>
    <t>EXTRA THICK PLASTIC HOSE</t>
  </si>
  <si>
    <t>GARDEN HOSE</t>
  </si>
  <si>
    <t>KITCHEN SINK</t>
  </si>
  <si>
    <t>HI-GRADE STAINLESS FLOOR STRAINER</t>
  </si>
  <si>
    <t>pc</t>
  </si>
  <si>
    <t>set</t>
  </si>
  <si>
    <t>roll</t>
  </si>
  <si>
    <t>pcs/ctn</t>
  </si>
  <si>
    <t>pcs/bag</t>
  </si>
  <si>
    <t>boxes/ctn</t>
  </si>
  <si>
    <t>pcs/sack</t>
  </si>
  <si>
    <t>doz</t>
  </si>
  <si>
    <t>pair</t>
  </si>
  <si>
    <t>pack</t>
  </si>
  <si>
    <t>ctn</t>
  </si>
  <si>
    <t>box</t>
  </si>
  <si>
    <t>bag</t>
  </si>
  <si>
    <t>card</t>
  </si>
  <si>
    <t>grs</t>
  </si>
  <si>
    <t>supplier_code</t>
  </si>
  <si>
    <t>mobile</t>
  </si>
  <si>
    <t>address</t>
  </si>
  <si>
    <t>details</t>
  </si>
  <si>
    <t>tax</t>
  </si>
  <si>
    <t>email</t>
  </si>
  <si>
    <t>previous_balance</t>
  </si>
  <si>
    <t>1ST-194</t>
  </si>
  <si>
    <t>1ST TOOLS TRADING INC.</t>
  </si>
  <si>
    <t>AIM-229</t>
  </si>
  <si>
    <t>AIMATCO BUILDERS SUPPLY INC.</t>
  </si>
  <si>
    <t>8364-41-37</t>
  </si>
  <si>
    <t>58 E. FERNANDEZ ST. BATIS 1500 CITY OF SAN JUAN NCR</t>
  </si>
  <si>
    <t>8364-41-37 / 8361-41-57 / 8364-22-70 / 8364-43-54 / 8364-41-59</t>
  </si>
  <si>
    <t>606-012-675-00002</t>
  </si>
  <si>
    <t>ALA-683</t>
  </si>
  <si>
    <t>ALASCO VINYL CORPORATION</t>
  </si>
  <si>
    <t>0917-803-3905</t>
  </si>
  <si>
    <t>665 7TH AVENUE BRGY. 121 GRACE PARK ZONE 11 1400 CALOOCAN CITY</t>
  </si>
  <si>
    <t>(632) 8292.222 / (632) 8291.1415 / 0917-803-3905 / 0922-842-6371 / 0999-888-6371</t>
  </si>
  <si>
    <t>000-302-886-00000</t>
  </si>
  <si>
    <t>AMA-932</t>
  </si>
  <si>
    <t>AMAZON MANUFACTURING CORPORATION</t>
  </si>
  <si>
    <t>8983-7519</t>
  </si>
  <si>
    <t>109 PASOLO ROAD, PASOLO, VALENZUELA CITY</t>
  </si>
  <si>
    <t>8983-7519 /3440-6042 / 3456-8150 / 0922-880-9595 / 0917-626-3288</t>
  </si>
  <si>
    <t>000-240-178-00000</t>
  </si>
  <si>
    <t>DRE-779</t>
  </si>
  <si>
    <t>DREAM DOOR PHILS. ENTERPRISES</t>
  </si>
  <si>
    <t>8716-2112</t>
  </si>
  <si>
    <t>4 TRINIDAD ST. DIST. 1 1447, VALENZUELA CITY</t>
  </si>
  <si>
    <t>8716-2112 / 0932-716-5396</t>
  </si>
  <si>
    <t>103-961-945-00004</t>
  </si>
  <si>
    <t>ERE-562</t>
  </si>
  <si>
    <t>EREANTIC CORPORATION</t>
  </si>
  <si>
    <t>978 ALIW-IW ST. MORNINGSIDE TERRACE SUBD. STA. MESA, MANILA</t>
  </si>
  <si>
    <t>JER-890</t>
  </si>
  <si>
    <t>JERICSON MARKETING</t>
  </si>
  <si>
    <t>0917-878-7987</t>
  </si>
  <si>
    <t>BANCAL, FVIC, MEYCAUAYAN CITY</t>
  </si>
  <si>
    <t>LIT-749</t>
  </si>
  <si>
    <t>LITELUX MARKETING</t>
  </si>
  <si>
    <t>0966-629-1657</t>
  </si>
  <si>
    <t>PNM-208</t>
  </si>
  <si>
    <t>PNM MARKETING COMPANY</t>
  </si>
  <si>
    <t>11 ATIMOYA ST., POTRERO MALABON</t>
  </si>
  <si>
    <t>(632) 6461182</t>
  </si>
  <si>
    <t>POL-650</t>
  </si>
  <si>
    <t>POLYLINE INDUSTRIES CORPORATED</t>
  </si>
  <si>
    <t>107 F. MARIANO AVE. BRGY. DE LA PAZ, PASIG CITY</t>
  </si>
  <si>
    <t>000-285-920-000</t>
  </si>
  <si>
    <t>QP-865</t>
  </si>
  <si>
    <t>QP INDUSTRIAL CORPORATTION</t>
  </si>
  <si>
    <t>93 PARADA ROAD, MAYSAN, VALENZUELA CITY</t>
  </si>
  <si>
    <t>003-509-622-000</t>
  </si>
  <si>
    <t>SAN-919</t>
  </si>
  <si>
    <t>SANTECH INDUSTRIAL CORPORATION</t>
  </si>
  <si>
    <t>8293-3238</t>
  </si>
  <si>
    <t>8293-9523 / 8292-8373 / 8293-3238 / 8291-3731 / 8292-7652</t>
  </si>
  <si>
    <t>STE-984</t>
  </si>
  <si>
    <t>STEELWORLD MANUFACTURING CORPORATION</t>
  </si>
  <si>
    <t>16 INDUSTRIAL ROAD BRGY. KARUHATAN DIST. 2, 1441 VALENZUELA CITY NCR</t>
  </si>
  <si>
    <t>000-297-245-00000</t>
  </si>
  <si>
    <t>STR-308</t>
  </si>
  <si>
    <t>STRAIGHTDEAL MARKETING INC.</t>
  </si>
  <si>
    <t>NO. 35 SAPOCOY STREET MANRESA 1115 QUEZON CITY</t>
  </si>
  <si>
    <t>609-297-357-00000</t>
  </si>
  <si>
    <t>TIG-351</t>
  </si>
  <si>
    <t>TIGER INDUSTRIES</t>
  </si>
  <si>
    <t>0961-500-6091</t>
  </si>
  <si>
    <t>CALOOCAN CITY</t>
  </si>
  <si>
    <t>0961-500-6091 / 0995-772-2378</t>
  </si>
  <si>
    <t>VOR-931</t>
  </si>
  <si>
    <t>VORSC WIRES AND CABLES CORPORATION</t>
  </si>
  <si>
    <t>WIN-505</t>
  </si>
  <si>
    <t>WINWAY/HAPPY DAY TRADING</t>
  </si>
  <si>
    <t>02-82776885</t>
  </si>
  <si>
    <t>02-82774174 / 02-82776885</t>
  </si>
  <si>
    <t>ZYT-591</t>
  </si>
  <si>
    <t>ZYTEC TRADING</t>
  </si>
  <si>
    <t>NO. 23 5TH STREET, 6TH AVENUE, CALOOCAN CITY</t>
  </si>
  <si>
    <t>COC-556</t>
  </si>
  <si>
    <t>COCO COUNTRY ENTERPRISE</t>
  </si>
  <si>
    <t>8-363-7865</t>
  </si>
  <si>
    <t>PUROK 4, DULONG BARRIO, B O S INDUSTRIAL COMP., MATUNGAO, BULACAN, BULACAN</t>
  </si>
  <si>
    <t>217-137-592-00000</t>
  </si>
  <si>
    <t>IND-852</t>
  </si>
  <si>
    <t>INDUSTRIAL WELDING CORPORATION</t>
  </si>
  <si>
    <t>8789-1000</t>
  </si>
  <si>
    <t>17 MC ARTHUR HI-WAY BRGY. POTRERO, DISTRICT II, MALABON CITY</t>
  </si>
  <si>
    <t>000-236-850-001</t>
  </si>
  <si>
    <t>FIR-451</t>
  </si>
  <si>
    <t>FIREFLY ELECTRIC &amp; LIGHTING CORPORATION</t>
  </si>
  <si>
    <t>55 T. SANTIAGO COR. P. GREGORIO ST. LINGUNAN 1446 VALENZUELA CITY</t>
  </si>
  <si>
    <t>210-714-705-00000</t>
  </si>
  <si>
    <t>DEV-105</t>
  </si>
  <si>
    <t>DEVELOPMENT TRADING WHOLESALER &amp; DISTRIBUTOR OF ELECTRICAL SUPPLY</t>
  </si>
  <si>
    <t>02-898-41380</t>
  </si>
  <si>
    <t>LAWA, MALHACAN, MEYCAUAYAN, BULACAN</t>
  </si>
  <si>
    <t>02-899-84992 / 02-898-41380</t>
  </si>
  <si>
    <t>108-996-008-000</t>
  </si>
  <si>
    <t>MAR-525</t>
  </si>
  <si>
    <t>MARCH RESOURCES MANUFACTURING CORPORATION</t>
  </si>
  <si>
    <t>8241-8428</t>
  </si>
  <si>
    <t>#90 RUBBER MASTER ROAD, LINGUNAN, VALENZUELA CITY</t>
  </si>
  <si>
    <t>8241-8428 / 8243-1415 / 8242-4351 / 8242-5443</t>
  </si>
  <si>
    <t>002-033-338-00000</t>
  </si>
  <si>
    <t>MAR-452</t>
  </si>
  <si>
    <t>MARSWIN MARKETING INC.</t>
  </si>
  <si>
    <t>355 7777</t>
  </si>
  <si>
    <t>408 SAN NICOLAS ST., BINONDO, MANILA</t>
  </si>
  <si>
    <t>(63-2) 355 7777</t>
  </si>
  <si>
    <t>TOM-310</t>
  </si>
  <si>
    <t>TOMITA INDUSTRIAL &amp; MACHINERY, INC.</t>
  </si>
  <si>
    <t>8288-38-98</t>
  </si>
  <si>
    <t>5TH FLOOR TOYOMA GROUP CENTER, #22 TIMOG AVE. LAGING HANDA, QUEZON CITY</t>
  </si>
  <si>
    <t>8288-38-98 / 8288-97-90 / 8287-45-27 / 0932-857-9888 / 0927-529-8842</t>
  </si>
  <si>
    <t>209-659-388-0000</t>
  </si>
  <si>
    <t>SUN-136</t>
  </si>
  <si>
    <t>SUNVIEW ENTERPRISES</t>
  </si>
  <si>
    <t>supplier_id</t>
  </si>
  <si>
    <t>item_code</t>
  </si>
  <si>
    <t>category_id</t>
  </si>
  <si>
    <t>item_description</t>
  </si>
  <si>
    <t>unit_id</t>
  </si>
  <si>
    <t>volume_less</t>
  </si>
  <si>
    <t>regular_less</t>
  </si>
  <si>
    <t>1ST-358-001</t>
  </si>
  <si>
    <t>PL22050-1 STAINLESS BASKET STRAINER 2-1/2 DUPLEX STRAINER</t>
  </si>
  <si>
    <t>Net</t>
  </si>
  <si>
    <t>ASSTD ORDER 10 CTN + 1 CTN FREE</t>
  </si>
  <si>
    <t>90/PC</t>
  </si>
  <si>
    <t>13/PC ASSTD ORDER 10CTN</t>
  </si>
  <si>
    <t>27/PC ASSTD ORDER 10/CTN</t>
  </si>
  <si>
    <t>152/PC ASSTD ORDER  5CTN</t>
  </si>
  <si>
    <t>75/PC ASSTD ORDER  5CTN</t>
  </si>
  <si>
    <t>PL22041-00 21"*17"*6.5 PLAIN STAINLESS KITCHEN SINK</t>
  </si>
  <si>
    <t>168/PC</t>
  </si>
  <si>
    <t>PL22041-11 48"*20"*7.5"-DOUBLE BOWL LEFT DRAIN STAINLESS KITCHEN SINK</t>
  </si>
  <si>
    <t>PL22042-01 22"*18"*8.5" SINGLE STAINLESS STEEL HAND SINK SATIN</t>
  </si>
  <si>
    <t>PL22090-1 (LT22014-G1) GARDEN HOSE GREEN 1/2"*90M</t>
  </si>
  <si>
    <t>ASSTD ORDER</t>
  </si>
  <si>
    <t>50 ROLLS, 1 ROLL FREE</t>
  </si>
  <si>
    <t>PL22091-1 (LT22015-1) EXTRA THICK HOSE 1/4"*150M</t>
  </si>
  <si>
    <t>1030/ROLL</t>
  </si>
  <si>
    <t>PL22091-3 (LT22015-3) EXTRA THICK HOSE 3/8"*150M</t>
  </si>
  <si>
    <t>PL22091-4 (LT22015-4) EXTRA THICK HOSE 1/2"*150M</t>
  </si>
  <si>
    <t>750/ROLL</t>
  </si>
  <si>
    <t>675/ROLL ASSTD ORDER 20 ROLLS</t>
  </si>
  <si>
    <t>800/ROLL ASSTD ORDER 20 ROLLS</t>
  </si>
  <si>
    <t>1080/ROLL ASSTD ORDER 20 ROLLS</t>
  </si>
  <si>
    <t>1480/ROLL ASSTD ORDER 20 ROLLS</t>
  </si>
  <si>
    <t>PL22091-2 (LT22015-2) EXTRA THICK HOSE 5/16"*150M</t>
  </si>
  <si>
    <t>ASSTD ORDER 30 ROLLS, 1 ROLL 3/8" FREE</t>
  </si>
  <si>
    <t>PLWM001 PPR HOT MACHINER FAN A. 20-32 LIGHT - WELDING MACHINE</t>
  </si>
  <si>
    <t>300/BOX</t>
  </si>
  <si>
    <t>270/BOX ORDER 10 CTN</t>
  </si>
  <si>
    <t>K31DJ1.5 BGPHASE CAPACITOR START - ASYNCHRONOUS MOTOR YC90L-4</t>
  </si>
  <si>
    <t>2050/SET ORDER 50 SETS</t>
  </si>
  <si>
    <t>PL22140 (PLMA001) POLOLOCK JETMATIC PUMP</t>
  </si>
  <si>
    <t>PL22141 POLOLOCK PITCHER PUMP</t>
  </si>
  <si>
    <t>172/PC ORDER 10CTN</t>
  </si>
  <si>
    <t>1000/PC ORDER 50 PCS</t>
  </si>
  <si>
    <t>PL22160 POLONET PRESSURE SWITCH</t>
  </si>
  <si>
    <t>ORDER 10 CTNS + 1 CTN FREE</t>
  </si>
  <si>
    <t>PL22161 F BRASS CONNECT 1/4''</t>
  </si>
  <si>
    <t>113/PC ORDER 3CTN</t>
  </si>
  <si>
    <t>5% ASSTD ORDER 100 BDL</t>
  </si>
  <si>
    <t>350/SET ASSTD ORDER 5 CTNS</t>
  </si>
  <si>
    <t>PL22188-01 304 STAINLESS MULTIFUNCTIONAL SHOWER FAUCET SUIT</t>
  </si>
  <si>
    <t>555/PC ORDER 2 CTN</t>
  </si>
  <si>
    <t>item price</t>
  </si>
  <si>
    <t>unit</t>
  </si>
  <si>
    <t>2150/SET</t>
  </si>
  <si>
    <t>118/PC</t>
  </si>
  <si>
    <t>9.5/PC</t>
  </si>
  <si>
    <t>PL22188-10 304 STAINLESS TWO WAY FAUCET 多功能- TWO WAY</t>
  </si>
  <si>
    <t>280/PC</t>
  </si>
  <si>
    <t>260/PC ASSTD ORDER 3 CTN</t>
  </si>
  <si>
    <t>PL22188-59 STAINLESS TWO WAY FAUCET MATTE BLACK 多功能-TWO WAY</t>
  </si>
  <si>
    <t>290/PC</t>
  </si>
  <si>
    <t>270/PC ASSTD ORDER 2 CTN</t>
  </si>
  <si>
    <t>category</t>
  </si>
  <si>
    <t>52/PC</t>
  </si>
  <si>
    <t>14/PC</t>
  </si>
  <si>
    <t>PL22150-2 4''*4 POLONET STAINLESS STRAINER</t>
  </si>
  <si>
    <t>28/PC</t>
  </si>
  <si>
    <t>PL22151-1 HI-GRADE STAINLESS FLOOR STRAINER 4"*4"</t>
  </si>
  <si>
    <t>82/PC</t>
  </si>
  <si>
    <t>PL22040-00 STAINLESS KITCHEN SINK 15"*20</t>
  </si>
  <si>
    <t>PL22040-01 STAINLESS KITCHEN SINK 16"*24"</t>
  </si>
  <si>
    <t>180/PC</t>
  </si>
  <si>
    <t>275/PC</t>
  </si>
  <si>
    <t>PL22041-01 30"*16"*5"RIGHT DRAIN STAINLESS KITCHEN SINK</t>
  </si>
  <si>
    <t>345/PC</t>
  </si>
  <si>
    <t>PL22041-02 30"*16"*5"-LEFT DRAIN STAINLESS KITCHEN SINK</t>
  </si>
  <si>
    <t>PL22041-03 30"*18"*7" RIGHT DRAIN STAINLESS KITCHEN SINK</t>
  </si>
  <si>
    <t>515/PC</t>
  </si>
  <si>
    <t>PL22041-04 30"*18"*7"-LEFT DRAIN STAINLESS KITCHEN SINK</t>
  </si>
  <si>
    <t>PL22041-05 31"*17"*6.5" DOUBLE BOWL STAINLESS KITCHEN SINK</t>
  </si>
  <si>
    <t>615/PC</t>
  </si>
  <si>
    <t>PL22041-06 40"*20"*6" RIGHT DRAIN STAINLESS KITCHEN SINK</t>
  </si>
  <si>
    <t>555/PC</t>
  </si>
  <si>
    <t>PL22041-07 40"*20"*6"-LEFT DRAIN STAINLESS KITCHEN SINK</t>
  </si>
  <si>
    <t>PL22041-08 POLONET STAINLESS KITCHEN SINK 15"*15"*6</t>
  </si>
  <si>
    <t>205/PC</t>
  </si>
  <si>
    <t>PL22041-09 19"*19"*6.5" STAINLESS KITCHEN SINK</t>
  </si>
  <si>
    <t>1055/PC</t>
  </si>
  <si>
    <t>1250/PC</t>
  </si>
  <si>
    <t>PL22042-02 22"*18"*8.5" SINGLE SINK STAINLESS STEEL HAND SINK BLACK</t>
  </si>
  <si>
    <t>1550/PC</t>
  </si>
  <si>
    <t>PL22042-03 24"*18"*8.5" SINGLE SINK STAINLESS STEEL HAND SINK SATIN</t>
  </si>
  <si>
    <t>1350/PC</t>
  </si>
  <si>
    <t>1650/PC</t>
  </si>
  <si>
    <t>PL22042-05 26"*18"*8.5" SINGLE SINK STAINLESS STEEL HAND SINK SATIN</t>
  </si>
  <si>
    <t>1385/PC</t>
  </si>
  <si>
    <t>PL22042-06 26"*18"*8.5" SINGLE SINK STAINLESS STEEL HAND SINK BLACK</t>
  </si>
  <si>
    <t>1685/PC</t>
  </si>
  <si>
    <t>PL22042-07 31"*17"*8.5" DOUBLE SINK STAINLESS STEEL HAND SINK SATIN</t>
  </si>
  <si>
    <t>1750/PC</t>
  </si>
  <si>
    <t>PL22042-08 31"*17"*8.5" DOUBLE SINK STAINLESS STEEL HAND SINK BLACK</t>
  </si>
  <si>
    <t>2150/PC</t>
  </si>
  <si>
    <t>PL22042-09 33"*18"*8.5" DOUBLE SINK STAINLESS STEEL HAND SINK SATIN</t>
  </si>
  <si>
    <t>1950/PC</t>
  </si>
  <si>
    <t>PL22042-10 33"*18"*8.5" DOUBLE SINK STAINLESS STEEL HAND SINK BLACK</t>
  </si>
  <si>
    <t>2250/PC</t>
  </si>
  <si>
    <t>PL22043-01 304 STAINLESS STEEL KITCHEN SINK 18”*18”*8”45*45*20CM</t>
  </si>
  <si>
    <t>2600/SET</t>
  </si>
  <si>
    <t>PL22043-02 304 STAINLESS STEEL KITCHEN SINK 30"*18"*8"*76"*45*20CM</t>
  </si>
  <si>
    <t>3500/SET</t>
  </si>
  <si>
    <t>PL22043-1 304 STAINLESS STEEL KITCHEN SINK 32"*18"*8"82"*45*20CM</t>
  </si>
  <si>
    <t>4000/SET</t>
  </si>
  <si>
    <t>800/ROLL</t>
  </si>
  <si>
    <t>930/ROLL</t>
  </si>
  <si>
    <t>1385/ROLL</t>
  </si>
  <si>
    <t>900/ROLL</t>
  </si>
  <si>
    <t>1200/ROLL</t>
  </si>
  <si>
    <t>1650/ROLL</t>
  </si>
  <si>
    <t>PL22092-1 (LT22011-1) CLEAR HOSE 1/8"*300M</t>
  </si>
  <si>
    <t>250/ROLL</t>
  </si>
  <si>
    <t>PL22092-2 (LT22011-2) CLEAR HOSE 3/16"*300M</t>
  </si>
  <si>
    <t>405/ROLL</t>
  </si>
  <si>
    <t>PL22092-3 (LT22011-3) CLEAR HOSE 1/4"*300M</t>
  </si>
  <si>
    <t>485/ROLL</t>
  </si>
  <si>
    <t>PL22092-4 (LT22011-4) CLEAR HOSE 5/16"*300M</t>
  </si>
  <si>
    <t>845/ROLL</t>
  </si>
  <si>
    <t>PL22092-5 (LT22011-5) CLEAR HOSE 3/8"*150M</t>
  </si>
  <si>
    <t>555/ROLL</t>
  </si>
  <si>
    <t>PL22092-6 (LT22011-6) CLEAR HOSE 1/2"*150M</t>
  </si>
  <si>
    <t>825/ROLL</t>
  </si>
  <si>
    <t>PL22092-7 (LT22011-7) CLEAR HOSE 5/8"*150M</t>
  </si>
  <si>
    <t>1350/ROLL</t>
  </si>
  <si>
    <t>PL22093-00 CHEMICAL HOSE 1/4"*90M</t>
  </si>
  <si>
    <t>PL22093-01 CHEMICAL HOSE 5/16"*90M</t>
  </si>
  <si>
    <t>990/ROLL</t>
  </si>
  <si>
    <t>PL22093-02 CHEMICAL HOSE 3/8"*90M</t>
  </si>
  <si>
    <t>1190/ROLL</t>
  </si>
  <si>
    <t>PL22093-03 CHEMICAL HOSE 1/2"*90M</t>
  </si>
  <si>
    <t>1620/ROLL</t>
  </si>
  <si>
    <t>PL22093-04 CHEMICAL HOSE 5/8"*90M</t>
  </si>
  <si>
    <t>1965/ROLL</t>
  </si>
  <si>
    <t>PL22093-05 CHEMICAL HOSE 3/4"*50M</t>
  </si>
  <si>
    <t>2125/ROLL</t>
  </si>
  <si>
    <t>2420/ROLL</t>
  </si>
  <si>
    <t>PL22093-07 CHEMICAL HOSE 1-1/4"*40M</t>
  </si>
  <si>
    <t>2800/ROLL</t>
  </si>
  <si>
    <t>PL22093-08 CHEMICAL HOSE 1-1/2"*40M</t>
  </si>
  <si>
    <t>3700/ROLL</t>
  </si>
  <si>
    <t>PL22093-09 CHEMICAL HOSE 2"*40M</t>
  </si>
  <si>
    <t>6480/ROLL</t>
  </si>
  <si>
    <t>PL22250-1 1/2" HOSE COUPLING</t>
  </si>
  <si>
    <t>18.5/PC</t>
  </si>
  <si>
    <t>PL22250-2 5/8" HOSE COUPLING</t>
  </si>
  <si>
    <t>19.5/PC</t>
  </si>
  <si>
    <t>PL22250-3 3/4" HOSE COUPLING</t>
  </si>
  <si>
    <t>20.5/PC</t>
  </si>
  <si>
    <t>PL22120 (LTMA001-0.5HP) 0.5HP QB60 WATER PUMP</t>
  </si>
  <si>
    <t>1150/PC</t>
  </si>
  <si>
    <t>PL22132 1HP JET100L WATER PUMP</t>
  </si>
  <si>
    <t>2200/PC</t>
  </si>
  <si>
    <t>2900/PC</t>
  </si>
  <si>
    <t>PL22200 POWER SPRAYER</t>
  </si>
  <si>
    <t>PL22200-FRAME POWER SPRAYER FRAME</t>
  </si>
  <si>
    <t>PL22200-SPRAY GUN POWER SPRAYER GUN</t>
  </si>
  <si>
    <t>PL22210-1 POWER SPRAYER HOSE 10m-ORANGE</t>
  </si>
  <si>
    <t>205/ROLL</t>
  </si>
  <si>
    <t>PL22210-2 POWER SPRAYER HOSE 15m-ORANGE</t>
  </si>
  <si>
    <t>285/ROLL</t>
  </si>
  <si>
    <t>PL22210-3 POWER SPRAYER HOSE 20m-ORANGE</t>
  </si>
  <si>
    <t>365/ROLL</t>
  </si>
  <si>
    <t>PL22210-4 POWER SPRAYER HOSE 30m-ORANGE</t>
  </si>
  <si>
    <t>455/ROLL</t>
  </si>
  <si>
    <t>PL22210-5 POWER SPRAYER HOSE 50m-ORANGE</t>
  </si>
  <si>
    <t>720/ROLL</t>
  </si>
  <si>
    <t>PL22210- 6 POWER SPRAYER HOSE 100m-ORANGE</t>
  </si>
  <si>
    <t>1400/ROLL</t>
  </si>
  <si>
    <t>PL22211-1 POWER SPRAYER HOSE 10m-BLACK</t>
  </si>
  <si>
    <t>PL22211-4 POWER SPRAYER HOSE 30m-BLACK</t>
  </si>
  <si>
    <t>PL22211-5 POWER SPRAYER HOSE 50m-BLACK</t>
  </si>
  <si>
    <t>PL22211-6 POWER SPRAYER HOSE 100m-BLACK</t>
  </si>
  <si>
    <t>1050/PC</t>
  </si>
  <si>
    <t>PL22101-1/2"BRASS WATER METER</t>
  </si>
  <si>
    <t>299/PC</t>
  </si>
  <si>
    <t>125/PC</t>
  </si>
  <si>
    <t>57/PC</t>
  </si>
  <si>
    <t>85.5/PC</t>
  </si>
  <si>
    <t>123.5/PC</t>
  </si>
  <si>
    <t>2.50/PC</t>
  </si>
  <si>
    <t>3.70/PC</t>
  </si>
  <si>
    <t>4.50/PC</t>
  </si>
  <si>
    <t>5/ROLL</t>
  </si>
  <si>
    <t>7/ROLL</t>
  </si>
  <si>
    <t>9/ROLL</t>
  </si>
  <si>
    <t>PL22020-01 BLUE PLASTIC WATER FAUCET PLAIN</t>
  </si>
  <si>
    <t>PL22020-02 BLUE PLASTIC WATER FAUCET HOSE</t>
  </si>
  <si>
    <t>PL22021-1 BRASS FAUCET PB 1/2"-PLAIN</t>
  </si>
  <si>
    <t>109/PC</t>
  </si>
  <si>
    <t>PL22021-2 BRASS FAUCET HB 1/2"-HOSE</t>
  </si>
  <si>
    <t>PL22030-1 (LTSN004-S) SMALL POLONET STAINLESS STEEL PIG DRINKER</t>
  </si>
  <si>
    <t>38/PC</t>
  </si>
  <si>
    <t>PL22030-2 (LTSN004-B) BIG POLONET STAINLESS STEEL PIG DRINKER</t>
  </si>
  <si>
    <t>PL22051-1 DOWNPIPE SET FOR SINGLE BOWL (SINGLE LAUNCH)</t>
  </si>
  <si>
    <t>30/SET</t>
  </si>
  <si>
    <t>PL22051-2 DOWNPIPE SET FOR DOUBLE BOWL (DOUBLE LAUNCH)</t>
  </si>
  <si>
    <t>85/SET</t>
  </si>
  <si>
    <t>PL22170-1 304 STAINLESS FLEXIBLE HOSE WITH HANDLE 1/2"*1/2"*12"</t>
  </si>
  <si>
    <t>42/PC</t>
  </si>
  <si>
    <t>PL22170-2 304 STAINLESS FLEXIBLE HOSE WITH HANDLE 1/2"*1/2"*14"</t>
  </si>
  <si>
    <t>45/PC</t>
  </si>
  <si>
    <t>PL22170-3 304 STAINLESS FLEXIBLE HOSE WITH HANDLE 1/2"*1/2"*16"</t>
  </si>
  <si>
    <t>47/PC</t>
  </si>
  <si>
    <t>PL22170-4 304 STAINLESS FLEXIBLE HOSE WITH HANDLE 1/2"*1/2"*18"</t>
  </si>
  <si>
    <t>49/PC</t>
  </si>
  <si>
    <t>PL22170-5 304 STAINLESS FLEXIBLE HOSE WITH HANDLE 1/2"*1/2"*20"</t>
  </si>
  <si>
    <t>PL22170-6 304 STAINLESS FLEXIBLE HOSE WITH HANDLE 1/2"*1/2"*22"</t>
  </si>
  <si>
    <t>54/PC</t>
  </si>
  <si>
    <t>PL22170-7 304 STAINLESS FLEXIBLE HOSE WITH HANDLE 1/2"*1/2"*24"</t>
  </si>
  <si>
    <t>PL22180-01 STAINLESS FLEXIBLE HOSE FOR BIDET 1/2"*120CM</t>
  </si>
  <si>
    <t>78/PC</t>
  </si>
  <si>
    <t>PL22180-02 STAINLESS FLEXIBLE HOSE FOR SHOWER 1/2"*150CM</t>
  </si>
  <si>
    <t>80/PC</t>
  </si>
  <si>
    <t>375/SET</t>
  </si>
  <si>
    <t>620/PC</t>
  </si>
  <si>
    <t>95/PC</t>
  </si>
  <si>
    <t>160/PC</t>
  </si>
  <si>
    <t>170/PC</t>
  </si>
  <si>
    <t>PL22182-01 POLONET ABS BIDET SET</t>
  </si>
  <si>
    <t>115/SET</t>
  </si>
  <si>
    <t>PL22182-02 POLONET ABS BIDET SET</t>
  </si>
  <si>
    <t>145/SET</t>
  </si>
  <si>
    <t>170/SET</t>
  </si>
  <si>
    <t>156/PC</t>
  </si>
  <si>
    <t>149/PC</t>
  </si>
  <si>
    <t>204/PC</t>
  </si>
  <si>
    <t>147/PC</t>
  </si>
  <si>
    <t>169/PC</t>
  </si>
  <si>
    <t>167/PC</t>
  </si>
  <si>
    <t>212/PC</t>
  </si>
  <si>
    <t>310/PC</t>
  </si>
  <si>
    <t>380/PC</t>
  </si>
  <si>
    <t>460/PC</t>
  </si>
  <si>
    <t>250/PC</t>
  </si>
  <si>
    <t>320/PC</t>
  </si>
  <si>
    <t>370/PC</t>
  </si>
  <si>
    <t>390/PC</t>
  </si>
  <si>
    <t>PL22184-01 POLONET LAVATORY FAUCET 248G</t>
  </si>
  <si>
    <t>152/PC</t>
  </si>
  <si>
    <t>PL22184-02 POLONET LAVATORY FAUCET 237G</t>
  </si>
  <si>
    <t>PL22184-03 POLONET LAVATORY FAUCET 308G</t>
  </si>
  <si>
    <t>162/PC</t>
  </si>
  <si>
    <t>PL22184-04 POLONET LAVATORY FAUCET 285G</t>
  </si>
  <si>
    <t>235/PC</t>
  </si>
  <si>
    <t>255/PC</t>
  </si>
  <si>
    <t>76/PC</t>
  </si>
  <si>
    <t>87/PC</t>
  </si>
  <si>
    <t>108/PC</t>
  </si>
  <si>
    <t>PL22185-07 PLAIN FAST OPEN FAUCET</t>
  </si>
  <si>
    <t>PL22185-08 1/2"*2"-PLAIN FAST OPEN FAUCET</t>
  </si>
  <si>
    <t>50/PC</t>
  </si>
  <si>
    <t>PL22185-09 1/2"*4"-PLAIN FAST OPEN FAUCET</t>
  </si>
  <si>
    <t>60/PC</t>
  </si>
  <si>
    <t>PL22185-10 1/2"*6"-PLAIN FAST OPEN FAUCET</t>
  </si>
  <si>
    <t>70/PC</t>
  </si>
  <si>
    <t>PL22185-11 HOSE FAST OPEN FAUCET</t>
  </si>
  <si>
    <t>48/PC</t>
  </si>
  <si>
    <t>PL22185-12 1/2"*2"-HOSE FAST OPEN FAUCET</t>
  </si>
  <si>
    <t>55/PC</t>
  </si>
  <si>
    <t>PL22185-13 1/2"*4"-HOSE FAST OPEN FAUCET</t>
  </si>
  <si>
    <t>65/PC</t>
  </si>
  <si>
    <t>PL22185-14 1/2"*6"-HOSE FAST OPEN FAUCET</t>
  </si>
  <si>
    <t>75/PC</t>
  </si>
  <si>
    <t>145/PC</t>
  </si>
  <si>
    <t>PL22186-02 POLONET TWO WAY FAUCIT 263G (CROSS HANDLE)</t>
  </si>
  <si>
    <t>PL22187-01 ANGLE VALVE 1/2"*1/2"</t>
  </si>
  <si>
    <t>PL22187-02 ANGLE VALVE 1/2"*1/2"*1/2"</t>
  </si>
  <si>
    <t>PL22187-03 ANGLE VALVE 1/2"*1/2"*1/2" 90°</t>
  </si>
  <si>
    <t>85/PC</t>
  </si>
  <si>
    <t>PL22188-18 304 STAINLESS ANGLE VALVE 1/2"*1/2"</t>
  </si>
  <si>
    <t>120/PC</t>
  </si>
  <si>
    <t>PL22188-19 304 STAINLESS ANGLE VALVE 1/2"*1/2"*1/2"-180°</t>
  </si>
  <si>
    <t>135/PC</t>
  </si>
  <si>
    <t>PL22188-20 304 STAINLESS ANGLE VALVE 1/2"*1/2"*1/2"-90°</t>
  </si>
  <si>
    <t>175/PC</t>
  </si>
  <si>
    <t>140/PC</t>
  </si>
  <si>
    <t>STAINLESS ANGLE VALVE MATTE BLACK 1/2"*1/2"*1/2"- 180°</t>
  </si>
  <si>
    <t>PL22188-70 STAINLESS ANGLE VALVE MATTE BLACK 1/2"*1/2"*1/2"-90°</t>
  </si>
  <si>
    <t>PL22188-13 304 STAINLESS SINK FAUCET 1/2"*38mm</t>
  </si>
  <si>
    <t>304 STAINLESS SINK FAUCET 1/2"*68mm</t>
  </si>
  <si>
    <t>163/PC</t>
  </si>
  <si>
    <t>172/PC</t>
  </si>
  <si>
    <t>203/PC</t>
  </si>
  <si>
    <t>228/PC</t>
  </si>
  <si>
    <t>serial_number</t>
  </si>
  <si>
    <t>model</t>
  </si>
  <si>
    <t>quantity</t>
  </si>
  <si>
    <t>AVT0000001</t>
  </si>
  <si>
    <t>EXTRA THICK HOSE</t>
  </si>
  <si>
    <t>PL22090-2 (LT22014-G2) GARDEN HOSE GREEN 5/8"*90M</t>
  </si>
  <si>
    <t>PL22090-3 (LT22014-G3)GARDEN HOSE GREEN 3/4"*60M</t>
  </si>
  <si>
    <t>PL22090-4 (LT22014-G4) GARDEN HOSE GREEN 1"*60M</t>
  </si>
  <si>
    <t>PL22090-5 (LT22014-R1)GARDEN HOSE RED 1/2"*90M</t>
  </si>
  <si>
    <t>PL22090-6 (LT22014-R2) GARDEN HOSE RED 5/8"*90M</t>
  </si>
  <si>
    <t>PL22090-7 (LT22014-R3)GARDEN HOSE RED 3/4"*60M</t>
  </si>
  <si>
    <t>PL22090-8 (LT22014-R4) GARDEN HOSE RED 1"*60M</t>
  </si>
  <si>
    <t>avt product name</t>
  </si>
  <si>
    <t>discount</t>
  </si>
  <si>
    <t>pc/ctn</t>
  </si>
  <si>
    <t>155/PC</t>
  </si>
  <si>
    <t>165/PC</t>
  </si>
  <si>
    <t>190/PC</t>
  </si>
  <si>
    <t>ASSTD ORDER 5 CTN -55%; ASSTD ORDER 15 CTN
-60%</t>
  </si>
  <si>
    <t>ASSTD ORDER 5 CTN -45%; ASSTD ORDER 15 CTN -45% -5%</t>
  </si>
  <si>
    <t>additional: -10% ON CASH PAYMENT</t>
  </si>
  <si>
    <t>ADDITIONAL ORDER  ASSTD 50 ROLLS - 5%</t>
  </si>
  <si>
    <t>ASSTD ORDER 30 SACKS, additional -5% 50 SACKS, additional -10% 100 SACKS, additional -10% - 5% (ASSTD ORDER OF ALL PPR FITTINGS)</t>
  </si>
  <si>
    <t>ASSTD ORDER 30 SACKS, additional -5% 50 SACKS, additional -10% 100 SACKS, additional -10% - 3%
(ASSTD ORDER OF ALL PPR PIPES) Note: PLPP204, 205, 206 get only 60% &amp; 10% discount, but can be included in assorted orders</t>
  </si>
  <si>
    <t>ASSTD ORDER 30 SACKS, additional -5% 50 SACKS, additional -10% 100 SACKS, additional -10% - 3% (ASSTD ORDER OF ALL PPR PIPES)
Note: PLPP204, 205, 206 get only 60% &amp; 10% discount, but can be included in assorted orders</t>
  </si>
  <si>
    <t>PE COMPRESSION FITTINGS - BLACK - P.E COMPRESSION SADDLE CLAMP</t>
  </si>
  <si>
    <t>PE COMPRESSION FITTINGS - BLACK - PE COMPRESSION MALE TEE W/O STAINLESS</t>
  </si>
  <si>
    <t>PE COMPRESSION FITTINGS - BLACK - PE COMPRESSION FEMALE TEE W/ STAINLESS</t>
  </si>
  <si>
    <t>PE COMPRESSION FITTINGS - BLACK - P.E COMPRESSION FEMALE ADAPTOR W/ STAINLESS</t>
  </si>
  <si>
    <t>PE COMPRESSION FITTINGS - BLACK - P.E COMPRESSION MALE ELBOW</t>
  </si>
  <si>
    <t>PE COMPRESSION FITTINGS - BLACK - P.E COMPRESSION FEMALE ELBOW W/ STAINLESS</t>
  </si>
  <si>
    <t>PE COMPRESSION FITTINGS - BLACK - P.E COMPRESSION MALE ADAPTOR W/O STAINLESS</t>
  </si>
  <si>
    <t>PE COMPRESSION FITTINGS - BLACK - P.E COMPRESSION PLUG</t>
  </si>
  <si>
    <t>PE COMPRESSION FITTINGS - BLACK - P.E COMPRESSION TEE REDUCER</t>
  </si>
  <si>
    <t>PE COMPRESSION FITTINGS - BLACK - P.E COMPRESSION COUPLING REDUCER</t>
  </si>
  <si>
    <t>PE COMPRESSION FITTINGS - BLACK - P.E COMPRESSION TEE</t>
  </si>
  <si>
    <t>PE COMPRESSION FITTINGS - BLACK - P.E COMPRESSION ELBOW</t>
  </si>
  <si>
    <t>PE COMPRESSION FITTINGS - BLACK - P.E COMPRESSION COUPLING</t>
  </si>
  <si>
    <t>PE COMPRESSION FITTINGS -BLUE - P.E COMPRESSION  FEMALE TEE</t>
  </si>
  <si>
    <t>PE COMPRESSION FITTINGS -BLUE - P.E COMPRESSION  TEE REDUCER</t>
  </si>
  <si>
    <t>PE COMPRESSION FITTINGS -BLUE - P.E COMPRESSION  TEE</t>
  </si>
  <si>
    <t>PE COMPRESSION FITTINGS -BLUE - P.E COMPRESSION FEMALE ADAPTOR</t>
  </si>
  <si>
    <t>PE COMPRESSION FITTINGS -BLUE - P.E COMPRESSION MALE ADAPTOR</t>
  </si>
  <si>
    <t>PE COMPRESSION FITTINGS -BLUE - P.E COMPRESSION END CAP</t>
  </si>
  <si>
    <t>PE COMPRESSION FITTINGS -BLUE - P.E COMPRESSION FEMALE ELBOW</t>
  </si>
  <si>
    <t>(-70% -10% -10%)</t>
  </si>
  <si>
    <t>ASSTD ORDER PE COMPRESSION - ALL BLACK 50 CTN additional: -10%</t>
  </si>
  <si>
    <t>40%&amp;5% ASSTD ORDER 20 SACK
40% &amp; 5% &amp;  5%
ASSTD ORDER 50 SACK
(ASSTD ORDER OF ALL LISTED G.NIPPLE PRODUCTS)</t>
  </si>
  <si>
    <t>PL22072-10 G.I NIPPLE (LIGHT DUTY) 1/2"x 1"</t>
  </si>
  <si>
    <t>2237.50/
ROLL</t>
  </si>
  <si>
    <t>G.I FITTINGS - G.I UNION PATENTE</t>
  </si>
  <si>
    <t>G.I FITTINGS - G.I TEE REDUCER</t>
  </si>
  <si>
    <t>G.I FITTINGS - G.I TEE</t>
  </si>
  <si>
    <t>G.I FITTINGS - G.I ST.ELBOW</t>
  </si>
  <si>
    <t>G.I FITTINGS - G.I PLUG</t>
  </si>
  <si>
    <t>G.I FITTINGS - G.I ELBOW REDUCER</t>
  </si>
  <si>
    <t>G.I FITTINGS - G.I ELBOW</t>
  </si>
  <si>
    <t>G.I FITTINGS - G.I COUPLING REDUCER</t>
  </si>
  <si>
    <t>G.I FITTINGS - G.I COUPLING</t>
  </si>
  <si>
    <t>G.I FITTINGS - G.I CAP</t>
  </si>
  <si>
    <t>G.I FITTINGS - G.I BUSHING</t>
  </si>
  <si>
    <t>STEEL TAPE MEASUREMENT - XC-97</t>
  </si>
  <si>
    <t>STEEL TAPE MEASUREMENT - G-79</t>
  </si>
  <si>
    <t>STEEL TAPE MEASUREMENT - G-74</t>
  </si>
  <si>
    <t>STEEL TAPE MEASUREMENT - XC-33</t>
  </si>
  <si>
    <t>PL66134-1 POST HOLE DIGGER 2MM</t>
  </si>
  <si>
    <t>550/PC</t>
  </si>
  <si>
    <t>ORDER 10 SACK
+ 1 FREE SACK</t>
  </si>
  <si>
    <t>145/PC ORDER 10 SACK</t>
  </si>
  <si>
    <t>87/PC ORDER 5 CTN</t>
  </si>
  <si>
    <t>92/PC ASSTD ORDER
10 CTN</t>
  </si>
  <si>
    <t>81/PC</t>
  </si>
  <si>
    <t>73/PC</t>
  </si>
  <si>
    <t>77/PC ASSTD ORDER 10 BUNDLE</t>
  </si>
  <si>
    <t>69/PC ASSTD ORDER 10 BUNDLE</t>
  </si>
  <si>
    <t>86/PC</t>
  </si>
  <si>
    <t>ORDER 20CTN
+ 1 FREE CTN</t>
  </si>
  <si>
    <t>68/PC ASSTD ORDER
5CTN</t>
  </si>
  <si>
    <t>81/PC ASSTD ORDER
5CTN</t>
  </si>
  <si>
    <t>+ 1 CTN FREE</t>
  </si>
  <si>
    <t>ASSTD ORDER 20 CTNS
+ 1 CTN FREE
ASSTD ORDER 50 CTNS
+ 3 CTN FREE
(ONLY FREE PL66191- 2)</t>
  </si>
  <si>
    <t>ASSTD ORDER 20 CTNS
+ 1 CTN FREE
ASSTD ORDER 50 CTNS
+ 3 CTN FREE
(ONLY FREE</t>
  </si>
  <si>
    <t>ASSTD ORDER 20 CTNS
+ 1 CTN FREE
(ONLY FREE      PL66192- 1)</t>
  </si>
  <si>
    <t>ASSTD ORDER M2 HSS DRILL BIT Php.30,000 FREE 1 PC K230001 LD BESTGUARD IMPACT DRILL</t>
  </si>
  <si>
    <t>ASSTD ORDER MASONRY DRILL BIT Php.30,000 FREE 1 PC K230001 LD BESTGUARD IMPACT DRILL</t>
  </si>
  <si>
    <t>18/PC ASSTD ORDER
3 CTN</t>
  </si>
  <si>
    <t>PL66070 8-12" POLONET HACKSAW FRAME W/ BLADE</t>
  </si>
  <si>
    <t>64/PC</t>
  </si>
  <si>
    <t>60/PC ASSTD ORDER
10 CTN</t>
  </si>
  <si>
    <t>PL66230 LOCK INSTALLATION KIT 2-1/8" (54MM)</t>
  </si>
  <si>
    <t>125/SET</t>
  </si>
  <si>
    <t>115/SET ASSTD ORDER 5 CTN</t>
  </si>
  <si>
    <t>PL66231 POLONET BORING BIT 35MM</t>
  </si>
  <si>
    <t>: ADDITIONAL 5%
ASSTD ORDER 10 CTN</t>
  </si>
  <si>
    <t>ORDER 5 CTN PL66081,
+ 1 CTN SILICON SEALANT FREE</t>
  </si>
  <si>
    <t>PL66380 POLONET WHEEL BARROW</t>
  </si>
  <si>
    <t>1000/SET</t>
  </si>
  <si>
    <t>ASSTD ORDER 20 SACK
+ 1 SACK FREE (FREE ONLY 5/8'')</t>
  </si>
  <si>
    <t>175/PAIR</t>
  </si>
  <si>
    <t>195/PAIR</t>
  </si>
  <si>
    <t>235/PAIR</t>
  </si>
  <si>
    <t>228/PAIR
ASSTD ORDER 50 CTN
- 220/PAIR
ASSTD ORDER 100 CTN</t>
  </si>
  <si>
    <t>55/PC ASSTD ORDER
10CTN</t>
  </si>
  <si>
    <t>SINGLE ORDER ASSTD NYLON ROPE ORANGE &amp; BLUE
Php 30,000:
FREE 1 SACK ORANGE
2.5mm
Php 50,000:
FREE 1 SACK
Orange 2.5mm AND
+ 1 SACK ORANGE
3.5mm</t>
  </si>
  <si>
    <t>PL77001-B0.5 POLONET NYLON ROPE BLUE (0.5MM)</t>
  </si>
  <si>
    <t>PL77001-B1 POLONET NYLON ROPE BLUE 1MM*200m</t>
  </si>
  <si>
    <t>PL77001-B1.5 POLONET NYLON ROPE BLUE 1.5MM*200m</t>
  </si>
  <si>
    <t>PL77001-2.5 POLONET NYLON ROPE BLUE 2.5MM*200m</t>
  </si>
  <si>
    <t>PL66370-29 POLONET NYLON ROPE BLUE 3MM*200m</t>
  </si>
  <si>
    <t>PL77001-B3.5 POLONET NYLON ROPE BLUE 3.5MM*200m</t>
  </si>
  <si>
    <t>PL77001-B4.5 POLONET NYLON ROPE BLUE 4.5MM*200m</t>
  </si>
  <si>
    <t>202/PACK</t>
  </si>
  <si>
    <t>195/PACK ASSTD ORDER 20 SACK</t>
  </si>
  <si>
    <t>ORDER   20 CTN,
+ 2 CTN FREE</t>
  </si>
  <si>
    <t>or: ASSTD ORDER
5 CTN
+ 1 FREE BG WELDING MACHINE K21EP001</t>
  </si>
  <si>
    <t>STAINLESS PIANO HINGES  W/ SCREW</t>
  </si>
  <si>
    <t>148/PC</t>
  </si>
  <si>
    <t>83/PC ASSTD ORDER
5 CTN</t>
  </si>
  <si>
    <t>PL88261-7 CUP HOOK W/PVC COATED 1- 1/12''</t>
  </si>
  <si>
    <t>PL88261-5 CUP HOOK W/PVC COATED 1 ''</t>
  </si>
  <si>
    <t>195/PC</t>
  </si>
  <si>
    <t>100/PC ORDER 5 CTN</t>
  </si>
  <si>
    <t>ASSTD ORDER 5 CTN
+ 2 FREE CTN</t>
  </si>
  <si>
    <t xml:space="preserve">BAG-PLATED RED COPPER CABINET DRAWER HANDLES </t>
  </si>
  <si>
    <t>BAG-PLATED BRONZE CABINET DRAWER HANDLES</t>
  </si>
  <si>
    <t>PL22220-1 1/2" BRASS CORE BALL VALVE</t>
  </si>
  <si>
    <t>230/PC</t>
  </si>
  <si>
    <t>PL22220-2 3/4" BRASS CORE BALL VALVE</t>
  </si>
  <si>
    <t>PL22220-3 1" BRASS CORE BALL VALVE</t>
  </si>
  <si>
    <t>565/PC</t>
  </si>
  <si>
    <t>PL22220-4 1-1/4" BRASS CORE BALL VALVE</t>
  </si>
  <si>
    <t>870/PC</t>
  </si>
  <si>
    <t>PL22220-5 1-1/2" BRASS CORE BALL VALVE</t>
  </si>
  <si>
    <t>1270/PC</t>
  </si>
  <si>
    <t>PL22220-6 2" BRASS CORE BALL VALVE</t>
  </si>
  <si>
    <t>1885/PC</t>
  </si>
  <si>
    <t>PL22221-1 BRASS GATE VALVE 1/2"</t>
  </si>
  <si>
    <t>325/PC</t>
  </si>
  <si>
    <t>PL22221-2 BRASS GATE VALVE 3/4"</t>
  </si>
  <si>
    <t>450/PC</t>
  </si>
  <si>
    <t>PL22221-3 BRASS GATE VALVE 1"</t>
  </si>
  <si>
    <t>645/PC</t>
  </si>
  <si>
    <t>PL22221-4 BRASS GATE VALVE 1-1/4"</t>
  </si>
  <si>
    <t>1065/PC</t>
  </si>
  <si>
    <t>PL22221-5 BRASS GATE VALVE 1-1/2"</t>
  </si>
  <si>
    <t>1480/PC</t>
  </si>
  <si>
    <t>PL22221-6 BRASS GATE VALVE 2"</t>
  </si>
  <si>
    <t>2100/PC</t>
  </si>
  <si>
    <t>PL22223-01 1/2" BRASS VERTICAL CHECK VALVE</t>
  </si>
  <si>
    <t>53/PC</t>
  </si>
  <si>
    <t>PL22223-02 3/4" BRASS VERTICAL CHECK VALVE</t>
  </si>
  <si>
    <t>77/PC</t>
  </si>
  <si>
    <t>PL22223-03 1" BRASS VERTICAL CHECK VALVE</t>
  </si>
  <si>
    <t>101/PC</t>
  </si>
  <si>
    <t>PL22223-04 1-1/4" BRASS VERTICAL CHECK VALVE</t>
  </si>
  <si>
    <t>PL22223-05 1-1/2" BRASS VERTICAL CHECK VALVE</t>
  </si>
  <si>
    <t>341/PC</t>
  </si>
  <si>
    <t>PL22223-06 2" BRASS VERTICAL CHECK VALVE</t>
  </si>
  <si>
    <t>521/PC</t>
  </si>
  <si>
    <t>PL22223-07 1/2" BRASS FOOT VALVE</t>
  </si>
  <si>
    <t>63/PC</t>
  </si>
  <si>
    <t>PL22223-08 3/4" BRASS FOOT VALVE</t>
  </si>
  <si>
    <t>PL22223-09 1" BRASS FOOT VALVE</t>
  </si>
  <si>
    <t>111/PC</t>
  </si>
  <si>
    <t>PL22223-10 1-1/4" BRASS FOOT VALVE</t>
  </si>
  <si>
    <t>183/PC</t>
  </si>
  <si>
    <t>PL22223-11 1-1/2" BRASS FOOT VALVE</t>
  </si>
  <si>
    <t>294/PC</t>
  </si>
  <si>
    <t>PL22223-12 2" BRASS FOOT VALVE</t>
  </si>
  <si>
    <t>459/PC</t>
  </si>
  <si>
    <t>PL22225-1 BRASS SWING CHECK VALVE 1/2"</t>
  </si>
  <si>
    <t>PL22225-2 BRASS SWING CHECK VALVE 3/4"</t>
  </si>
  <si>
    <t>PL22225-3 BRASS SWING CHECK VALVE 1"</t>
  </si>
  <si>
    <t>265/PC</t>
  </si>
  <si>
    <t>5.9/PC</t>
  </si>
  <si>
    <t>PL220800-01 3/4 PVC ELBOW</t>
  </si>
  <si>
    <t>9/PC</t>
  </si>
  <si>
    <t>13.6/PC</t>
  </si>
  <si>
    <t>21.2/PC</t>
  </si>
  <si>
    <t>PL220800-04 1-1/2" PVC ELBOW</t>
  </si>
  <si>
    <t>33/PC</t>
  </si>
  <si>
    <t>50.2/PC</t>
  </si>
  <si>
    <t>PL220801-00 3/4*1/2 PVC ELBOW REDUCER</t>
  </si>
  <si>
    <t>12/PC</t>
  </si>
  <si>
    <t>PL220801-01 1*1/2 PVC ELBOW REDUCER</t>
  </si>
  <si>
    <t>18/PC</t>
  </si>
  <si>
    <t>PL220801-02 1*3/4 PVC ELBOW REDUCER</t>
  </si>
  <si>
    <t>20/PC</t>
  </si>
  <si>
    <t>PL220802-01 (LTSN007-8) 3/4 PVC TEE</t>
  </si>
  <si>
    <t>12.5/PC</t>
  </si>
  <si>
    <t>22.5/PC</t>
  </si>
  <si>
    <t>PL220802-03 1-1/4" PVC TEE</t>
  </si>
  <si>
    <t>32.5/PC</t>
  </si>
  <si>
    <t>PL220802-04 1-1/2" PVC TEE</t>
  </si>
  <si>
    <t>47.5/PC</t>
  </si>
  <si>
    <t>PL220802-05 2" PVC TEE</t>
  </si>
  <si>
    <t>82.5/PC</t>
  </si>
  <si>
    <t>PL220803-00 (LTSN007-8) 3/4x1/2 PVC TEE REDUCER</t>
  </si>
  <si>
    <t>17/PC</t>
  </si>
  <si>
    <t>PL220803-01 1x1/2 PVC TEE REDUCER</t>
  </si>
  <si>
    <t>25.9/PC</t>
  </si>
  <si>
    <t>4/PC</t>
  </si>
  <si>
    <t>PL220804-01 3/4 PVC COUPLING</t>
  </si>
  <si>
    <t>6/PC</t>
  </si>
  <si>
    <t>PL220804-02 1" PVC COUPLING</t>
  </si>
  <si>
    <t>8/PC</t>
  </si>
  <si>
    <t>PL220804-03 1-1/4" PVC COUPLING</t>
  </si>
  <si>
    <t>PL220804-04 1-1/2" PVC COUPLING</t>
  </si>
  <si>
    <t>PL220804-05 2" PVC COUPLING</t>
  </si>
  <si>
    <t>30/PC</t>
  </si>
  <si>
    <t>7.1/PC</t>
  </si>
  <si>
    <t>10.6/PC</t>
  </si>
  <si>
    <t>PL220805-02 1*3/4 PVC COUPLING REDUCER</t>
  </si>
  <si>
    <t>11.5/PC</t>
  </si>
  <si>
    <t>PL220806-01 3/4 PVC FEMALE ADAPTER</t>
  </si>
  <si>
    <t>8.2/PC</t>
  </si>
  <si>
    <t>13/PC</t>
  </si>
  <si>
    <t>18.8/PC</t>
  </si>
  <si>
    <t>PL220806-04 1-1/2" PVC FEMALE ADAPTER</t>
  </si>
  <si>
    <t>27/PC</t>
  </si>
  <si>
    <t>PL220806-05 2" PVC FEMALE ADAPTER</t>
  </si>
  <si>
    <t>48.7/PC</t>
  </si>
  <si>
    <t>PL220807-00 (LTSN007-22) 1/2 PVC MALE ADAPTER</t>
  </si>
  <si>
    <t>PL220807-01 (LTSN007-23) 3/4 PVC MALE ADAPTER</t>
  </si>
  <si>
    <t>PL220807-03 1-1/4" PVC MALE ADAPTER</t>
  </si>
  <si>
    <t>PL220807-04 1-1/2" PVC MALE ADAPTER</t>
  </si>
  <si>
    <t>PL220807--05 2" PVC MALE ADAPTER</t>
  </si>
  <si>
    <t>PL220808-00 1/2 PVC FEMALE THREAD ELBOW</t>
  </si>
  <si>
    <t>9.6/PC</t>
  </si>
  <si>
    <t>PL220808-01 3/4 PVC FEMALE THREAD ELBOW</t>
  </si>
  <si>
    <t>11.8/PC</t>
  </si>
  <si>
    <t>15.3/PC</t>
  </si>
  <si>
    <t>PL220809-00 1/2 PVC FEMALE THREAD TEE</t>
  </si>
  <si>
    <t>9.9/PC</t>
  </si>
  <si>
    <t>PL220809-01 3/4 PVC FEMALE THREAD TEE</t>
  </si>
  <si>
    <t>14.1/PC</t>
  </si>
  <si>
    <t>PL220809-02 (LTSN007-30) 1" PVC FEMALE THREAD TEE</t>
  </si>
  <si>
    <t>25/PC</t>
  </si>
  <si>
    <t>PL220810-01 (LTSN007-32) 3/4 PVC PLUG</t>
  </si>
  <si>
    <t>8.5/PC</t>
  </si>
  <si>
    <t>PL220810-02 (LTSN007-33) 1" PVC PLUG</t>
  </si>
  <si>
    <t>15/PC</t>
  </si>
  <si>
    <t>5/PC</t>
  </si>
  <si>
    <t>7.5/PC</t>
  </si>
  <si>
    <t>PL220811-02 (LTSN007-36) 1" PVC END CAP</t>
  </si>
  <si>
    <t>11/PC</t>
  </si>
  <si>
    <t>PL220811-03 1-1/4" PVC END CAP</t>
  </si>
  <si>
    <t>13.5/PC</t>
  </si>
  <si>
    <t>PL220811-04 1-1/2" PVC END CAP</t>
  </si>
  <si>
    <t>16/PC</t>
  </si>
  <si>
    <t>PL220811-05 2" PVC END CAP</t>
  </si>
  <si>
    <t>58/PC</t>
  </si>
  <si>
    <t>PL220812-03 1-1/4" PVC UNION PATENTE</t>
  </si>
  <si>
    <t>100/PC</t>
  </si>
  <si>
    <t>PL220812-04 1-1/2" PVC UNION PATENTE</t>
  </si>
  <si>
    <t>PL220812-05 2" PVC UNION PATENTE</t>
  </si>
  <si>
    <t>PLPP201 PPR PIPE PN20 20×2.8 (1/2)</t>
  </si>
  <si>
    <t>179/PC</t>
  </si>
  <si>
    <t>PLPP202 PPR PIPE PN20 25×3.5 (3/4)</t>
  </si>
  <si>
    <t>268/PC</t>
  </si>
  <si>
    <t>PLPP203 PPR PIPE PN20 32×4.4 (1")</t>
  </si>
  <si>
    <t>PLPP204 PPR PIPE PN20 40×5.5 (1"1/4)</t>
  </si>
  <si>
    <t>660/PC</t>
  </si>
  <si>
    <t>PLPP205 PPR PIPE PN20 50×6.9 (1"1/2)</t>
  </si>
  <si>
    <t>1036/PC</t>
  </si>
  <si>
    <t>PLPP206 PPR PIPE PN20 63×8.6 (2")</t>
  </si>
  <si>
    <t>1635/PC</t>
  </si>
  <si>
    <t>PLPP301PPR PIPE PN 25 20×3.4 (1/2)</t>
  </si>
  <si>
    <t>PLPP302 PPR PIPE PN 25 25×4.2 (3/4)</t>
  </si>
  <si>
    <t>313/PC</t>
  </si>
  <si>
    <t>PLPP303 PPR PIPE PN 25 32×5.4 (1")</t>
  </si>
  <si>
    <t>537/PC</t>
  </si>
  <si>
    <t>PLPP401 PPR PIPES PN20 20*2.8 (30M)</t>
  </si>
  <si>
    <t>1360/ ROLL</t>
  </si>
  <si>
    <t>PLPP402 PPR PIPES PN20 20*2.8 (50M)</t>
  </si>
  <si>
    <t>PLPP403 PPR PIPES PN20 20*2.8 (100M)</t>
  </si>
  <si>
    <t>4475 /ROLL</t>
  </si>
  <si>
    <t>PLPP404 PPR PIPES PN20 25*3.5 (30M)</t>
  </si>
  <si>
    <t>1980 /ROLL</t>
  </si>
  <si>
    <t>PLPP405 PPR PIPES PN20 25*3.5 (50M)</t>
  </si>
  <si>
    <t>3350 /ROLL</t>
  </si>
  <si>
    <t>PLPP406 PPR PIPES PN20 25*3.5 (100M)</t>
  </si>
  <si>
    <t>6700/ ROLL</t>
  </si>
  <si>
    <t>51.5/PC</t>
  </si>
  <si>
    <t>75.25/PC</t>
  </si>
  <si>
    <t>67.25/PC</t>
  </si>
  <si>
    <t>78.5/PC</t>
  </si>
  <si>
    <t>76.25/PC</t>
  </si>
  <si>
    <t>PLC006 FEMALE THREAD SOCKET 1"X 1-1/2</t>
  </si>
  <si>
    <t>128/PC</t>
  </si>
  <si>
    <t>PLC008 FEMALE THREAD SOCKET S32 x 1"</t>
  </si>
  <si>
    <t>274/PC</t>
  </si>
  <si>
    <t>69.5/PC</t>
  </si>
  <si>
    <t>PLC102 MALE THREAD SOCKET 1/2 X 3/4</t>
  </si>
  <si>
    <t>PLC104 MALE THREAD SOCKET 3/4 X 3/4</t>
  </si>
  <si>
    <t>96.25/PC</t>
  </si>
  <si>
    <t>143/PC</t>
  </si>
  <si>
    <t>252/PC</t>
  </si>
  <si>
    <t>PLC201 COUPLING 1/2</t>
  </si>
  <si>
    <t>5.5/PC</t>
  </si>
  <si>
    <t>PLC202 COUPLING 3/4</t>
  </si>
  <si>
    <t>6.75/PC</t>
  </si>
  <si>
    <t>10.75/PC</t>
  </si>
  <si>
    <t>20.25/PC</t>
  </si>
  <si>
    <t>34.35/PC</t>
  </si>
  <si>
    <t>56/PC</t>
  </si>
  <si>
    <t>PLC301 COUPLING REDUCER 3/4 X 1/2</t>
  </si>
  <si>
    <t>6.5/PC</t>
  </si>
  <si>
    <t>9.75/PC</t>
  </si>
  <si>
    <t>PLD001 END CAP 1/2</t>
  </si>
  <si>
    <t>4.25/PC</t>
  </si>
  <si>
    <t>PLD002 END CAP 3/4</t>
  </si>
  <si>
    <t>5.50/PC</t>
  </si>
  <si>
    <t>PLD003 END CAP 1"</t>
  </si>
  <si>
    <t>PLD101 PIPE PLUG 1/2</t>
  </si>
  <si>
    <t>3/PC</t>
  </si>
  <si>
    <t>PLD102 PIPE PLUG 3/4</t>
  </si>
  <si>
    <t>PLD103 PIPE PLUG 1"</t>
  </si>
  <si>
    <t>6.50/PC</t>
  </si>
  <si>
    <t>54.75/PC</t>
  </si>
  <si>
    <t>PLL002 FEMALE THREAD ELBOW 1/2 X 3/4</t>
  </si>
  <si>
    <t>69.50/PC</t>
  </si>
  <si>
    <t>71.50/PC</t>
  </si>
  <si>
    <t>84/PC</t>
  </si>
  <si>
    <t>PLL005 FEMALE THREAD ELBOW 1" X 1/2</t>
  </si>
  <si>
    <t>89.50/PC</t>
  </si>
  <si>
    <t>PLL007 FEMALE THREAD ELBOW 1"</t>
  </si>
  <si>
    <t>196/PC</t>
  </si>
  <si>
    <t>PLL101 MALE THEAD ELBOW 1/2 X 1/2</t>
  </si>
  <si>
    <t>70.50/PC</t>
  </si>
  <si>
    <t>PLL102 MALE THREAD ELBOW 1/2 X 3/4</t>
  </si>
  <si>
    <t>95.25/PC</t>
  </si>
  <si>
    <t>PLL103 MALE THREAD ELBOW 3/4 X 1/2</t>
  </si>
  <si>
    <t>81.75/PC</t>
  </si>
  <si>
    <t>PLL104 MALE THREAD ELBOW 3/4 X 3/4</t>
  </si>
  <si>
    <t>104/PC</t>
  </si>
  <si>
    <t>PLL105 MALE THREAD ELBOW 1" X 1/2</t>
  </si>
  <si>
    <t>PLL106 MALE THREAD ELBOW 1" X 3/4</t>
  </si>
  <si>
    <t>PLL107 MALE THREAD ELBOW 1"</t>
  </si>
  <si>
    <t>246/PC</t>
  </si>
  <si>
    <t>PLL401 POLOLOCK PPR ELBOW 90° 1/2</t>
  </si>
  <si>
    <t>7.25/PC</t>
  </si>
  <si>
    <t>PLL402 POLOLOCK PPR ELBOW 90° 3/4</t>
  </si>
  <si>
    <t>11.25/PC</t>
  </si>
  <si>
    <t>PLL403 PPR ELBOW 90° 1"</t>
  </si>
  <si>
    <t>20.75/PC</t>
  </si>
  <si>
    <t>PLL404 POLOLOCK PPR ELBOW 90° 1"1/4</t>
  </si>
  <si>
    <t>PLL405 POLOLOCK PPR ELBOW 90° 1"1/2</t>
  </si>
  <si>
    <t>61.50/PC</t>
  </si>
  <si>
    <t>PLL406 POLOLOCK PPR ELBOW 90° 2"</t>
  </si>
  <si>
    <t>116/PC</t>
  </si>
  <si>
    <t>12.25/PC</t>
  </si>
  <si>
    <t>15.75/PC</t>
  </si>
  <si>
    <t>PLP101 PIPE CLIP 1/2</t>
  </si>
  <si>
    <t>3.75/PC</t>
  </si>
  <si>
    <t>PLP102 PIPE CLIP 3/4</t>
  </si>
  <si>
    <t>PLP103 PIPE CLIP 1"</t>
  </si>
  <si>
    <t>PLS001 STOP VALVE 1/2</t>
  </si>
  <si>
    <t>229/PC</t>
  </si>
  <si>
    <t>PLS002 STOP VALVE 3/4</t>
  </si>
  <si>
    <t>308/PC</t>
  </si>
  <si>
    <t>532/PC</t>
  </si>
  <si>
    <t>PLS004 STOP VALVE 1" 1/4</t>
  </si>
  <si>
    <t>599/PC</t>
  </si>
  <si>
    <t>PLS005 STOP VALVE 1"1/2</t>
  </si>
  <si>
    <t>884/PC</t>
  </si>
  <si>
    <t>PLS006 STOP VALVE 2"</t>
  </si>
  <si>
    <t>1344/PC</t>
  </si>
  <si>
    <t>59.50/PC</t>
  </si>
  <si>
    <t>82.25/PC</t>
  </si>
  <si>
    <t>PLT005 FEMALE THREAD TEE 1" X 1/2</t>
  </si>
  <si>
    <t>PLT006 FEMALE THREAD TEE 1" X 3/4</t>
  </si>
  <si>
    <t>PLT007 FEMALE THREAD TEE 1" X 1"</t>
  </si>
  <si>
    <t>207/PC</t>
  </si>
  <si>
    <t>PLT102 MALE THREAD TEE 1/2 X 3/4</t>
  </si>
  <si>
    <t>98.50/PC</t>
  </si>
  <si>
    <t>105/PC</t>
  </si>
  <si>
    <t>PLT105 MALE THREAD TEE 1" X 1/2</t>
  </si>
  <si>
    <t>PLT107 MALE THREAD TEE 1"</t>
  </si>
  <si>
    <t>PLT201 EQUAL TEE 1/2</t>
  </si>
  <si>
    <t>PLT202 EQUAL TEE 3/4</t>
  </si>
  <si>
    <t>PLT203 EQUAL TEE 1"</t>
  </si>
  <si>
    <t>24.25/PC</t>
  </si>
  <si>
    <t>PLT204 EQUAL TEE 1" 1/4</t>
  </si>
  <si>
    <t>43.25/PC</t>
  </si>
  <si>
    <t>PLT205 EQUAL TEE 1"1/2</t>
  </si>
  <si>
    <t>73.50/PC</t>
  </si>
  <si>
    <t>PLT206 EQUAL TEE 2"</t>
  </si>
  <si>
    <t>123/PC</t>
  </si>
  <si>
    <t>PLT301 TEE REDUCER 3/4 X 1/2</t>
  </si>
  <si>
    <t>PLT302 TEE REDUCER 1 X 1/2</t>
  </si>
  <si>
    <t>17.50/PC</t>
  </si>
  <si>
    <t>PLT303 TEE REDUCER 1"X 3/4</t>
  </si>
  <si>
    <t>19.50/PC</t>
  </si>
  <si>
    <t>222/PC</t>
  </si>
  <si>
    <t>311/PC</t>
  </si>
  <si>
    <t>PLU003 FEMALE THREAD UNION 1" X 1"</t>
  </si>
  <si>
    <t>436/PC</t>
  </si>
  <si>
    <t>PLU007 FEMALE THREAD UNION 1/2 X 3/4</t>
  </si>
  <si>
    <t>PLU301 PLASTIC UNION PATENTE 1/2</t>
  </si>
  <si>
    <t>18.75/PC</t>
  </si>
  <si>
    <t>PLU302 PLASTIC UNION PATENTE 3/4</t>
  </si>
  <si>
    <t>26.50/PC</t>
  </si>
  <si>
    <t>PLU303 PLASTIC UNION PATENTE 1"</t>
  </si>
  <si>
    <t>38.50/PC</t>
  </si>
  <si>
    <t>PLV101 PLASTIC BALL VALVE 1/2</t>
  </si>
  <si>
    <t>PLV102 PLASTIC BALL VALVE 3/4</t>
  </si>
  <si>
    <t>PLV103 PLASTIC BALL VALVE 1"</t>
  </si>
  <si>
    <t>98/PC</t>
  </si>
  <si>
    <t>PLV104 PLASTIC BALL VALVE 1"1/4</t>
  </si>
  <si>
    <t>PLV105 PLASTIC BALL VALVE1"1/2</t>
  </si>
  <si>
    <t>PLV106 PLASTIC BALL VALVE 2"</t>
  </si>
  <si>
    <t>408/PC</t>
  </si>
  <si>
    <t>PLV201 BRASS BALL VALVE 1/2</t>
  </si>
  <si>
    <t>96/PC</t>
  </si>
  <si>
    <t>PLV202 BRASS BALL VALVE 3/4</t>
  </si>
  <si>
    <t>136/PC</t>
  </si>
  <si>
    <t>PLV203 BRASS BALL VALVE1"</t>
  </si>
  <si>
    <t>226/PC</t>
  </si>
  <si>
    <t>11.20/PC</t>
  </si>
  <si>
    <t>15.80/PC</t>
  </si>
  <si>
    <t>46/PC</t>
  </si>
  <si>
    <t>PL22001-3 (B4473) PHILWATER PVC BALL VALVE THREADED 1"</t>
  </si>
  <si>
    <t>PL101002 -POLOLOCK PE COUPLER 1/2</t>
  </si>
  <si>
    <t>PL101003- POLOLOCK PE COUPLER 3/4</t>
  </si>
  <si>
    <t>23.50/PC</t>
  </si>
  <si>
    <t>PL101004-POLOLOCK PE COUPLER 1</t>
  </si>
  <si>
    <t>34/PC</t>
  </si>
  <si>
    <t>PL102003-POLOLOCK PE REDUCING COUPLER 3/4X1/2</t>
  </si>
  <si>
    <t>23/PC</t>
  </si>
  <si>
    <t>PL102004-POLOLOCK PE REDUCING COUPLER 1X1/2</t>
  </si>
  <si>
    <t>PL102005-POLOLOCK PE REDUCING COUPLER 1X3/4</t>
  </si>
  <si>
    <t>32/PC</t>
  </si>
  <si>
    <t>PL103002-POLOLOCK PE ELBOW 1/2</t>
  </si>
  <si>
    <t>21/PC</t>
  </si>
  <si>
    <t>PL103003-POLOLOCK PE ELBOW 3/4</t>
  </si>
  <si>
    <t>PL103004-POLOLOCK PE ELBOW 1</t>
  </si>
  <si>
    <t>40/PC</t>
  </si>
  <si>
    <t>PL104002-POLOLOCK PE MALE ELBOW 1/2X1/2</t>
  </si>
  <si>
    <t>PL104004-POLOLOCK PE MALE ELBOW 3/4X1/2</t>
  </si>
  <si>
    <t>18.50/PC</t>
  </si>
  <si>
    <t>PL104005-POLOLOCK PE MALE ELBOW 3/4X3/4</t>
  </si>
  <si>
    <t>PL105002-POLOLOCK PE FEMALE ELBOW 1/2</t>
  </si>
  <si>
    <t>PL105005-POLOLOCK PE FEMALE ELBOW 3/4</t>
  </si>
  <si>
    <t>PL105008-POLOLOCK PE FEMALE ELBOW 1X1"</t>
  </si>
  <si>
    <t>41/PC</t>
  </si>
  <si>
    <t>PL106002-POLOLOCK END CAP 1/2"</t>
  </si>
  <si>
    <t>PL106003-POLOLOCK END CAP 3/4"</t>
  </si>
  <si>
    <t>PL106004-POLOLOCK END CAP 1"</t>
  </si>
  <si>
    <t>PL107003-POLOLOCK PE MALE ADAPTOR 1/2X1/2</t>
  </si>
  <si>
    <t>PL107005-POLOLOCK PE MALE ADAPTOR 3/4X1/2</t>
  </si>
  <si>
    <t>15.50/PC</t>
  </si>
  <si>
    <t>PL107006-POLOLOCK PE MALE ADAPTOR 3/4X3/4</t>
  </si>
  <si>
    <t>PL107009-POLOLOCK PE MALE ADAPTOR 1X1</t>
  </si>
  <si>
    <t>24/PC</t>
  </si>
  <si>
    <t>PL108003- POLOLOCK PE FEMALE ADAPTOR 1/2X1/2</t>
  </si>
  <si>
    <t>PL108006-POLOLOCK PE FEMALE ADAPTOR 3/4X3/4</t>
  </si>
  <si>
    <t>24.50/PC</t>
  </si>
  <si>
    <t>PL108009-POLOLOCK PE FEMALE ADAPTOR 1X1</t>
  </si>
  <si>
    <t>PL109002- POLOLOCK PE TEE 1/2</t>
  </si>
  <si>
    <t>PL109003- POLOLOCK PE TEE 3/4</t>
  </si>
  <si>
    <t>34.5/PC</t>
  </si>
  <si>
    <t>PL109004-POLOLOCK PE TEE 1"</t>
  </si>
  <si>
    <t>PL1010001 POLOLOCK PE REDUCING TEE 3/4X1/2</t>
  </si>
  <si>
    <t>34.50/PC</t>
  </si>
  <si>
    <t>PL1010002 POLOLOCK PE REDUCING TEE 1X3/4</t>
  </si>
  <si>
    <t>PL101103- POLOLOCK PE FEMALE TEE 1/2X1/2</t>
  </si>
  <si>
    <t>29.5/PC</t>
  </si>
  <si>
    <t>PL101105- POLOLOCK PE FEMALE TEE 3/4X1/2</t>
  </si>
  <si>
    <t>PL1011006-POLOLOCK PE FEMALE TEE 3/4X3/4</t>
  </si>
  <si>
    <t>PL1011009-POLOLOCK PE FEMALE TEE 1X1</t>
  </si>
  <si>
    <t>PL222301-01 1/2" (Φ20) PE COMPRESSION COUPLING ALL BLACK</t>
  </si>
  <si>
    <t>72/PC</t>
  </si>
  <si>
    <t>PL222301-02 3/4" (Φ25) PE COMPRESSION COUPLING ALL BLACK</t>
  </si>
  <si>
    <t>PL222301-03 1" (Φ32) PE COMPRESSION COUPLING ALL BLACK</t>
  </si>
  <si>
    <t>102/PC</t>
  </si>
  <si>
    <t>PL222301-04 1-1/4" (Φ40) PE COMPRESSION COUPLING ALL BLACK</t>
  </si>
  <si>
    <t>244/PC</t>
  </si>
  <si>
    <t>PL222301-05 1-1/2" (Φ50) PE COMPRESSION COUPLING ALL BLACK</t>
  </si>
  <si>
    <t>292/PC</t>
  </si>
  <si>
    <t>PL222301-06 2" (Φ63) PE COMPRESSION COUPLING ALL BLACK</t>
  </si>
  <si>
    <t>410/PC</t>
  </si>
  <si>
    <t>PL222301-07 3" (Φ90) PE COMPRESSION COUPLING ALL BLACK</t>
  </si>
  <si>
    <t>2000/PC</t>
  </si>
  <si>
    <t>PL222302-01 1/2" (Φ20) PE COMPRESSION ELBOW ALL BLACK</t>
  </si>
  <si>
    <t>PL222302-02 3/4" (Φ25) PE COMPRESSION ELBOW ALL BLACK</t>
  </si>
  <si>
    <t>PL222302-03 1" (Φ32) PE COMPRESSION ELBOW ALL BLACK</t>
  </si>
  <si>
    <t>124/PC</t>
  </si>
  <si>
    <t>PL222302-04 1-1/4" (Φ40) PE COMPRESSION ELBOW ALL BLACK</t>
  </si>
  <si>
    <t>400/PC</t>
  </si>
  <si>
    <t>PL222302-05 1-1/2" (Φ50) PE COMPRESSION ELBOW ALL BLACK</t>
  </si>
  <si>
    <t>440/PC</t>
  </si>
  <si>
    <t>PL222302-06 2" (Φ63) PE COMPRESSION ELBOW ALL BLACK</t>
  </si>
  <si>
    <t>616/PC</t>
  </si>
  <si>
    <t>PL222302-07 3" (Φ90) PE COMPRESSION ELBOW ALL BLACK</t>
  </si>
  <si>
    <t>2800/PC</t>
  </si>
  <si>
    <t>PL222303-01 1/2" (Φ20) PE COMPRESSION TEE ALL BLACK</t>
  </si>
  <si>
    <t>92/PC</t>
  </si>
  <si>
    <t>PL222303-02 3/4" (Φ25) PE COMPRESSION TEE ALL BLACK</t>
  </si>
  <si>
    <t>132/PC</t>
  </si>
  <si>
    <t>PL222303-03 1" (Φ32) PE COMPRESSION TEE ALL BLACK</t>
  </si>
  <si>
    <t>PL222303-04 1-1/4" (Φ40) PE COMPRESSION TEE ALL BLACK</t>
  </si>
  <si>
    <t>PL222303-05 1-1/2" (Φ50) PE COMPRESSION TEE ALL BLACK</t>
  </si>
  <si>
    <t>478/PC</t>
  </si>
  <si>
    <t>PL222303-06 2" (Φ63) PE COMPRESSION TEE ALL BLACK</t>
  </si>
  <si>
    <t>800/PC</t>
  </si>
  <si>
    <t>142/PC</t>
  </si>
  <si>
    <t>44/PC</t>
  </si>
  <si>
    <t>164/PC</t>
  </si>
  <si>
    <t>186/PC</t>
  </si>
  <si>
    <t>248/PC</t>
  </si>
  <si>
    <t>1600/PC</t>
  </si>
  <si>
    <t>88/PC</t>
  </si>
  <si>
    <t>94/PC</t>
  </si>
  <si>
    <t>117/PC</t>
  </si>
  <si>
    <t>1.65/PC</t>
  </si>
  <si>
    <t>PL55090-01 G.I HOSE CLAMP 5/8"</t>
  </si>
  <si>
    <t>PL55090-02 G.I HOSE CLAMP 3/4"</t>
  </si>
  <si>
    <t>PL55090-03 G.I HOSE CLAMP 1"</t>
  </si>
  <si>
    <t>1.8/PC</t>
  </si>
  <si>
    <t>PL55090-04 G.I HOSE CLAMP 1-1/4"</t>
  </si>
  <si>
    <t>PL55090-05 G.I HOSE CLAMP 1-1/2"</t>
  </si>
  <si>
    <t>4.5/PC</t>
  </si>
  <si>
    <t>PL55090-06 G.I HOSE CLAMP 2"</t>
  </si>
  <si>
    <t>4.95/PC</t>
  </si>
  <si>
    <t>PL55090-07 G.I HOSE CLAMP 2-1/2"</t>
  </si>
  <si>
    <t>5.4/PC</t>
  </si>
  <si>
    <t>PL55090-08 G.I HOSE CLAMP 3"</t>
  </si>
  <si>
    <t>5.85/PC</t>
  </si>
  <si>
    <t>PL55090-09 G.I HOSE CLAMP 4"</t>
  </si>
  <si>
    <t>8.10/PC</t>
  </si>
  <si>
    <t>13.60/PC</t>
  </si>
  <si>
    <t>PL22070-01 G.I NIPPLE 1/4"x3"</t>
  </si>
  <si>
    <t>16.80/PC</t>
  </si>
  <si>
    <t>6.80/PC</t>
  </si>
  <si>
    <t>PL22070-06 G.I NIPPLE 1/2"x 2"</t>
  </si>
  <si>
    <t>8.40/PC</t>
  </si>
  <si>
    <t>10.60/PC</t>
  </si>
  <si>
    <t>12.60/PC</t>
  </si>
  <si>
    <t>17.40/PC</t>
  </si>
  <si>
    <t>19.60/PC</t>
  </si>
  <si>
    <t>22.20/PC</t>
  </si>
  <si>
    <t>30.80/PC</t>
  </si>
  <si>
    <t>35.20/PC</t>
  </si>
  <si>
    <t>9.80/PC</t>
  </si>
  <si>
    <t>12.40/PC</t>
  </si>
  <si>
    <t>21.20/PC</t>
  </si>
  <si>
    <t>26.80/PC</t>
  </si>
  <si>
    <t>PL22070-24 G.I NIPPLE 3/4"x 8"</t>
  </si>
  <si>
    <t>32.20/PC</t>
  </si>
  <si>
    <t>38.60/PC</t>
  </si>
  <si>
    <t>17.60/PC</t>
  </si>
  <si>
    <t>29.8/PC</t>
  </si>
  <si>
    <t>44.40/PC</t>
  </si>
  <si>
    <t>51.40/PC</t>
  </si>
  <si>
    <t>58.20/PC</t>
  </si>
  <si>
    <t>PL22070-37 G.I NIPPLE 1"x 10"</t>
  </si>
  <si>
    <t>28.20/PC</t>
  </si>
  <si>
    <t>PL22070-41 G.I NIPPLE 1-1/4"*4"</t>
  </si>
  <si>
    <t>39/PC</t>
  </si>
  <si>
    <t>59.40/PC</t>
  </si>
  <si>
    <t>73.40/PC</t>
  </si>
  <si>
    <t>82.40/PC</t>
  </si>
  <si>
    <t>88.80/PC</t>
  </si>
  <si>
    <t>104.40/PC</t>
  </si>
  <si>
    <t>28.40/PC</t>
  </si>
  <si>
    <t>PL22070-51 G.I NIPPLE 1-1/2"*4"</t>
  </si>
  <si>
    <t>57.40/PC</t>
  </si>
  <si>
    <t>PL22070-53 G.I NIPPLE 1-1/2"*6"</t>
  </si>
  <si>
    <t>67.80/PC</t>
  </si>
  <si>
    <t>107.80/PC</t>
  </si>
  <si>
    <t>PL22070-58 G.I NIPPLE 1-1/2"x 12"</t>
  </si>
  <si>
    <t>126.40/PC</t>
  </si>
  <si>
    <t>PL22070-60 G.I NIPPLE 2"x 3"</t>
  </si>
  <si>
    <t>40.80/PC</t>
  </si>
  <si>
    <t>PL22070-62 G.I NIPPLE 2"x 5"</t>
  </si>
  <si>
    <t>67.20/PC</t>
  </si>
  <si>
    <t>109.60/PC</t>
  </si>
  <si>
    <t>132.20/PC</t>
  </si>
  <si>
    <t>157.80/PC</t>
  </si>
  <si>
    <t>PL22072-11 G.I NIPPLE (LIGHT DUTY) 1/2"x 2"</t>
  </si>
  <si>
    <t>PL22072-12 G.I NIPPLE (LIGHT DUTY) 1/2"x 3"</t>
  </si>
  <si>
    <t>PL22072-13 G.I NIPPLE (LIGHT DUTY) 1/2"x 4"</t>
  </si>
  <si>
    <t>PL22072-14 G.I NIPPLE (LIGHT DUTY) 1/2"x 5"</t>
  </si>
  <si>
    <t>PL22072-15 G.I NIPPLE (LIGHT DUTY) 1/2"x 6"</t>
  </si>
  <si>
    <t>PL22072-16 G.I NIPPLE (LIGHT DUTY) 1/2"x 7"</t>
  </si>
  <si>
    <t>PL22072-18 G.I NIPPLE (LIGHT DUTY) 1/2"x 9"</t>
  </si>
  <si>
    <t>PL22072-19 G.I NIPPLE (LIGHT DUTY) 1/2"x 10"</t>
  </si>
  <si>
    <t>PL22072-20 G.I NIPPLE (LIGHT DUTY) 1/2"x 12"</t>
  </si>
  <si>
    <t>PL22072-21 G.I NIPPLE (LIGHT DUTY) 1/2"x 20"</t>
  </si>
  <si>
    <t>PL22072-23 G.I NIPPLE (LIGHT DUTY) 3/4"x 2"</t>
  </si>
  <si>
    <t>PL22072-24 G.I NIPPLE (LIGHT DUTY) 3/4"x 3"</t>
  </si>
  <si>
    <t>PL22072-25 G.I NIPPLE (LIGHT DUTY) 3/4"x 4"</t>
  </si>
  <si>
    <t>PL22072-26 G.I NIPPLE (LIGHT DUTY) 3/4"x 5"</t>
  </si>
  <si>
    <t>PL22072-27 G.I NIPPLE (LIGHT DUTY) 3/4"x 6"</t>
  </si>
  <si>
    <t>PL22072-29 G.I NIPPLE (LIGHT DUTY) 3/4"x 8"</t>
  </si>
  <si>
    <t>PL22072-31 G.I NIPPLE (LIGHT DUTY) 3/4"x 10"</t>
  </si>
  <si>
    <t>PL22072-32 G.I NIPPLE (LIGHT DUTY) 3/4"x 12"</t>
  </si>
  <si>
    <t>PL22072-34 G.I NIPPLE (LIGHT DUTY) 1"x 2"</t>
  </si>
  <si>
    <t>PL22072-35 G.I NIPPLE (LIGHT DUTY) 1"x 3''</t>
  </si>
  <si>
    <t>PL22072-36 G.I NIPPLE (LIGHT DUTY) 1"x 4"</t>
  </si>
  <si>
    <t>29.80/PC</t>
  </si>
  <si>
    <t>PL22072-37 G.I NIPPLE (LIGHT DUTY) 1"x 5"</t>
  </si>
  <si>
    <t>PL22072-38 G.I NIPPLE (LIGHT DUTY) 1"x 6"</t>
  </si>
  <si>
    <t>PL22072-40 G.I NIPPLE (LIGHT DUTY) 1"x 8"</t>
  </si>
  <si>
    <t>PL22072-42 G.I NIPPLE (LIGHT DUTY) 1"x 10"</t>
  </si>
  <si>
    <t>PL22072-43 G.I NIPPLE (LIGHT DUTY) 1"x 12"</t>
  </si>
  <si>
    <t>PL22071-005 G.I BUSHING 3/4''*1/2''</t>
  </si>
  <si>
    <t>13.16/PC</t>
  </si>
  <si>
    <t>PL22071-006 GI BUSHING 1*1/4“</t>
  </si>
  <si>
    <t>18.90/PC</t>
  </si>
  <si>
    <t>PL22071-007 GI BUSHING 1*3/8“</t>
  </si>
  <si>
    <t>PL22071-008 GI BUSHING 1"*1/2"</t>
  </si>
  <si>
    <t>PL22071-009 GI BUSHING 1"*3/4"</t>
  </si>
  <si>
    <t>PL22071-010 GI BUSHING 1-1/4"*1/2"</t>
  </si>
  <si>
    <t>31.16/PC</t>
  </si>
  <si>
    <t>PL22071-011 GI BUSHING 1-1/4"*3/4"</t>
  </si>
  <si>
    <t>PL22071-012 GI BUSHING 1-1/4"*1"</t>
  </si>
  <si>
    <t>PL22071-013 G.I BUSHING 1-1/2''*1/2</t>
  </si>
  <si>
    <t>37.01/PC</t>
  </si>
  <si>
    <t>PL22071-014 G.I BUSHING 1-1/2''*3/4</t>
  </si>
  <si>
    <t>PL22071-015 G.I BUSHING 1-1/2''*1''</t>
  </si>
  <si>
    <t>PL22071-016 G.I BUSHING 1-1/2''*1-1/4</t>
  </si>
  <si>
    <t>PL22071-017 G.I BUSHING 2''*1/2</t>
  </si>
  <si>
    <t>62.33/PC</t>
  </si>
  <si>
    <t>PL22071-018 G.I BUSHING 2''*3/4''</t>
  </si>
  <si>
    <t>PL22071-020 G.I BUSHING 2''*1-1/4''</t>
  </si>
  <si>
    <t>PL22071-021 G.I BUSHING 2''*1-1/2</t>
  </si>
  <si>
    <t>PL22071-022 G.I CAP 1/2''</t>
  </si>
  <si>
    <t>11.14/PC</t>
  </si>
  <si>
    <t>PL22071-023 G.I CAP 3/4''</t>
  </si>
  <si>
    <t>15.19/PC</t>
  </si>
  <si>
    <t>PL22071-024 G.I CAP 1''</t>
  </si>
  <si>
    <t>21.83/PC</t>
  </si>
  <si>
    <t>PL22071-025 G.I CAP 1-1/4</t>
  </si>
  <si>
    <t>33.41/PC</t>
  </si>
  <si>
    <t>PL22071-026 G.I CAP 1-1/2''</t>
  </si>
  <si>
    <t>43.54/PC</t>
  </si>
  <si>
    <t>PL22071-027 G.I CAP 2''</t>
  </si>
  <si>
    <t>58.73/PC</t>
  </si>
  <si>
    <t>PL22071-030 GI COUPLING 1/2''</t>
  </si>
  <si>
    <t>10.69/PC</t>
  </si>
  <si>
    <t>PL22071-031 GI COUPLING 3/4''</t>
  </si>
  <si>
    <t>13.73/PC</t>
  </si>
  <si>
    <t>PL22071-032 G.I COUPLING 1''</t>
  </si>
  <si>
    <t>22.84/PC</t>
  </si>
  <si>
    <t>PL22071-033 G.I COUPLING 1-1/4''</t>
  </si>
  <si>
    <t>32.40/PC</t>
  </si>
  <si>
    <t>PL22071-034 G.I COUPLING 1-1/2''</t>
  </si>
  <si>
    <t>39.15/PC</t>
  </si>
  <si>
    <t>PL22071-035 G.I COUPLING 2''</t>
  </si>
  <si>
    <t>61.76/PC</t>
  </si>
  <si>
    <t>PL22071-043 GI COUPLING REDUCER 3/4"*1/2"</t>
  </si>
  <si>
    <t>18.23/PC</t>
  </si>
  <si>
    <t>PL22071-046 GI COUPLING REDUCER 1"*1/2"</t>
  </si>
  <si>
    <t>24.64/PC</t>
  </si>
  <si>
    <t>PL22071-047 GI COUPLING REDUCER 1"*3/4"</t>
  </si>
  <si>
    <t>PL22071-048 GI COUPLING REDUCER 1-1/4"*1/2"</t>
  </si>
  <si>
    <t>36.34/PC</t>
  </si>
  <si>
    <t>PL22071-050 GI COUPLING REDUCER 1-1/4"*1"</t>
  </si>
  <si>
    <t>PL22071-051 GI COUPLING REDUCER 1-1/2"*1/2"</t>
  </si>
  <si>
    <t>46.46/PC</t>
  </si>
  <si>
    <t>PL22071-052 GI COUPLING REDUCER 1-1/2"*3/4"</t>
  </si>
  <si>
    <t>PL22071-053 GI COUPLING REDUCER 1-1/2"*1"</t>
  </si>
  <si>
    <t>PL22071-054 GI COUPLING REDUCER 1-1/2"*1-1/4"</t>
  </si>
  <si>
    <t>PL22071-055 GI COUPLING REDUCER 2"*1/2"</t>
  </si>
  <si>
    <t>67.50/PC</t>
  </si>
  <si>
    <t>PL22071-056 GI COUPLING REDUCER 2"*3/4"</t>
  </si>
  <si>
    <t>PL22071-059 GI COUPLING REDUCER 2"*1-1/2"</t>
  </si>
  <si>
    <t>PL22071-062 GI ELBOW 1/2"</t>
  </si>
  <si>
    <t>PL22071-063 GI ELBOW 3/4"</t>
  </si>
  <si>
    <t>20.14/PC</t>
  </si>
  <si>
    <t>PL22071-064 GI ELBOW 1"</t>
  </si>
  <si>
    <t>29.93/PC</t>
  </si>
  <si>
    <t>PL22071-065 GI ELBOW 1-1/4"</t>
  </si>
  <si>
    <t>44.89/PC</t>
  </si>
  <si>
    <t>59.74/PC</t>
  </si>
  <si>
    <t>PL22071-067 GI ELBOW 2"</t>
  </si>
  <si>
    <t>90.11/PC</t>
  </si>
  <si>
    <t>PL22071-071 GI ELBOW REDUCER 3/4"*1/2"</t>
  </si>
  <si>
    <t>PL22071-072 GI ELBOW REDUCER 1"*1/2"</t>
  </si>
  <si>
    <t>34.76/PC</t>
  </si>
  <si>
    <t>PL22071-073 GI ELBOW REDUCER 1"*3/4"</t>
  </si>
  <si>
    <t>PL22071-074 GI ELBOW REDUCER 1-1/4"*1/2"</t>
  </si>
  <si>
    <t>65.14/PC</t>
  </si>
  <si>
    <t>PL22071-075 GI ELBOW REDUCER 1-1/4"*3/4"</t>
  </si>
  <si>
    <t>PL22071-076 GI ELBOW REDUCER 1-1/4"*1"</t>
  </si>
  <si>
    <t>PL22071-077 GI ELBOW REDUCER 1-1/2"*1/2"</t>
  </si>
  <si>
    <t>84.04/PC</t>
  </si>
  <si>
    <t>PL22071-078 GI ELBOW REDUCER 1-1/2"*3/4"</t>
  </si>
  <si>
    <t>PL22071-079 GI ELBOW REDUCER 1-1/2"*1"</t>
  </si>
  <si>
    <t>PL22071-080 GI ELBOW REDUCER 1-1/2"*1-1/4"</t>
  </si>
  <si>
    <t>PL22071-081GI ELBOW REDUCER 2"*1/2"</t>
  </si>
  <si>
    <t>118.80/PC</t>
  </si>
  <si>
    <t>PL22071-082 GI ELBOW REDUCER 2"*3/4"</t>
  </si>
  <si>
    <t>PL22071-084 GI ELBOW REDUCER 2"*1-1/4"</t>
  </si>
  <si>
    <t>PL22071-085 GI ELBOW REDUCER 2"*1-1/2"</t>
  </si>
  <si>
    <t>PL22071-086 GI PLUG 1/2"</t>
  </si>
  <si>
    <t>9.11/PC</t>
  </si>
  <si>
    <t>PL22071-087 GI PLUG 3/4"</t>
  </si>
  <si>
    <t>11.36/PC</t>
  </si>
  <si>
    <t>PL22071-088 GI PLUG 1"</t>
  </si>
  <si>
    <t>PL22071-089 GI PLUG 1-1/4"</t>
  </si>
  <si>
    <t>23.85/PC</t>
  </si>
  <si>
    <t>28.35/PC</t>
  </si>
  <si>
    <t>PL22071-091 GI PLUG 2"</t>
  </si>
  <si>
    <t>PL22071-093 GI ST. ELBOW 1/2"</t>
  </si>
  <si>
    <t>PL22071-094 GI ST. ELBOW 3/4"</t>
  </si>
  <si>
    <t>PL22071-095 GI ST. ELBOW 1"</t>
  </si>
  <si>
    <t>PL22071-096 GI ST. ELBOW 1-1/4"</t>
  </si>
  <si>
    <t>64.13/PC</t>
  </si>
  <si>
    <t>PL22071-097 GI ST. ELBOW 1-1/2"</t>
  </si>
  <si>
    <t>74.25/PC</t>
  </si>
  <si>
    <t>PL22071-098 GI ST. ELBOW 2"</t>
  </si>
  <si>
    <t>112.50/PC</t>
  </si>
  <si>
    <t>PL22071-101 GI TEE 1/2"</t>
  </si>
  <si>
    <t>17.78/PC</t>
  </si>
  <si>
    <t>PL22071-102 GI TEE 3/4"</t>
  </si>
  <si>
    <t>24.98/PC</t>
  </si>
  <si>
    <t>PL22071-103 GI TEE 1"</t>
  </si>
  <si>
    <t>PL22071-104 G.I TEE 1-1/4"</t>
  </si>
  <si>
    <t>62.78/PC</t>
  </si>
  <si>
    <t>79.65/PC</t>
  </si>
  <si>
    <t>PL22071-106 G.I TEE 2"</t>
  </si>
  <si>
    <t>117.45/PC</t>
  </si>
  <si>
    <t>PL22071-110 GI TEE REDUCER 3/4"*1/2"</t>
  </si>
  <si>
    <t>30.38/PC</t>
  </si>
  <si>
    <t>PL22071-111 GI TEE REDUCER 1"*1/2"</t>
  </si>
  <si>
    <t>47.93/PC</t>
  </si>
  <si>
    <t>PL22071-112 GI TEE REDUCER 1"*3/4"</t>
  </si>
  <si>
    <t>PL22071-113 GI TEE REDUCER 1-1/4"*1/2"</t>
  </si>
  <si>
    <t>72.45/PC</t>
  </si>
  <si>
    <t>PL22071-114 GI TEE REDUCER 1-1/4"*3/4"</t>
  </si>
  <si>
    <t>PL22071-115 GI TEE REDUCER 1-1/4"*1"</t>
  </si>
  <si>
    <t>PL22071-116 GI TEE REDUCER 1-1/2"*1/2"</t>
  </si>
  <si>
    <t>95.51/PC</t>
  </si>
  <si>
    <t>PL22071-117 GI TEE REDUCER 1-1/2"*3/4"</t>
  </si>
  <si>
    <t>PL22071-118 GI TEE REDUCER 1-1/2"*1"</t>
  </si>
  <si>
    <t>PL22071-119 GI TEE REDUCER 1-1/2"*1-1/4"</t>
  </si>
  <si>
    <t>PL22071-120 GI TEE REDUCER 2"*1/2"</t>
  </si>
  <si>
    <t>140.40/PC</t>
  </si>
  <si>
    <t>PL22071-121 GI TEE REDUCER 2"*3/4"</t>
  </si>
  <si>
    <t>PL22071-122 GI TEE REDUCER 2"*1"</t>
  </si>
  <si>
    <t>PL22071-123 GI TEE REDUCER 2"*1-1/4"</t>
  </si>
  <si>
    <t>PL22071-124 GI TEE REDUCER 2"*1-1/2"</t>
  </si>
  <si>
    <t>PL22071-125 GI UNION PATENTE 1/2"</t>
  </si>
  <si>
    <t>PL22071-126 GI UNION PATENTE 3/4"</t>
  </si>
  <si>
    <t>53.21/PC</t>
  </si>
  <si>
    <t>PL22071-127 GI UNION PATENTE 1"</t>
  </si>
  <si>
    <t>PL22071-128 GI UNION PATENTE 1-1/4"</t>
  </si>
  <si>
    <t>92.70/PC</t>
  </si>
  <si>
    <t>PL22071-129 GI UNION PATENTE 1-1/2"</t>
  </si>
  <si>
    <t>123.08/PC</t>
  </si>
  <si>
    <t>PL22071-130 GI UNION PATENTE 2"</t>
  </si>
  <si>
    <t>183.83/PC</t>
  </si>
  <si>
    <t>PL22071- 131 GI UNION PATENTE 2-1/2"</t>
  </si>
  <si>
    <t>347.29/PC</t>
  </si>
  <si>
    <t>PL22073-01 FRANCE COUPLING HOT DIPPED 1/2"</t>
  </si>
  <si>
    <t>PL22073-02 FRANCE COUPLING HOT DIPPED 3/4"</t>
  </si>
  <si>
    <t>PL22073-03 FRANCE COUPLING HOT DIPPED 1"</t>
  </si>
  <si>
    <t>29/PC</t>
  </si>
  <si>
    <t>PL22073-04 FRANCE COUPLING HOT DIPPED 1-1/4"</t>
  </si>
  <si>
    <t>PL22073-05 FRANCE COUPLING HOT DIPPED 1-1/2"</t>
  </si>
  <si>
    <t>PL22073-06 FRANCE COUPLING HOT DIPPED 2"</t>
  </si>
  <si>
    <t>PL66270-1 POLOLOCK STEEL TAPE MEASUREMENT 3M XC-33</t>
  </si>
  <si>
    <t>PL66270-2 POLONET STEEL TAPE MEASUREMENT 5M XC-33</t>
  </si>
  <si>
    <t>35/PC</t>
  </si>
  <si>
    <t>PL66271-1 POLOLOCK STEEL TAPE MEASURE 3M G-74</t>
  </si>
  <si>
    <t>PL66271-2 (LT11001-5) POLONET STEEL TAPE MEASURE 5M G-74</t>
  </si>
  <si>
    <t>PL66271-3 (LT11001-7.5) POLONET STEEL TAPE MEASURE 7.5 G-74</t>
  </si>
  <si>
    <t>PL66272-1 POLONET STEEL TAPE MEASURE 16MM - 3M-G79</t>
  </si>
  <si>
    <t>37/PC</t>
  </si>
  <si>
    <t>PL66272-2 POLONET STEEL TAPE MEASURE 19MM- 5M-G79</t>
  </si>
  <si>
    <t>PL66272-3 POLONET STEEL TAPE MEASURE 25MM 7.5M-G79</t>
  </si>
  <si>
    <t>PL66273-1 POLOLOCK STEEL TAPE MEASUREMENT 3M XC-97</t>
  </si>
  <si>
    <t>PL66273-2 POLOLOCK STEEL TAPE MEASUREMENT 5M XC-97</t>
  </si>
  <si>
    <t>PL66273-3 POLOLOCK STEEL TAPE MEASUREMET 7.5M XC-97</t>
  </si>
  <si>
    <t>PL66450 POLONET MINI LEVEL 9''-225MM</t>
  </si>
  <si>
    <t>PL66451-1 POLONET ALUMINUM LEVEL BAR 12''/300MM</t>
  </si>
  <si>
    <t>51/PC</t>
  </si>
  <si>
    <t>PL66451-3 POLONET ALUMINUM LEVEL BAR 18''/450MM</t>
  </si>
  <si>
    <t>62/PC</t>
  </si>
  <si>
    <t>PL66451-4 POLONET ALUMINUM LEVEL BAR 24''/600MM</t>
  </si>
  <si>
    <t>PL66451-5 POLONET ALUMINUM LEVEL BAR 32''/800MM</t>
  </si>
  <si>
    <t>PL66451-6 POLONET ALUMINUM LEVEL BAR 40''/1000MM</t>
  </si>
  <si>
    <t>126/PC</t>
  </si>
  <si>
    <t>PL66470-1 TRI SQUARE 6"</t>
  </si>
  <si>
    <t>PL66470-2 TRI SQUARE 8"</t>
  </si>
  <si>
    <t>24.5/PC</t>
  </si>
  <si>
    <t>PL66470-3 TRI SQUARE 10"</t>
  </si>
  <si>
    <t>PL66470-4 TRI SQUARE 12"</t>
  </si>
  <si>
    <t>PL66110-1 2" SCRAPER W/HANDLE</t>
  </si>
  <si>
    <t>17.5/PC</t>
  </si>
  <si>
    <t>PL66110-2 3" SCRAPER W/HANDLE</t>
  </si>
  <si>
    <t>PL66110-3 4" SCRAPER W/HANDLE</t>
  </si>
  <si>
    <t>PL66110-4 5" SCRAPER W/HANDLE</t>
  </si>
  <si>
    <t>PL66110-5 6" SCRAPER W/HANDLE</t>
  </si>
  <si>
    <t>26.5/PC</t>
  </si>
  <si>
    <t>PL66120-1 12OZ POLONET CLAW HAMMER W/WOODEN HANDLE</t>
  </si>
  <si>
    <t>PL66120-2 16OZ POLONET CLAW HAMMER W/WOODEN HANDLE</t>
  </si>
  <si>
    <t>PL66121-1 12OZ POLONET CLAW HAMMER W/FIBERGLASS HANDLE</t>
  </si>
  <si>
    <t>PL66121-2 16OZ POLONET CLAW HAMMER W/ FIBERGLASS HANDLE</t>
  </si>
  <si>
    <t>110/PC</t>
  </si>
  <si>
    <t>PL66600-1 CLAW BAR 24"*18mm</t>
  </si>
  <si>
    <t>133/PC</t>
  </si>
  <si>
    <t>PL66600-2 CLAW BAR 30"*18mm</t>
  </si>
  <si>
    <t>PL66600-3 CLAW BAR 36"*18mm</t>
  </si>
  <si>
    <t>182/PC</t>
  </si>
  <si>
    <t>PL66601-1 DIGGING BAR 1"*4'</t>
  </si>
  <si>
    <t>260/PC</t>
  </si>
  <si>
    <t>PL66601-2 DIGGING BAR 1"*5'</t>
  </si>
  <si>
    <t>316/PC</t>
  </si>
  <si>
    <t>PL66601-3 DIGGING BAR 1"*6'</t>
  </si>
  <si>
    <t>91/PC</t>
  </si>
  <si>
    <t>93/PC</t>
  </si>
  <si>
    <t>178/PC</t>
  </si>
  <si>
    <t>PL66135-1 POLONET WOOD HANDLE ROUND POINT SHOVEL LD</t>
  </si>
  <si>
    <t>83/PC</t>
  </si>
  <si>
    <t>PL66140-1 PICK MATTOCK BLADE ONLY</t>
  </si>
  <si>
    <t>150/PC</t>
  </si>
  <si>
    <t>PL66140-2 POLONET PICK MATTOCK WOODEN HANDLE ONLY</t>
  </si>
  <si>
    <t>PL66150-1 WOODEN HANDLE FOR HOE</t>
  </si>
  <si>
    <t>PL66150-2 POLONET HOE 2LBS</t>
  </si>
  <si>
    <t>PL66150-3 POLONET HOE 2-1/4 LBS</t>
  </si>
  <si>
    <t>PL66150-4 POLONET HOE 2-1/2 LBS</t>
  </si>
  <si>
    <t>15.5/PC</t>
  </si>
  <si>
    <t>PL66160-2 POLOLOCK STEEL BRUSH SILVER W/HANDLE 4X14</t>
  </si>
  <si>
    <t>PL66161-1 (LT22018) 4R*16R*24 WIRE BRUSH WOOD HANDLE</t>
  </si>
  <si>
    <t>PL66162-1 16R*6R*1.5CM POLONET COPPERIZED STEEL BRUSH</t>
  </si>
  <si>
    <t>PL66162-2 (LT22019-2) 16R*8R*1.5CM POLONET COPPERIZED STEEL BRUSH</t>
  </si>
  <si>
    <t>10.5/PC</t>
  </si>
  <si>
    <t>PL66163 4R*16R*23CM STEEL BRUSH W/ PLASTIC HANDLE</t>
  </si>
  <si>
    <t>19/PC</t>
  </si>
  <si>
    <t>PL66170-1 (LT22016-P) GARDEN RAKE 14T PLAIN</t>
  </si>
  <si>
    <t>PL66170-2 (LT22016-T) GARDEN RAKE 14T TWISTED</t>
  </si>
  <si>
    <t>PL66620-1 GARDEN RAKE 14T WOODEN HANDLE W/ SCREW</t>
  </si>
  <si>
    <t>PL66620-1S WOOD STICK HANDLE 1.2m*28mm</t>
  </si>
  <si>
    <t>PL66620-2 GARDEN RAKE 22T WOODEN HANDLE W/ SCREW</t>
  </si>
  <si>
    <t>PL66620-2S WOOD STICK HANDLE 1.2m*25mm</t>
  </si>
  <si>
    <t>PL66092 250mm*110mm PLASTERING TROWEL 1*60</t>
  </si>
  <si>
    <t>PL66090-1 280*120*0.7MM POLONET ABS HANDLE PLASTREING TROWEL</t>
  </si>
  <si>
    <t>PL66090-2 280-120-0.7MM (TEETH)10*10MM POLONET ABS HANDLE PLASTERING TROWEL W/TEETH</t>
  </si>
  <si>
    <t>PL66091-1 280*125*0.7MM POLONET WOODEN HANDLE PLASTERING TROWEL</t>
  </si>
  <si>
    <t>PL66101-1 6"CEMENT TROWEL W/PLASTIC HANDLE</t>
  </si>
  <si>
    <t>PL66101-2 7"CEMENT TROWEL W/PLASTIC HANDLE</t>
  </si>
  <si>
    <t>31/PC</t>
  </si>
  <si>
    <t>PL66101-3 8"CEMENT TROWEL W/PLASTIC HANDLE</t>
  </si>
  <si>
    <t>PL66101-4 9"CEMENT TROWEL W/PLASTIC HANDLE</t>
  </si>
  <si>
    <t>35.5/PC</t>
  </si>
  <si>
    <t>PL66100-1 CEMENT TROWEL WOOD HANDLE 5 "</t>
  </si>
  <si>
    <t>PL66100-2 CEMENT TROWEL WOOD HANDLE 6 "</t>
  </si>
  <si>
    <t>22/PC</t>
  </si>
  <si>
    <t>PL66100-3 CEMENT TROWEL WOOD HANDLE 7 "</t>
  </si>
  <si>
    <t>PL66100-4 CEMENT TROWEL WOOD HANDLE 8 "</t>
  </si>
  <si>
    <t>PL66100-5 CEMENT TROWEL WOOD HANDLE 9"</t>
  </si>
  <si>
    <t>PL66460-1 PUTTY KNIFE 4"7.5*11*10CM</t>
  </si>
  <si>
    <t>40/DOZ</t>
  </si>
  <si>
    <t>PL66460-2 PUTTY KNIFE 6"7.8*15*10CM</t>
  </si>
  <si>
    <t>45/DOZ</t>
  </si>
  <si>
    <t>PL66020-1 7"RL POLONET VISE GRIP STRAIGHT</t>
  </si>
  <si>
    <t>PL66020-2 10"RL POLONET VISE GRIP STRAIGHT</t>
  </si>
  <si>
    <t>PL66020-4 10"WL VISE GRIP CHROME CURVED</t>
  </si>
  <si>
    <t>PL66020-5 11" C-CLAMP VISE GRIP PLIERS</t>
  </si>
  <si>
    <t>PL66030-1 6" DIAGONAL PLIERS</t>
  </si>
  <si>
    <t>69/PC</t>
  </si>
  <si>
    <t>PL66030-2 8" DIAGONAL PLIERS</t>
  </si>
  <si>
    <t>PL66030-3 7" COMBINATION PLIERS</t>
  </si>
  <si>
    <t>PL66030-4 8" COMBINATION PLIERS</t>
  </si>
  <si>
    <t>PL66030-5 6" LONG NOSE PLIERS</t>
  </si>
  <si>
    <t>67/PC</t>
  </si>
  <si>
    <t>PL66030-6 8" LONG NOSE PLIERS</t>
  </si>
  <si>
    <t>PL66040-1 8" PIPE WRENCH HD</t>
  </si>
  <si>
    <t>PL66040-2 10" PIPE WRENCH HD</t>
  </si>
  <si>
    <t>PL66040-3 12" PIPE WRENCH HD</t>
  </si>
  <si>
    <t>119/PC</t>
  </si>
  <si>
    <t>PL66040-4 14" PIPE WRENCH HD</t>
  </si>
  <si>
    <t>141/PC</t>
  </si>
  <si>
    <t>PL66040-5 18" PIPE WRENCH HD</t>
  </si>
  <si>
    <t>198/PC</t>
  </si>
  <si>
    <t>PL66040-6 24" PIPE WRENCH HD</t>
  </si>
  <si>
    <t>287/PC</t>
  </si>
  <si>
    <t>PL66040-7 36" PIPE WRENCH HD</t>
  </si>
  <si>
    <t>547/PC</t>
  </si>
  <si>
    <t>26/SET</t>
  </si>
  <si>
    <t>48/SET</t>
  </si>
  <si>
    <t>32/SET</t>
  </si>
  <si>
    <t>46/SET</t>
  </si>
  <si>
    <t>PL66050-1 LEFT POLONET AVIATION SNIP</t>
  </si>
  <si>
    <t>PL66050-2 RIGHT POLONET AVIATION SNIP</t>
  </si>
  <si>
    <t>PL66050-3 STRAIGHT POLONET AVIATION SNIP</t>
  </si>
  <si>
    <t>PL66060-1 POLONET TIN SNIP 8"</t>
  </si>
  <si>
    <t>PL66060-2 POLONET TIN SNIP 10"</t>
  </si>
  <si>
    <t>PL66060-3 POLONET TIN SNIP 12"</t>
  </si>
  <si>
    <t>PL66060-4 POLONET TIN SNIP 14"</t>
  </si>
  <si>
    <t>199/PC</t>
  </si>
  <si>
    <t>PL66060-5 POLONET TIN SNIP 16"</t>
  </si>
  <si>
    <t>595/PC</t>
  </si>
  <si>
    <t>PL66200-1 (LT55023-1) POLOLOCK PAINT BRUSH 1/2"</t>
  </si>
  <si>
    <t>65/DOZ</t>
  </si>
  <si>
    <t>PL66200-2 (LT55023-2) POLOLOCK PAINT BRUSH 3/4"</t>
  </si>
  <si>
    <t>68/DOZ</t>
  </si>
  <si>
    <t>PL66200-3 (LT55023-3) POLOLOCK PAINT BRUSH 1"</t>
  </si>
  <si>
    <t>75/DOZ</t>
  </si>
  <si>
    <t>PL66200-4 (LT55023-4) POLOLOCK PAINT BRUSH 1"1/2</t>
  </si>
  <si>
    <t>126/DOZ</t>
  </si>
  <si>
    <t>PL66200-5 (LT55023-5) POLOLOCK PAINT BRUSH 2"</t>
  </si>
  <si>
    <t>160/DOZ</t>
  </si>
  <si>
    <t>PL66200-6 (LT55023-6) POLOLOCK PAINT BRUSH 2"1/2</t>
  </si>
  <si>
    <t>199/DOZ</t>
  </si>
  <si>
    <t>PL66200-7 (LT55023-7)POLOLOCK PAINT BRUSH 3"</t>
  </si>
  <si>
    <t>281/DOZ</t>
  </si>
  <si>
    <t>PL66200-8 (LT55023-8) POLOLOCK PAINT BRUSH 4"</t>
  </si>
  <si>
    <t>380/DOZ</t>
  </si>
  <si>
    <t>36.50/PC</t>
  </si>
  <si>
    <t>43.5/PC</t>
  </si>
  <si>
    <t>14.5/PC</t>
  </si>
  <si>
    <t>7/PC</t>
  </si>
  <si>
    <t>PL66192-1 POLONET 5PCS PAINT ROLLER COTTON 4"</t>
  </si>
  <si>
    <t>22/PACK</t>
  </si>
  <si>
    <t>PL66192-2 POLONET 5PCS PAINT ROLLER FOAM 4"</t>
  </si>
  <si>
    <t>24/PACK</t>
  </si>
  <si>
    <t>PL66220-1 3/32" M2 HSS DRILL BIT</t>
  </si>
  <si>
    <t>PL66220-2 1/8" M2 HSS DRILL BIT</t>
  </si>
  <si>
    <t>PL66220-3 5/32" M2 HSS DRILL BIT</t>
  </si>
  <si>
    <t>PL66220-4 3/16" M2 HSS DRILL BIT</t>
  </si>
  <si>
    <t>PL66220-5 1/4" M2 HSS DRILL BIT</t>
  </si>
  <si>
    <t>PL66220-6 5/16" M2 HSS DRILL BIT</t>
  </si>
  <si>
    <t>PL66220-7 3/8" M2 HSS DRILL BIT</t>
  </si>
  <si>
    <t>68/PC</t>
  </si>
  <si>
    <t>PL66220-8 1/2" M2 HSS DRILL BIT</t>
  </si>
  <si>
    <t>131/PC</t>
  </si>
  <si>
    <t>PL66221-01 1/8" MASONRY DRILL BIT</t>
  </si>
  <si>
    <t>9.1/PC</t>
  </si>
  <si>
    <t>PL66221-02 5/32" MASONRY DRILL BIT</t>
  </si>
  <si>
    <t>9.3/PC</t>
  </si>
  <si>
    <t>PL66221-03 3/16"MASONRY DRILL BIT</t>
  </si>
  <si>
    <t>10/PC</t>
  </si>
  <si>
    <t>PL66221-04 1/4" MASONRY DRILL BIT</t>
  </si>
  <si>
    <t>PL66221-06 3/8" MASONRY DRILL BIT</t>
  </si>
  <si>
    <t>PL66221-07 1/2"MASONRY DRILL BIT</t>
  </si>
  <si>
    <t>PL66221-09 3/4" PMASONRY DRILL BIT</t>
  </si>
  <si>
    <t>PL66221-10 1" MASONRY DRILL BIT</t>
  </si>
  <si>
    <t>97/PC</t>
  </si>
  <si>
    <t>PL66240-1 SCREW DRIVER BIT 50MM</t>
  </si>
  <si>
    <t>65/CARD</t>
  </si>
  <si>
    <t>PL66240-2 SCREW DRIVER BIT 65MM</t>
  </si>
  <si>
    <t>70/CARD</t>
  </si>
  <si>
    <t>PL66250-1 8*48MM 6PCS MAGNETIC TEKSCREW ADAPTOR</t>
  </si>
  <si>
    <t>45/CARD</t>
  </si>
  <si>
    <t>PL66250-2 8*65MM 6PCS MAGNETIC TEKSCREW ADAPTOR</t>
  </si>
  <si>
    <t>50/CARD</t>
  </si>
  <si>
    <t>PL66260-1 12"*1/2"*18T BI-METAL HACKSAW BLADE</t>
  </si>
  <si>
    <t>PL66260-2 12"*1/2"*24T BI-METAL HACKSAW BLADE</t>
  </si>
  <si>
    <t>PL66071-1 (LT44004-1) HACKSAW FRAME CHROME</t>
  </si>
  <si>
    <t>PL66071-2 HACKSAW FRAME BLACK</t>
  </si>
  <si>
    <t>PL66360-1 POLONET COMPASS SAW W/PVC HANDLE 16"</t>
  </si>
  <si>
    <t>PL66361-1 18" POLONET HANDSAW W/PVC HANDLE</t>
  </si>
  <si>
    <t>PL66361-2 20" POLONET HANDSAW W/PVC HANDLE</t>
  </si>
  <si>
    <t>PL66362-1 16" POLONET COMPASS SAW W/HEAVY DUTY WIDE SAW</t>
  </si>
  <si>
    <t>PL66362-2 16" POLONET COMPASS SAW W/HEAVY DUTY NARROW SAW</t>
  </si>
  <si>
    <t>55/SET</t>
  </si>
  <si>
    <t>66/SET</t>
  </si>
  <si>
    <t>PL66080 CAULKING GUN SEMI-CIRCLE DOUBLE STRIP</t>
  </si>
  <si>
    <t>PL66081 CAULKING GUN SEMI-CIRCLE GLASS GLUE GUN W/ HOLSTER</t>
  </si>
  <si>
    <t>PL66010-1 (LT77006-1) PILLOW BLOCK BEARING 1/2" #201</t>
  </si>
  <si>
    <t>84/SET</t>
  </si>
  <si>
    <t>PL66010-2 (LT77006-2) PILLOW BLOCK BEARING 5/8" #202</t>
  </si>
  <si>
    <t>PL66010-3 (LT77006-3) PILLOW BLOCK BEARING 3/4" #204</t>
  </si>
  <si>
    <t>75/SET</t>
  </si>
  <si>
    <t>PL66010-4 (LT77006-4) PILLOW BLOCK BEARING 1" #205</t>
  </si>
  <si>
    <t>80/SET</t>
  </si>
  <si>
    <t>PL66010-5 (LT77006-5) PILLOW BLOCK BEARING 1-1/8" #206</t>
  </si>
  <si>
    <t>130/SET</t>
  </si>
  <si>
    <t>PL66010-6 (LT77006-6) PILLOW BLOCK BEARING 1-1/4 " #207</t>
  </si>
  <si>
    <t>163/SET</t>
  </si>
  <si>
    <t>198/SET</t>
  </si>
  <si>
    <t>PL66010-8 (LT77006-8) PILLOW BLOCK BEARING 2" #211</t>
  </si>
  <si>
    <t>348/SET</t>
  </si>
  <si>
    <t>PL66010-70 PILLOW BLOCK BEARING 1-3/4"- UCP209-28</t>
  </si>
  <si>
    <t>220/SET</t>
  </si>
  <si>
    <t>PL66530-02 TURN BUCKLE 1/4''-6MM</t>
  </si>
  <si>
    <t>6.2/PC</t>
  </si>
  <si>
    <t>PL66530-03 TURN BUCKLE 5/16''-8MM</t>
  </si>
  <si>
    <t>10.2/PC</t>
  </si>
  <si>
    <t>PL66530-04 TURNBUCKLE 3/8''-10MM</t>
  </si>
  <si>
    <t>PL66530-05 TURNBUCKLE 1/2''-12MM</t>
  </si>
  <si>
    <t>PL66530-07 TURNBUCKLE 5/8''-16MM</t>
  </si>
  <si>
    <t>49.5/PC</t>
  </si>
  <si>
    <t>PL66530-09 TURNBUCKLE 3/4''-20MM</t>
  </si>
  <si>
    <t>PL66530-10 TURNBUCKLE 7/8''-22MM</t>
  </si>
  <si>
    <t>PL66530-11 TURNBUCKLE 1''-24MM</t>
  </si>
  <si>
    <t>PL66550-2 8" RUBBER WHEEL W/RIM&amp;BEARING HEAVY DUTY</t>
  </si>
  <si>
    <t>270/PC</t>
  </si>
  <si>
    <t>PL66550-3 10" RUBBER WHEEL W/RIM&amp;BEARING HEAVY DUTY</t>
  </si>
  <si>
    <t>540/PC</t>
  </si>
  <si>
    <t>PL66550-4 12" RUBBER WHEEL W/RIM&amp;BEARING HEAVY DUTY</t>
  </si>
  <si>
    <t>820/PC</t>
  </si>
  <si>
    <t>PL66560-1 1/2" TACKLE PULLEY SINGLE</t>
  </si>
  <si>
    <t>8.1/PC</t>
  </si>
  <si>
    <t>PL66560-2 3/4" TACKLE PULLEY SINGLE</t>
  </si>
  <si>
    <t>8.7/PC</t>
  </si>
  <si>
    <t>PL66560-3 1" TACKLE PULLEY SINGLE</t>
  </si>
  <si>
    <t>10.9/PC</t>
  </si>
  <si>
    <t>PL66560-4 1-1/4"TACKLE PULLEY SINGLE</t>
  </si>
  <si>
    <t>15.8/PC</t>
  </si>
  <si>
    <t>PL66560-5 1-1/2" TACKLE PULLEY SINGLE</t>
  </si>
  <si>
    <t>PL66560-6 2" TACKLE PULLEY SINGLE</t>
  </si>
  <si>
    <t>37.5/PC</t>
  </si>
  <si>
    <t>PL66560-7 2-1/2" TACKLE PULLEY SINGLE</t>
  </si>
  <si>
    <t>PL66560-8 3" TACKLE PULLEY SINGLE</t>
  </si>
  <si>
    <t>PL66561-1 3/4" TACKLE PULLEY DOUBLE</t>
  </si>
  <si>
    <t>PL66561-2 1" TACKLE PULLEY DOUBLE</t>
  </si>
  <si>
    <t>PL66561-3 1-1/4" TACKLE PULLEY DOUBLE</t>
  </si>
  <si>
    <t>PL66561-4 1-1/2" TACKLE PULLEY DOUBLE</t>
  </si>
  <si>
    <t>PL66561-5 2" TACKLE PULLEY DOUBLE</t>
  </si>
  <si>
    <t>PL66561-6 2-1/2" TACKLE PULLEY DOUBLE</t>
  </si>
  <si>
    <t>PL66561-7 3" TACKLE PULLEY DOUBLE</t>
  </si>
  <si>
    <t>138/PC</t>
  </si>
  <si>
    <t>PL66570-01 GALVANIZED SHACKLE U-TYPE 1/4"</t>
  </si>
  <si>
    <t>PL66570-02 GALVANIZED SHACKLE U-TYPE 5/16"</t>
  </si>
  <si>
    <t>PL66570-03 GALVANIZED SHACKLE U-TYPE 3/8"</t>
  </si>
  <si>
    <t>PL66570-04 GALVANIZED SHACKLE U-TYPE 1/2"</t>
  </si>
  <si>
    <t>PL66570-05 GALVANIZED SHACKLE U-TYPE 5/8"</t>
  </si>
  <si>
    <t>PL66570-06 GALVANIZED SHACKLE U-TYPE 3/4"</t>
  </si>
  <si>
    <t>PL66570-07 GALVANIZED SHACKLE U-TYPE 7/8"</t>
  </si>
  <si>
    <t>PL66570-08 GALVANIZED SHACKLE U-TYPE 1"</t>
  </si>
  <si>
    <t>PL66570-09 GALVANIZED SHACKLE U-TYPE 1-1/4"</t>
  </si>
  <si>
    <t>240/PC</t>
  </si>
  <si>
    <t>PL66570-10 GALVANIZED SHACKLE U-TYPE 1-1/2"</t>
  </si>
  <si>
    <t>365/PC</t>
  </si>
  <si>
    <t>PL66580-01 GALVANIZED CABLE CLIP 3/16"-5mm</t>
  </si>
  <si>
    <t>2.1/PC</t>
  </si>
  <si>
    <t>PL66580-02 GALVANIZED CABLE CLIP 1/4"-6mm</t>
  </si>
  <si>
    <t>2.2/PC</t>
  </si>
  <si>
    <t>PL66580-03 GALVANIZED CABLE CLIP 5/16"-8mm</t>
  </si>
  <si>
    <t>2.9/PC</t>
  </si>
  <si>
    <t>PL66580-04 GALVANIZED CABLE CLIP 3/8"-10mm</t>
  </si>
  <si>
    <t>5.1/PC</t>
  </si>
  <si>
    <t>PL66580-05 GALVANIZED CABLE CLIP 1/2"-12mm</t>
  </si>
  <si>
    <t>9.8/PC</t>
  </si>
  <si>
    <t>PL66580-06 GALVANIZED CABLE CLIP 5/8"-16mm</t>
  </si>
  <si>
    <t>PL66580-07 GALVANIZED CABLE CLIP 3/4"-20mm</t>
  </si>
  <si>
    <t>PL66580-08 GALVANIZED CABLE CLIP 7/8"-22mm</t>
  </si>
  <si>
    <t>PL66580-09 GALVANIZED CABLE CLIP 1"-25mm</t>
  </si>
  <si>
    <t>PL66280-1 (LT66001) 500G COTTON HAND GLOVES</t>
  </si>
  <si>
    <t>88/DOZ</t>
  </si>
  <si>
    <t>PL66280-3 COLORFUL COTTON HAND GLOVES</t>
  </si>
  <si>
    <t>PL66282-1 WELDING GLOVES 10.5 POLOLOCK</t>
  </si>
  <si>
    <t>61/PAIR</t>
  </si>
  <si>
    <t>PL66282-2 WELDING GLOVES 14"POLOLOCK</t>
  </si>
  <si>
    <t>106/PAIR</t>
  </si>
  <si>
    <t>PL66282-3 WELDING GLOVES 16" POLONET</t>
  </si>
  <si>
    <t>118/PAIR</t>
  </si>
  <si>
    <t>PL66282-4 (LT66009) WELDING GLOVES 18" POLONET</t>
  </si>
  <si>
    <t>138/PAIR</t>
  </si>
  <si>
    <t>PL66281 RUBBER GLOVES 70G 9"</t>
  </si>
  <si>
    <t>15/PAIR</t>
  </si>
  <si>
    <t>PL66291-00 SAFETY RAIN SHOES ALL BLACK #39 5"</t>
  </si>
  <si>
    <t>PL66291-01 SAFETY RAIN SHOES ALL BLACK #40 6"</t>
  </si>
  <si>
    <t>PL66291-02 SAFETY RAIN SHOES ALL BLACK #41 7"</t>
  </si>
  <si>
    <t>PL66291-03 SAFETY RAIN SHOES ALL BLACK #42 8"</t>
  </si>
  <si>
    <t>PL66291-04 SAFETY RAIN SHOES ALL BLACK #43 9"</t>
  </si>
  <si>
    <t>PL66291-05 SAFETY RAIN SHOES ALL BLACK #44 10"</t>
  </si>
  <si>
    <t>PL66291-06 SAFETY RAIN SHOES Y&amp;B 4"</t>
  </si>
  <si>
    <t>PL66291-08 SAFETY RAIN SHOES Y&amp;B 6"</t>
  </si>
  <si>
    <t>PL66291-09 (LT66003-41) SAFETY RAIN SHOES Y&amp;B 7"</t>
  </si>
  <si>
    <t>PL66291-10 SAFETY RAIN SHOES Y&amp;B 8"</t>
  </si>
  <si>
    <t>PL66291-11 (LT66003-43) SAFETY RAIN SHOES Y&amp;B 9"</t>
  </si>
  <si>
    <t>PL66291-12 (LT66003-44) SAFETY RAIN SHOES Y&amp;B 10"</t>
  </si>
  <si>
    <t>PL66630-01 SAFETY SHOES #36</t>
  </si>
  <si>
    <t>PL66630-02 SAFETY SHOES #37</t>
  </si>
  <si>
    <t>PL66630-03 SAFETY SHOES #38</t>
  </si>
  <si>
    <t>PL66630-04 SAFETY SHOES #39</t>
  </si>
  <si>
    <t>PL66630-05 SAFETY SHOES #40</t>
  </si>
  <si>
    <t>PL66630-06 SAFETY SHOES #41</t>
  </si>
  <si>
    <t>PL66630-07 SAFETY SHOES #42</t>
  </si>
  <si>
    <t>PL66630-08 SAFETY SHOES #43</t>
  </si>
  <si>
    <t>PL66630-09 SAFETY SHOES #44</t>
  </si>
  <si>
    <t>PL66630-10 SAFETY SHOES #45</t>
  </si>
  <si>
    <t>PL66630-11 SAFETY SHOES #46</t>
  </si>
  <si>
    <t>PL66630-12 SAFETY SHOES #47</t>
  </si>
  <si>
    <t>PL66410-1 BLUE SAFETY HELMET</t>
  </si>
  <si>
    <t>PL66410-2 GREEN SAFETY HELMET</t>
  </si>
  <si>
    <t>PL66410-3 YELLOW SAFETY HELMET</t>
  </si>
  <si>
    <t>PL66410-4 RED SAFETY HELMET</t>
  </si>
  <si>
    <t>PL66410-5 WHITE SAFETY HELMET</t>
  </si>
  <si>
    <t>PL66410-6 ORANGE SAFETY HELMET</t>
  </si>
  <si>
    <t>PL66370-00 #1 POLOLOCK NYLON ROPE ORANGE (0.5MM)</t>
  </si>
  <si>
    <t>37/ROLL</t>
  </si>
  <si>
    <t>PL66370-01 #2 POLOLOCK NYLON ROPE ORANGE (1MM)</t>
  </si>
  <si>
    <t>59/ROLL</t>
  </si>
  <si>
    <t>PL66370-02 #3 POLOLOCK NYLON ROPE ORANGE (1.5MM)</t>
  </si>
  <si>
    <t>79/ROLL</t>
  </si>
  <si>
    <t>PL66370-03 #4 POLOLOCK NYLON ROPE ORANGE (2MM)</t>
  </si>
  <si>
    <t>99/ROLL</t>
  </si>
  <si>
    <t>PL66370-04 #5 POLOLOCK NYLON ROPE ORANGE (2.5MM)</t>
  </si>
  <si>
    <t>120/ROLL</t>
  </si>
  <si>
    <t>PL66370-05 #6 POLOLOCK NYLON ROPE ORANGE (3MM)</t>
  </si>
  <si>
    <t>129/ROLL</t>
  </si>
  <si>
    <t>PL66370-06 #7 POLOLOCK NYLON ROPE ORANGE (3.5MM)</t>
  </si>
  <si>
    <t>148/ROLL</t>
  </si>
  <si>
    <t>PL66370-07 #8 POLOLOCK NYLON ROPE ORANGE (4MM)</t>
  </si>
  <si>
    <t>203/ROLL</t>
  </si>
  <si>
    <t>PL66370-08 #9 POLOLOCK NYLON ROPE ORANGE (4.5MM)</t>
  </si>
  <si>
    <t>245/ROLL</t>
  </si>
  <si>
    <t>PL66370-09 (LT77003-5) #10 POLOLOCK NYLON ROPE ORANGE (5MM)</t>
  </si>
  <si>
    <t>275/ROLL</t>
  </si>
  <si>
    <t>PL66370-10 #12 POLOLOCK NYLON ROPE ORANGE (6MM)</t>
  </si>
  <si>
    <t>430/ROLL</t>
  </si>
  <si>
    <t>PL66370-11 (LT77003-7) #14 POLOLOCK NYLON ROPE ORANGE (7MM)</t>
  </si>
  <si>
    <t>545/ROLL</t>
  </si>
  <si>
    <t>PL66370-12 (LT77003-8) #16 POLOLOCK NYLON ROPE ORANGE (8MM)</t>
  </si>
  <si>
    <t>663/ROLL</t>
  </si>
  <si>
    <t>PL66370-13 (LT77003-9) #18 POLOLOCK NYLON ROPE ORANGE (9MM)</t>
  </si>
  <si>
    <t>831/ROLL</t>
  </si>
  <si>
    <t>PL66370-14 #20 POLONET NYLON ROPE ORANGE (10MM)</t>
  </si>
  <si>
    <t>1040/ROLL</t>
  </si>
  <si>
    <t>PL66370-15 #22 POLOLOCK NYLON ROPE ORANGE (11MM)</t>
  </si>
  <si>
    <t>1335/ROLL</t>
  </si>
  <si>
    <t>PL66370-16 #24 POLOLOCK NYLON ROPE ORANGE (12MM)</t>
  </si>
  <si>
    <t>1508/ROLL</t>
  </si>
  <si>
    <t>PL66370-17 #26 POLOLOCK NYLON ROPE ORANGE (13MM)</t>
  </si>
  <si>
    <t>1828/ROLL</t>
  </si>
  <si>
    <t>PL66370-18 #28 POLOLOCK NYLON ROPE ORANGE (14MM)</t>
  </si>
  <si>
    <t>2150/ROLL</t>
  </si>
  <si>
    <t>PL66370-19 #32 POLOLCK NYLON ROPE ORANGE (16MM)</t>
  </si>
  <si>
    <t>2700/ROLL</t>
  </si>
  <si>
    <t>PL66370-20 (LT77003-17) #34 POLOLOCK NYLON ROPE ORANGE (17MM)</t>
  </si>
  <si>
    <t>3020/ROLL</t>
  </si>
  <si>
    <t>PL66370-21 #36 POLOLOCK NYLON ROPE ORANGE (18MM)</t>
  </si>
  <si>
    <t>3460/ROLL</t>
  </si>
  <si>
    <t>PL66370-22 (LT77003-19) #38 POLOLOCK NYLON ROPE ORANGE (19MM)</t>
  </si>
  <si>
    <t>3860/ROLL</t>
  </si>
  <si>
    <t>4230/ ROLL</t>
  </si>
  <si>
    <t>PL66370-31 POLONET NYLON ROPE BLUE 4MM*200m</t>
  </si>
  <si>
    <t>PL66370-33 POLONET NYLON ROPE BLUE 5MM*200m</t>
  </si>
  <si>
    <t>PL66370-34 POLONET NYLON ROPE BLUE 6MM*200m</t>
  </si>
  <si>
    <t>PL66370-35 POLONET NYLON ROPE BLUE 7MM*200m</t>
  </si>
  <si>
    <t>PL66370-36 POLONET NYLON ROPE BLUE 8MM*200m</t>
  </si>
  <si>
    <t>PL66370-37 POLONET NYLON ROPE BLUE 9MM*200m</t>
  </si>
  <si>
    <t>PL66370-39 POLONET NYLON ROPE BLUE 11MM*200m</t>
  </si>
  <si>
    <t>PL66370-40 POLONET NYLON ROPE BLUE 12MM*200m</t>
  </si>
  <si>
    <t>PL66370-41 POLONET NYLON ROPE BLUE 13MM*200m</t>
  </si>
  <si>
    <t>PL66370-42 POLONET NYLON ROPE BLUE 14MM*200m</t>
  </si>
  <si>
    <t>PL66370-43 POLONET NYLON ROPE BLUE 16MM*200m</t>
  </si>
  <si>
    <t>185/PC</t>
  </si>
  <si>
    <t>PL66301-2 POLOLOCK ELECTRODE HOLDER 500AMP</t>
  </si>
  <si>
    <t>285/PC</t>
  </si>
  <si>
    <t>PL66300-1 (LT99001-300A) POLONET ELECTRODE HOLDER 300AMP</t>
  </si>
  <si>
    <t>PL66300-2 (LT99001-500A) POLONET ELECTRODE HOLDER 500AMP</t>
  </si>
  <si>
    <t>PL66310-1 POLONET WELDING CABLE 38M</t>
  </si>
  <si>
    <t>12800 /ROLL</t>
  </si>
  <si>
    <t>PL66310-2 POLONET WELDING CABLE 50M</t>
  </si>
  <si>
    <t>17500 /ROLL</t>
  </si>
  <si>
    <t>1050/CTN</t>
  </si>
  <si>
    <t>1000/CTN</t>
  </si>
  <si>
    <t>PL88261-1 CUP HOOK W/ PVC COATED 1/2''</t>
  </si>
  <si>
    <t>90/GRS</t>
  </si>
  <si>
    <t>PL88261-2 CUP HOOK W/PVC COATED 5/8''</t>
  </si>
  <si>
    <t>92/GRS</t>
  </si>
  <si>
    <t>95/GRS</t>
  </si>
  <si>
    <t>PL88261-4 CUP HOOK W/PVC COATED 7/8 ''</t>
  </si>
  <si>
    <t>111/GRS</t>
  </si>
  <si>
    <t>113/GRS</t>
  </si>
  <si>
    <t>PL88261-6 CUP HOOK W/PVC COATED 1-1/4''</t>
  </si>
  <si>
    <t>140/GRS</t>
  </si>
  <si>
    <t>176/GRS</t>
  </si>
  <si>
    <t>PL88261-8 CUP HOOK W/PVC COATED 2''</t>
  </si>
  <si>
    <t>265/GRS</t>
  </si>
  <si>
    <t>PL88260-1 B/P CUP HOOK 1/2''</t>
  </si>
  <si>
    <t>35/GRS</t>
  </si>
  <si>
    <t>PL88260-2 B/P CUP HOOK 5/8 ''</t>
  </si>
  <si>
    <t>41/GRS</t>
  </si>
  <si>
    <t>PL88260-3 B/P CUP HOOK 3/4''</t>
  </si>
  <si>
    <t>46/GRS</t>
  </si>
  <si>
    <t>PL88260-4 B/P CUP HOOK 7/8''</t>
  </si>
  <si>
    <t>58/GRS</t>
  </si>
  <si>
    <t>PL88260-5 B/P CUP HOOK 1''</t>
  </si>
  <si>
    <t>60/GRS</t>
  </si>
  <si>
    <t>85/GRS</t>
  </si>
  <si>
    <t>PL88260-7 B/P CUP HOOK 1-1/2''</t>
  </si>
  <si>
    <t>121/GRS</t>
  </si>
  <si>
    <t>PL88260-8 B/P CUP HOOK 2''</t>
  </si>
  <si>
    <t>198/GRS</t>
  </si>
  <si>
    <t>PL88240 (PL88010) (808 TYPE) POLOLOCK DRAWER LOCK</t>
  </si>
  <si>
    <t>PL880241 (PL88011) (GOLD) POLOLOCK DRAWER LOCK</t>
  </si>
  <si>
    <t>PL88234-01 BAG-PLATED RED COPPER CABINET DRAWER HANDLES 4"(#2003)</t>
  </si>
  <si>
    <t>PL88234-02 BAG-PLATED RED COPPER CABINET DRAWER HANDLES 5"(#2003)</t>
  </si>
  <si>
    <t>PL88234-03 BAG-PLATED RED COPPER CABINET DRAWER HANDLES 6"(#2003)</t>
  </si>
  <si>
    <t>36/PC</t>
  </si>
  <si>
    <t>PL88234-04 BAG-PLATED RED COPPER CABINET DRAWER HANDLES 4"(#2004)</t>
  </si>
  <si>
    <t>PL88234-05 BAG-PLATED RED COPPER CABINET DRAWER HANDLES 5"(#2004)</t>
  </si>
  <si>
    <t>PL88234-06 BAG-PLATED RED COPPER CABINET DRAWER HANDLES 6"(#2004)</t>
  </si>
  <si>
    <t>PL88234-07 BAG-PLATED RED COPPER CABINET DRAWER HANDLES 4"(#1701)</t>
  </si>
  <si>
    <t>PL88234-08 BAG-PLATED RED COPPER CABINET DRAWER HANDLES 5"(#1701)</t>
  </si>
  <si>
    <t>PL88234-09 BAG-PLATED RED COPPER CABINET DRAWER HANDLES 6"(#1701)</t>
  </si>
  <si>
    <t>PL88234-10 BAG-PLATED RED COPPER CABINET DRAWER HANDLES 4"(#1702)</t>
  </si>
  <si>
    <t>PL88234-11 BAG-PLATED RED COPPER CABINET DRAWER HANDLES 5"(#1702)</t>
  </si>
  <si>
    <t>PL88234-12 BAG-PLATED RED COPPER CABINET DRAWER HANDLES 6"(#1702)</t>
  </si>
  <si>
    <t>PL88234-13 BAG-PLATED RED COPPER CABINET DRAWER HANDLES 4"(#1703)</t>
  </si>
  <si>
    <t>PL88234-14 BAG-PLATED RED COPPER CABINET DRAWER HANDLES 5"(#1703)</t>
  </si>
  <si>
    <t>PL88234-15 BAG-PLATED RED COPPER CABINET DRAWER HANDLES 6"(#1703)</t>
  </si>
  <si>
    <t>PL88233-01 BAG-PLATED BRONZE CABINET DRAWER HANDLES 4"(#2003)</t>
  </si>
  <si>
    <t>PL88233-02 BAG-PLATED BRONZE CABINET DRAWER HANDLES 5"(#2003)</t>
  </si>
  <si>
    <t>PL88233-03 BAG-PLATED BRONZE CABINET DRAWER HANDLES 6"(#2003)</t>
  </si>
  <si>
    <t>PL88233-04 BAG-PLATED BRONZE CABINET DRAWER HANDLES 4"(#2004)</t>
  </si>
  <si>
    <t>PL88233-05 BAG-PLATED BRONZE CABINET DRAWER HANDLES 5"(#2004)</t>
  </si>
  <si>
    <t>PL88233-06 BAG-PLATED BRONZE CABINET DRAWER HANDLES 6"(#2004)</t>
  </si>
  <si>
    <t>PL88233-07 BAG-PLATED BRONZE CABINET DRAWER HANDLES 4"(#1701)</t>
  </si>
  <si>
    <t>PL88233-08 BAG-PLATED BRONZE CABINET DRAWER HANDLES 5"(#1701)</t>
  </si>
  <si>
    <t>PL88233-09 BAG-PLATED BRONZE CABINET DRAWER HANDLES 6"(#1701)</t>
  </si>
  <si>
    <t>PL88233-10 BAG-PLATED BRONZE CABINET DRAWER HANDLES 4"(#1702)</t>
  </si>
  <si>
    <t>PL88233-11 BAG-PLATED BRONZE CABINET DRAWER HANDLES 5"(#1702)</t>
  </si>
  <si>
    <t>PL88233-12 BAG-PLATED BRONZE CABINET DRAWER HANDLES 6"(#1702)</t>
  </si>
  <si>
    <t>PL88233-13 BAG-PLATED BRONZE CABINET DRAWER HANDLES 4"(#1703)</t>
  </si>
  <si>
    <t>PL88233-14 BAG-PLATED BRONZE CABINET DRAWER HANDLES 5"(#1703)</t>
  </si>
  <si>
    <t>PL88233-15 BAG-PLATED BRONZE CABINET DRAWER HANDLES 6"(#1703)</t>
  </si>
  <si>
    <t>PL88232-1 (LT88006-4) SOLID DOOR PULL W/SCREW 4"</t>
  </si>
  <si>
    <t>81/DOZ</t>
  </si>
  <si>
    <t>PL88232-2 (LT88006-5) SOLID DOOR PULL W/SCREW 5"</t>
  </si>
  <si>
    <t>141/DOZ</t>
  </si>
  <si>
    <t>PL88232-3 (LT88006-6) SOLID DOOR PULL W/SCREW 6"</t>
  </si>
  <si>
    <t>155/DOZ</t>
  </si>
  <si>
    <t>PL88231-1 T-TYPE STAINLESS HANDLE LIGHT DUTY 4"</t>
  </si>
  <si>
    <t>8.8/PC</t>
  </si>
  <si>
    <t>PL88231-2 T-TYPE STAINLESS HANDLE LIGHT DUTY 6"</t>
  </si>
  <si>
    <t>PL88231-3 T-TYPE STAINLESS HANDLE LIGHT DUTY 8"</t>
  </si>
  <si>
    <t>PL88231-4 T-TYPE STAINLESS HANDLE LIGHT DUTY 10"</t>
  </si>
  <si>
    <t>PL88231-5 T-TYPE STAINLESS HANDLE LIGHT DUTY 12"</t>
  </si>
  <si>
    <t>PL88230-1 T-TYPE STAINLESS HANDLE HEAVY DUTY 4"</t>
  </si>
  <si>
    <t>PL88230-2 T-TYPE STAINLESS HANDLE HEAVY DUTY 6"</t>
  </si>
  <si>
    <t>PL88230-3 T-TYPE STAINLESS HANDLE HEAVY DUTY 8"</t>
  </si>
  <si>
    <t>PL88230-4 T-TYPE STAINLESS HANDLE HEAVY DUTY 10"</t>
  </si>
  <si>
    <t>PL88230-5 T-TYPE STAINLESS HANDLE HEAVY DUTY 12"</t>
  </si>
  <si>
    <t>PL88212-1 4" STAINLESS BOLT W/STAINLESS SCREW</t>
  </si>
  <si>
    <t>PL88212-2 6" STAINLESS BOLT W/STAINLESS SCREW</t>
  </si>
  <si>
    <t>PL88212-3 8" STAINLESS BOLT W/STAINLESS SCREW</t>
  </si>
  <si>
    <t>PL88211-2 POLOLOCK STAILESS BARREL BOLT W/HASPS 6''</t>
  </si>
  <si>
    <t>PL88211-3 POLOLOCK STAINLESS BARREL BOLTS W/ HASP 8"</t>
  </si>
  <si>
    <t>PL88211-4 POLOLOCK STAINLESS BARREL BOLTS W/ HASP 10"</t>
  </si>
  <si>
    <t>PL88210-1 (PL88035-2) 2'' POLOLOCK STAINLESS BARREL BOLT W/SCREW</t>
  </si>
  <si>
    <t>PL88210-2 (PL88035-3) 3'' POLOLOCK STAINLESS BARREL BOLT W/SCREW</t>
  </si>
  <si>
    <t>PL88210-3 (PL88035-4) 4'' POLOLOCK STAINLESS BARREL BOLT W/SCREW</t>
  </si>
  <si>
    <t>PL88210-4 (PL88035-5) 5'' POLOLOCK STAINLESS BARREL BOLT W/SCREW</t>
  </si>
  <si>
    <t>PL88210-5 (PL88035-6) 6'' POLOLOCK STAINLESS BARREL BOLT W/SCREW</t>
  </si>
  <si>
    <t>PL88201-1 POLONET BARREL BOLT CHROME PLATED 1-1/2"</t>
  </si>
  <si>
    <t>90/DOZ</t>
  </si>
  <si>
    <t>PL88201-2 POLONET BARREL BOLT CHROME PLATED 2"</t>
  </si>
  <si>
    <t>102/DOZ</t>
  </si>
  <si>
    <t>PL88201-3 POLONET BARREL BOLT CHROME PLATED 2-1/2"</t>
  </si>
  <si>
    <t>120/DOZ</t>
  </si>
  <si>
    <t>PL88201-4 POLONET BARREL BOLT CHROME PLATED 3"</t>
  </si>
  <si>
    <t>135/DOZ</t>
  </si>
  <si>
    <t>PL88201-5 POLONET BARREL BOLT CHROME PLATED 4"</t>
  </si>
  <si>
    <t>169/DOZ</t>
  </si>
  <si>
    <t>PL88220-2 (PL88047-4) 4'' POLOLOCK SAFETY HASPS STAINLESS W/SCREW</t>
  </si>
  <si>
    <t>Pl880220-3 (PL88047-5) 5'' POLOLOCK SAFETY HASPS STAINLESS W/SCREW</t>
  </si>
  <si>
    <t>ASSTD ORDER 10 CTN
+ 1 FREE CTN (ONLY 3X3 FREE)</t>
  </si>
  <si>
    <t xml:space="preserve">ASSTD ORDER 10 CTN + 1 FREE CTN "ASSTD ORDER 50CTN"					
+ 8 FREE CTN (ONLY FREE 3X3)	</t>
  </si>
  <si>
    <t>ASSTD ORDER 10 CTN
113/PC</t>
  </si>
  <si>
    <t>ADDITIONAL:
+ 1 CTN FREE (PL88240)</t>
  </si>
  <si>
    <t>5% ASSTD ORDER
50 CTN</t>
  </si>
  <si>
    <t>ASSTD 10 ORDER
+ 1 CTN FREE</t>
  </si>
  <si>
    <t>ASSTD ORDER  10 CTN
+ 1 CTN FREE ASSTD ORDER  20 CTN
+ 3 CTN FREE
(ONLY FREE PL88071-2 &amp; PL88071-3)</t>
  </si>
  <si>
    <t>ASSTD ORDER  10 CTN
+ 1 CTN FREE</t>
  </si>
  <si>
    <t>ASSTD ORDER 30CTN
+ 3 FREE CTN
(ONLY FREE PL88071-2 &amp; PL88071-3)</t>
  </si>
  <si>
    <t>ASSTD ORDER 10 CTN
+ 1 FREE CTN
( ONLY FREE PL88062 )</t>
  </si>
  <si>
    <t>ASSTD ORDER 20 CTN
+ 2 FREE CTN ASSTD ORDER 50 CTN
+ 10 FREE CTN (ONLY FREE 588-SS)</t>
  </si>
  <si>
    <t>ASSTD ORDER 10 CTN
+ 1 FREE CTN ASSTD ORDER 20 CTN
+ 3 FREE CTN
(ONLY FREE PL88027- D1 )</t>
  </si>
  <si>
    <t>ASSTD ORDER 10 CTN
+ 1 FREE CTN ASSTD ORDER 20 CTN
+ 3 FREE CTN
( ONLY FREE PL88026- 01AB OR PB)</t>
  </si>
  <si>
    <t>265/PC ASSTD ORDER 5 CTN</t>
  </si>
  <si>
    <t>ASSTD ORDER 10CTN
+ 1 CTN FREE ASSTD ORDER 20CTN
+ 3 CTN FREE
-
FREE ONLY SS/SSP</t>
  </si>
  <si>
    <t>630/PC</t>
  </si>
  <si>
    <t>585/PC ASSTD ORDER 3CTN</t>
  </si>
  <si>
    <t>338/PC</t>
  </si>
  <si>
    <t>305/PC ASSTD ORDER 5 CTN</t>
  </si>
  <si>
    <t>260/PC ASSTD ORDER 5 CTN</t>
  </si>
  <si>
    <t>ASSTD ORDER 20 CTN
+ 1 FREE CTN ASSTD ORDER 50 CTN
+ 5 FREE CTN
(ONLY FREE 587- SS)</t>
  </si>
  <si>
    <t>PL55171 ACRYLIC CAULKING SEALANT</t>
  </si>
  <si>
    <t>54/PC ASSTD ORDER
5 CTN</t>
  </si>
  <si>
    <t>2/PC</t>
  </si>
  <si>
    <t>3.9/PC ASSTD ORDER
10 CTN</t>
  </si>
  <si>
    <t>ASSTD ORDER 20 CTN
+
1 CTN FREE
(ONLY FREE #120)</t>
  </si>
  <si>
    <t>ASSTD ORDER 20 CTN
+
1 CTN FREE
-
(ONLY FREE #80 &amp; #100 )</t>
  </si>
  <si>
    <t>ASSTD ORDER 20 CTN
+
1 CTN FREE
- (ONLY FREE
#80 &amp;
#100 )</t>
  </si>
  <si>
    <t>PL66218-1 T.C.T CIRCULAR SAW BLADE 4"*30T</t>
  </si>
  <si>
    <t>50/PC ORDER 5 CTN</t>
  </si>
  <si>
    <t>ASSTD ORDER 5 CTN
+ 1CTN FREE</t>
  </si>
  <si>
    <t>PL66400 120MM*10MM*5MM CHALK STONE</t>
  </si>
  <si>
    <t>165/BOX</t>
  </si>
  <si>
    <t>160/BOX ORDER 5 CTN</t>
  </si>
  <si>
    <t>160/PC ORDER 5 CTN</t>
  </si>
  <si>
    <t>5% ASSTD ORDER
10 CTN</t>
  </si>
  <si>
    <t>605/CTN ASSTD ORDER 50CTN</t>
  </si>
  <si>
    <t>87/ROLL</t>
  </si>
  <si>
    <t>ORDER 10 CTN
+ 2CTN FREE</t>
  </si>
  <si>
    <t>ASSTD ORDER 20 CTN
+  FREE 1 CTN
-
(only free:  PL66490- 1)</t>
  </si>
  <si>
    <t>66/PC</t>
  </si>
  <si>
    <t>64/PC ASSTD ORDER
5 CTNS</t>
  </si>
  <si>
    <t>PL66511 POLOLOCK PPR HEATER /FUSHION WELD 1000W</t>
  </si>
  <si>
    <t>1288/SET</t>
  </si>
  <si>
    <t>ORDER 10 SET
+ 1 SET FREE</t>
  </si>
  <si>
    <t>PL66520 TUBE CUTTER 3-32MM</t>
  </si>
  <si>
    <t>BUY 3 CTN, 145/PC</t>
  </si>
  <si>
    <t>2750 /SACK</t>
  </si>
  <si>
    <t>2550 /SACK ASSTD ORDER 50 SACK</t>
  </si>
  <si>
    <t>PL55240 HARDIFLEX NAIL</t>
  </si>
  <si>
    <t>1350/CTN</t>
  </si>
  <si>
    <t>1050/CTN ASSTD ORDER     300
CTN</t>
  </si>
  <si>
    <t>-5% ASSTD ORDER
50 CTN</t>
  </si>
  <si>
    <t>-35%</t>
  </si>
  <si>
    <t>PL55084-01 1/2" PAN HEAD SCREW</t>
  </si>
  <si>
    <t>0.165/PC</t>
  </si>
  <si>
    <t>ORDER 5 CTN
+ 1CTN FREE</t>
  </si>
  <si>
    <t>ASSTD ORDER 20CTN
+ 1 FREE CTN
40 CTN
+ 2 FREE CTN</t>
  </si>
  <si>
    <t>-50% -5%</t>
  </si>
  <si>
    <t>HOG WIRE</t>
  </si>
  <si>
    <t>38/DOZ</t>
  </si>
  <si>
    <t>PL88192-2 SAFETY HASPS W/ SCREW 2''</t>
  </si>
  <si>
    <t>PL88192-3 SAFETY HASPS W/ SCREW 2.5''</t>
  </si>
  <si>
    <t>61/DOZ</t>
  </si>
  <si>
    <t>78/DOZ</t>
  </si>
  <si>
    <t>PL88192-5 SAFETY HASP W/SCREW 3.5''</t>
  </si>
  <si>
    <t>85/DOZ</t>
  </si>
  <si>
    <t>PL88192-6 SAFETY HASP W/SCREW 4''</t>
  </si>
  <si>
    <t>95/DOZ</t>
  </si>
  <si>
    <t>PL88191-1 (PL88034-1) POLOLOCK HEAVY PADLOCK HASP 2"</t>
  </si>
  <si>
    <t>PL88191-2 (PL88034-2) POLOLOCK HEAVY PADLOCK HASP 2.5"</t>
  </si>
  <si>
    <t>PL88191-3 (PL88034-3) POLOLOCK HEAVY DUTY PADLOCK HASP 3"</t>
  </si>
  <si>
    <t>PL88191-4 (PL88034-4) POLOLOCK HEAVY DUTY PADLOCK HASP 4.5"</t>
  </si>
  <si>
    <t>PL88190-1 (PL88032-1) 2.5'' POLOLOK HASP LOCK</t>
  </si>
  <si>
    <t>PL88190-2 (PL88032-2) 3'' POLOLOK HASP LOCK</t>
  </si>
  <si>
    <t>115/PC</t>
  </si>
  <si>
    <t>PL88190-3 (PL88032-3) 4'' POLOLOCK HASP LOCK</t>
  </si>
  <si>
    <t>PL88181-06 STAINLESS DUAL HINGE STAINLESS 4"*3"*2.5MM</t>
  </si>
  <si>
    <t>65/PAIR</t>
  </si>
  <si>
    <t>PL88181-07 STAINLESS DUAL HINGE MATTE BLACK 4"*3"*2.5MM</t>
  </si>
  <si>
    <t>72/PAIR</t>
  </si>
  <si>
    <t>PL88181-01 POLOLOCK STAINLESS NARROW BUTT HINGES W/ SCREW 1.5''</t>
  </si>
  <si>
    <t>52/CARD</t>
  </si>
  <si>
    <t>PL88181-02 POLOLOCK STAINLESS NARROW BUTT HINGES W/ SCREW 2''</t>
  </si>
  <si>
    <t>56/CARD</t>
  </si>
  <si>
    <t>PL88181-03 POLOLOCK STAINLESS NARROW BUTT HINGES W/ SCREW 2.5''</t>
  </si>
  <si>
    <t>36/CARD</t>
  </si>
  <si>
    <t>PL88181-04 POLOLOCK STAINLESS NARROW BUTT HINGES W/ SCREW 3''</t>
  </si>
  <si>
    <t>42/CARD</t>
  </si>
  <si>
    <t>PL88181-05 POLOLOCK STAINLESS NARROW BUTT HINGES W/ SCREW 3.5''</t>
  </si>
  <si>
    <t>54/CARD</t>
  </si>
  <si>
    <t>29/DOZ</t>
  </si>
  <si>
    <t>32/DOZ</t>
  </si>
  <si>
    <t>47/DOZ</t>
  </si>
  <si>
    <t>66/DOZ</t>
  </si>
  <si>
    <t>112/DOZ</t>
  </si>
  <si>
    <t>PL88184-7 NARROW BUTTS 505-B 4"</t>
  </si>
  <si>
    <t>31/DOZ</t>
  </si>
  <si>
    <t>62/DOZ</t>
  </si>
  <si>
    <t>92/DOZ</t>
  </si>
  <si>
    <t>PL88183-5 NARROW BUTTS 838-B 3"</t>
  </si>
  <si>
    <t>134/DOZ</t>
  </si>
  <si>
    <t>198/DOZ</t>
  </si>
  <si>
    <t>220/DOZ</t>
  </si>
  <si>
    <t>PL88182-1 (LT88003-1) POLONET NARROW BUTTS BRASS PLATED 1"</t>
  </si>
  <si>
    <t>39/DOZ</t>
  </si>
  <si>
    <t>PL88182-2 (LT88003-1.5) POLONET NARROW BUTTS BRASS PLATED 1.5"</t>
  </si>
  <si>
    <t>49.50/DOZ</t>
  </si>
  <si>
    <t>PL88182-3 (LT88003-2) POLONET NARROW BUTTS BRASS PLATED 2"</t>
  </si>
  <si>
    <t>87/DOZ</t>
  </si>
  <si>
    <t>PL88182-4 (LT88003-2.5) POLONET NARROW BUTTS BRASS PLATED 2.5"</t>
  </si>
  <si>
    <t>117/DOZ</t>
  </si>
  <si>
    <t>PL88182-5 (LT88003-3) POLONET NARROW BUTTS BRASS PLATED 3"</t>
  </si>
  <si>
    <t>PL88182-6 (LT88003-3.5) POLONET NARROW BUTTS BRASS PLATED 3.5"</t>
  </si>
  <si>
    <t>228/DOZ</t>
  </si>
  <si>
    <t>PL88182-7 (LT88003-4) POLONET NARROWS BUTTS BRASS PLATED 4"</t>
  </si>
  <si>
    <t>335/DOZ</t>
  </si>
  <si>
    <t>168/PAIR</t>
  </si>
  <si>
    <t>PL88181-3 4X4 POLOLOCK STAINLESS BALL EARING HINGES</t>
  </si>
  <si>
    <t>198/PAIR</t>
  </si>
  <si>
    <t>PL88181-4 4X3 POLOLOCK STAINLESS BALL BEARING HINGES</t>
  </si>
  <si>
    <t>PL88185-1 POLOLOCK LOOSE PIN HINGES 3''*3''*2MM</t>
  </si>
  <si>
    <t>40/PAIR</t>
  </si>
  <si>
    <t>PL88185-2 POLOLOCK LOOSE PIN HINGES 3.5''*3.5''*2MM</t>
  </si>
  <si>
    <t>50/PAIR</t>
  </si>
  <si>
    <t>55/PAIR</t>
  </si>
  <si>
    <t>PL88180-7 LOOSE PIN HINGES (STAINLESS) 3''*3''*1.9MM</t>
  </si>
  <si>
    <t>31/PAIR</t>
  </si>
  <si>
    <t>PL88180-8 LOOSE PIN HINGES (STAINLESS) 3.5''*3.5''*1.9MM</t>
  </si>
  <si>
    <t>37/PAIR</t>
  </si>
  <si>
    <t>PL88180-9 LOOSE PIN HINGES (STAINLESS) 4''*4''*1.9MM</t>
  </si>
  <si>
    <t>43/PAIR</t>
  </si>
  <si>
    <t>PL88180-1 (PL88015-3) 3X3 POLOLOCK LOOSE PIN HINGES</t>
  </si>
  <si>
    <t>60/PAIR</t>
  </si>
  <si>
    <t>70/PAIR</t>
  </si>
  <si>
    <t>PL88170-1 (PL88045-3) 3KEYS'' POLOLOCK SOLID BRASS COMBINATION PADLOCK</t>
  </si>
  <si>
    <t>PL88170-2 (PL88045-4) 4KEYS'' POLOLOCK SOLID BRASS COMBINATION PADLOCK</t>
  </si>
  <si>
    <t>225/PC</t>
  </si>
  <si>
    <t>PL88160-1 (PL88051-1) BICYCLE LOCK KST FOUR-DIGIT COMBINATION LOCK 12X1500MM</t>
  </si>
  <si>
    <t>215/PC</t>
  </si>
  <si>
    <t>PL88160--2 (PL88051-2) BICYCLE LOCK KST STEEL CABLE LOCK 10X650MM</t>
  </si>
  <si>
    <t>PL88160-3 (PL88051-3) BICYCLE LOCK KST STEEL CABLE LOCK 10X650MM</t>
  </si>
  <si>
    <t>PL88160-4 (PL88051-4) (8MMX1800)POLOLOCK BICYCLE LOCK</t>
  </si>
  <si>
    <t>PL88160-5 (PL88051-5) (12MMX650MM)POLOLOCK BICYCLE LOCK</t>
  </si>
  <si>
    <t>PL88160-6 (PL88051-6) (12MMX1200MM) POLOLOCK BICYCLE LOCK</t>
  </si>
  <si>
    <t>PL88150-1 (PL88019-S30) POLOLOCK TOP SECURITY LOCK 30MM SHORT SHACKLE</t>
  </si>
  <si>
    <t>PL88150-2 (PL88019-S40) POLOLOCK TOP SECURITY LOCK 40MM SHORT SHACKLE</t>
  </si>
  <si>
    <t>PL88150-3 (PL88019-S50) POLOLOCK TOP SECURITY LOCK 50MM SHORT SHACKLE</t>
  </si>
  <si>
    <t>PL88150-4 (PL88019-S60) POLOLOCK TOP SECURITY LOCK 60MM SHORT SHACKLE</t>
  </si>
  <si>
    <t>PL88150-5 (PL88019-L30) POLOLOCK TOP SECURITY LOCK 30MM lONG SHACKLE</t>
  </si>
  <si>
    <t>PL88150-6 (PL88019-L40) POLOLOCK TOP SECURITY LOCK 40MM LONG SHACKLE</t>
  </si>
  <si>
    <t>PL88150-7 (PL88019-L50) POLOLOCK TOP SECURITY LOCK 50MM LONG SHACKLE</t>
  </si>
  <si>
    <t>PL88150-8 (PL88019-L60) POLOLOCK TOP SECURITY LOCK 60MM LONG SHACKLE</t>
  </si>
  <si>
    <t>PL88142-3 POLOLOCK BRASS SIDE KEY PADLOCK 30MM</t>
  </si>
  <si>
    <t>PL88141-1 (PL88046-20) 20MM POLOLOCK BRASS PADLOCK</t>
  </si>
  <si>
    <t>PL88141-2 (PL88046-25) 25MM POLOLOCK BRASS PADLOCK</t>
  </si>
  <si>
    <t>PL88141-3 (PL88046-30) 30MM POLOLOCK BRASS PADLOCK</t>
  </si>
  <si>
    <t>PL88141-4 (PL88046-35) 35MM POLOLOCK BRASS PADLOCK</t>
  </si>
  <si>
    <t>PL88141-5 (PL88046-40) 40MM POLOLOCK BRASS PADLOCK</t>
  </si>
  <si>
    <t>PL88141-6 (PL88046-45) 45MM POLOLOCK BRASS PADLOCK</t>
  </si>
  <si>
    <t>PL88141-7 (PL88046-50) 50MM POLOLOCK BRASS PADLOCK</t>
  </si>
  <si>
    <t>PL88141-8 (PL88046-60) 60MM POLOLOCK BRASS PADLOCK</t>
  </si>
  <si>
    <t>PL88140-02 (PL88014-S30) POLOLOCK HEAVY DUTY BRASS PADLOCK 30MM SHORT SHACKLE</t>
  </si>
  <si>
    <t>PL88140-04 (PL88014-S50) POLOLOCK HEAVY DUTY BRASS PADLOCK 50MM SHORT SHACKLE</t>
  </si>
  <si>
    <t>254/PC</t>
  </si>
  <si>
    <t>PL88140-06 (PL88014-L20) POLOLOCK HEAVY DUTY BRASS PADLOCK 20MM LONG SHACKLE</t>
  </si>
  <si>
    <t>PL88140-07 (PL88014-L25) L25 POLOLOCK HEAVY DUTY BRASS PADLOCK 25MM LONG SHACKLE</t>
  </si>
  <si>
    <t>PL88140-08 (PL88014-L30) POLOLOCK HEAVY DUTY BRASS PADLOCK 30MM LONG SHACKLE</t>
  </si>
  <si>
    <t>PL88140-09 (PL88014-L40) POLOLOCK HEAVY DUTY BRASS PADLOCK 40MM LONG SHACKLE</t>
  </si>
  <si>
    <t>PL88140-10 (PL88014-L50) POLOLOCK HEAVY DUTY BRASS PADLOCK 50MM LONG SHACKLE</t>
  </si>
  <si>
    <t>PL88140-11 (PL88014-L60) POLOLOCK HEAVY DUTY BRASS PADLOCK 60MM LONG SHACKLE</t>
  </si>
  <si>
    <t>385/PC</t>
  </si>
  <si>
    <t>PL88130-1 (PL88049-S40) POLOLOCK WATERPROOF PADLOCK SHORT SHACKLE 40MM</t>
  </si>
  <si>
    <t>PL88130-2 (PL88049-S50) POLOLOCK WATERPROOF PADLOCK SHORT SHACKLE 50MM</t>
  </si>
  <si>
    <t>218/PC</t>
  </si>
  <si>
    <t>PL88130-3 (PL88049-L40) POLOLOCK WATERPROOF PADLOCK LONG SHACKLE 40MM</t>
  </si>
  <si>
    <t>188/PC</t>
  </si>
  <si>
    <t>PL88130-4 (PL88049-L50) POLOLOCK WATERPROOF PADLOCK LONG SHACKLE 50MM</t>
  </si>
  <si>
    <t>210/PC</t>
  </si>
  <si>
    <t>PL88120-2 (PL88009-S40) POLOLOCK LAMINATED PADLOCK 40MM SHORT SHACKLE</t>
  </si>
  <si>
    <t>PL88120-3 (PL88009-S50) POLOLOCK LAMINATED PADLOCK 50MM SHORT SHACKLE</t>
  </si>
  <si>
    <t>200/PC</t>
  </si>
  <si>
    <t>PL88120-4 (PL88009-S65) POLOLOCK LAMINATED PADLOCK 65MM SHORT SHACKLE</t>
  </si>
  <si>
    <t>350/PC</t>
  </si>
  <si>
    <t>PL88110-1 4X5 POLOLOCK SHELF BRACKET</t>
  </si>
  <si>
    <t>80/D.P</t>
  </si>
  <si>
    <t>PL88110-2 5X6 POLOLOCK SHELF BRACKET</t>
  </si>
  <si>
    <t>90/DP</t>
  </si>
  <si>
    <t>PL88110-3 6X8 POLOLOCK SHELF BRACKET</t>
  </si>
  <si>
    <t>120/DP</t>
  </si>
  <si>
    <t>PL88110-4 8X10 POLOLOCK SHELF BRACKET</t>
  </si>
  <si>
    <t>170/DP</t>
  </si>
  <si>
    <t>PL88110-5 10X12 POLOLOCK SHELF BRACKET</t>
  </si>
  <si>
    <t>240/DP</t>
  </si>
  <si>
    <t>PL88110-6 12X14 POLOLOCK SHELF BRACKET</t>
  </si>
  <si>
    <t>300/DP</t>
  </si>
  <si>
    <t>PL88101-1 (PL88024-2) 20-45KG POLOLOCK DOOR CLOSER SILVER</t>
  </si>
  <si>
    <t>805/PC</t>
  </si>
  <si>
    <t>975/PC</t>
  </si>
  <si>
    <t>PL88101-3 20-45KG POLOLOCK DOOR CLOSER BROWN</t>
  </si>
  <si>
    <t>PL88101-4 40-65KG POLOLOCK DOOR CLOSER BROWN</t>
  </si>
  <si>
    <t>PL88100-1 POLOLOCK SCREEN DOOR CLOSER BROWN</t>
  </si>
  <si>
    <t>PL88100-2 POLOLOCK SCREEN DOOR CLOSER SILVER</t>
  </si>
  <si>
    <t>PL88093-1 3-FOLD SOFT CLOSING SLIDE MATTE BLACK 12"</t>
  </si>
  <si>
    <t>108/PAIR</t>
  </si>
  <si>
    <t>PL88093-2 3-FOLD SOFT CLOSING SLIDE MATTE BLACK 14"</t>
  </si>
  <si>
    <t>119/PAIR</t>
  </si>
  <si>
    <t>PL88093-3 3-FOLD SOFT CLOSING SLIDE MATTE BLACK 16"</t>
  </si>
  <si>
    <t>130/PAIR</t>
  </si>
  <si>
    <t>PL88093-4 3-FOLD SOFT CLOSING SLIDE MATTE BLACK 18"</t>
  </si>
  <si>
    <t>141/PAIR</t>
  </si>
  <si>
    <t>PL88093-5 3-FOLD SOFT CLOSING SLIDE MATTE BLACK 20"</t>
  </si>
  <si>
    <t>152/PAIR</t>
  </si>
  <si>
    <t>PL88093-6 3-FOLD SOFT CLOSING SLIDE MATTE BLACK 22"</t>
  </si>
  <si>
    <t>163/PAIR</t>
  </si>
  <si>
    <t>PL88093-7 3-FOLD SOFT CLOSING SLIDE MATTE BLACK 24"</t>
  </si>
  <si>
    <t>172/PAIR</t>
  </si>
  <si>
    <t>PL88092-1 POLOLOCK 3-FOLD CLOSING SLIDE WHITE ZINC PLATING 12''</t>
  </si>
  <si>
    <t>202/PAIR</t>
  </si>
  <si>
    <t>PL88092-2 POLOLOCK 3-FOLD CLOSING SLIDE WHITE ZINC PLATING 14''</t>
  </si>
  <si>
    <t>222/PAIR</t>
  </si>
  <si>
    <t>PL88092-3 POLOLOCK 3-FOLD CLOSING SLIDE WHITE ZINC PLATING 16''</t>
  </si>
  <si>
    <t>242/PAIR</t>
  </si>
  <si>
    <t>PL88092-4 POLOLOCK 3-FOLD CLOSING SLIDE WHITE ZINC PLATING 18''</t>
  </si>
  <si>
    <t>262/PAIR</t>
  </si>
  <si>
    <t>PL88092-5 POLOLOCK 3-FOLD CLOSING SLIDE WHITE ZINC PLATING 20''</t>
  </si>
  <si>
    <t>284/PAIR</t>
  </si>
  <si>
    <t>PL88092-6 POLOLOCK 3-FOLD CLOSING SLIDE 22''</t>
  </si>
  <si>
    <t>302/PAIR</t>
  </si>
  <si>
    <t>PL88090-1 POLOLOCK DRAWER SLIDE BALL BEARING THREE-FOLD BLACK 10"</t>
  </si>
  <si>
    <t>84/PAIR</t>
  </si>
  <si>
    <t>PL88090-2 POLOLOCK DRAWER SLIDE BALL BEARING THREE-FOLD BLACK 12"</t>
  </si>
  <si>
    <t>102/PAIR</t>
  </si>
  <si>
    <t>PL88090-3 POLOLOCK DRAWER SLIDE BALL BEARING THREE-FOLD BLACK 14"</t>
  </si>
  <si>
    <t>116/PAIR</t>
  </si>
  <si>
    <t>PL88090-4 POLOLOCK DRAWER SLIDE BALL BEARING THREE-FOLD BLACK 16"</t>
  </si>
  <si>
    <t>132/PAIR</t>
  </si>
  <si>
    <t>PL88090-5 POLOLOCK DRAWER SLIDE BALL BEARING THREE-FOLD BLACK 18"</t>
  </si>
  <si>
    <t>148/PAIR</t>
  </si>
  <si>
    <t>PL88090-6 POLOLOCK DRAWER SLIDE BALL BEARING THREE-FOLD BLACK 20"</t>
  </si>
  <si>
    <t>162/PAIR</t>
  </si>
  <si>
    <t>PL88090-7 POLOLOCK DRAWER SLIDE BALL BEARING THREE-FOLD BLACK 22"</t>
  </si>
  <si>
    <t>178/PAIR</t>
  </si>
  <si>
    <t>PL88090-8 POLOLOCK DRAWER SLIDE BALL BEARING THREE-FOLD BLACK 24"</t>
  </si>
  <si>
    <t>44/PAIR</t>
  </si>
  <si>
    <t>52/PAIR</t>
  </si>
  <si>
    <t>60/PAIRS</t>
  </si>
  <si>
    <t>68/PAIR</t>
  </si>
  <si>
    <t>76/PAIR</t>
  </si>
  <si>
    <t>92/PAIR</t>
  </si>
  <si>
    <t>PL88080-01 CYLINDRICAL HINGES 3/8' - 11*60MM</t>
  </si>
  <si>
    <t>4.1/PC</t>
  </si>
  <si>
    <t>PL88080-02 CYLINDRICAL HINGES 1/2"- 13*70MM</t>
  </si>
  <si>
    <t>5.2/PC</t>
  </si>
  <si>
    <t>PL88080-03 CYLINDRICAL HINGES 5/8"- 16*80MM</t>
  </si>
  <si>
    <t>PL88080-04 CYLINDRICAL HINGES 3/4"- 18*80MM</t>
  </si>
  <si>
    <t>PL88080-05 CYLINDRICAL HINGES 3/4- 18*90MM</t>
  </si>
  <si>
    <t>12.1/PC</t>
  </si>
  <si>
    <t>PL88080- 06 CYLINDRICAL HINGES 1"- 24*80MM</t>
  </si>
  <si>
    <t>19.8/PC</t>
  </si>
  <si>
    <t>PL88080-07 CYLINDRICAL HINGES 1"- 24*110MM</t>
  </si>
  <si>
    <t>PL88080-08 CYLINDRICAL HINGES 1- 1/2"38*110M</t>
  </si>
  <si>
    <t>PL88072-1 HYDRAULIC CLIP-ON CONCEALED HINGES C-1 OVER LAP</t>
  </si>
  <si>
    <t>100/PAIR</t>
  </si>
  <si>
    <t>PL88072-2 HYDRAULIC CLIP-ON CONCEALED HINGES C-2 HALF LAP</t>
  </si>
  <si>
    <t>PL88072-3 HYDRAULIC CLIP-ON CONCEALED HINGES C-3 INSET</t>
  </si>
  <si>
    <t>PL88071-1 POLOLOCK ORDINARY CONCEALED HINGES</t>
  </si>
  <si>
    <t>PL88071-2 POLOLOCK ORDINARY CONCEALED HINGES</t>
  </si>
  <si>
    <t>PL88071-3 POLOLOCK ORDINARY CONCEALED HINGES</t>
  </si>
  <si>
    <t>PL88070-4 MATTE BLACK HYDRAULIC PRESSURE CONCEALED HINGES C-1 OVER LAP</t>
  </si>
  <si>
    <t>PL88070-5 MATTE BLACK HYDRAULIC PRESSURE CONCEALED HINGES C-2 HALF LAP</t>
  </si>
  <si>
    <t>PL88070-6 MATTE BLACK HYDRAULIC PRESSURE CONCEALED HINGES C-3 INSET</t>
  </si>
  <si>
    <t>PL88070-1 (PL88003-HC1) POLOLOCK HYDRAULIC CONCEALED HINGES OVERLAP</t>
  </si>
  <si>
    <t>PL88070-2 (PL88003-HC2) POLOLOCK HYDRAULIC CONCEALED HINGES HALF LAP</t>
  </si>
  <si>
    <t>PL88070-3 (PL88003-HC3) POLOLOCK HYDRAULIC CONCEALED HINGES INSET</t>
  </si>
  <si>
    <t>PL88061 (LT88001-588SS) POLONET ENTRANCE LOCKSET 588ET-SS</t>
  </si>
  <si>
    <t>PL88062 (LT88002-588SSBK) POLONET BATHROOM LOCKSET 588BK-SS</t>
  </si>
  <si>
    <t>PL88060-1 (LT88007-1) POLONET 588 ENTRANCE LOCKSET PB</t>
  </si>
  <si>
    <t>PL88060-2 (LT88007-2) POLONET 588 ENTRANCE LOCKSET AB</t>
  </si>
  <si>
    <t>PL88060-3 (LT88007-3) POLONET 588 ENTRANCE LOCKSET SS</t>
  </si>
  <si>
    <t>PL88054-D2SN POLOLOCK H2D2 HANDLESET LOCK</t>
  </si>
  <si>
    <t>1988/PC</t>
  </si>
  <si>
    <t>PL88054-D2AB POLOLOCK H2D2 HANDLESET LOCK</t>
  </si>
  <si>
    <t>PL88054-D2CP POLOLOCK H2D2 HANDLESET LOCK</t>
  </si>
  <si>
    <t>PL88054-D2MB POLOLOCK H2D2 HANDLESET LOCK</t>
  </si>
  <si>
    <t>PL88054-D2PB POLOLOCK H2D2 HANDLESET LOCK</t>
  </si>
  <si>
    <t>PL88027-D2SN POLOLOCK H1D2 HANDLESET LOCK</t>
  </si>
  <si>
    <t>1798/PC</t>
  </si>
  <si>
    <t>PL88027-D2PB POLOLOCK H1D2 HANDLESET LOCK</t>
  </si>
  <si>
    <t>PL88027-D2MB POLOLOCK H1D2 HANDLESET LOCK</t>
  </si>
  <si>
    <t>PL88027-D2AB POLOLOCK H1D2 HANDLESET LOCK</t>
  </si>
  <si>
    <t>PL88027-D2CP POLOLOCK H1D2HANDLESET LOCK</t>
  </si>
  <si>
    <t>PL88027-D1SN POLOLOCK H1D1 HANDLESET LOCK</t>
  </si>
  <si>
    <t>1688/PC</t>
  </si>
  <si>
    <t>PL88027-D1PB POLOLOCK H1D1 HANDLESET LOCK</t>
  </si>
  <si>
    <t>PL88027-D1AB POLOLOCK H1D1 HANDLESET LOCK</t>
  </si>
  <si>
    <t>PL88027-D1CP POLOLOCK H1D1 HANDLESET LOCK</t>
  </si>
  <si>
    <t>PL88026-01MB POLOLOCK COMBO LOCKSET 587+D101MB</t>
  </si>
  <si>
    <t>738/PC</t>
  </si>
  <si>
    <t>PL88026-01SS POLOLOCK COMBO LOCKSET 587+D101SS</t>
  </si>
  <si>
    <t>638/PC</t>
  </si>
  <si>
    <t>PL88026-01SSP POLOLOCK COMBO LOCKSET 587+D101SSP</t>
  </si>
  <si>
    <t>PL88026-01AB POLOLOCK COMBO LOCKSET 587+D101-AB</t>
  </si>
  <si>
    <t>PL88026-01PB POLOLOCK COMBO LOCKSET 587+D101PB</t>
  </si>
  <si>
    <t>PL88026-02MB POLOLOCK COMBO LOCKSET 587+D102MB</t>
  </si>
  <si>
    <t>PL88026-02SS POLOLOCK COMBO LOCKSET 587+D102-SS</t>
  </si>
  <si>
    <t>PL88026-02SSP POLOLOCK COMBO LOCKSET 587+D102-SSP</t>
  </si>
  <si>
    <t>PL88026-02AB POLOLOCK COMBO LOCKSET 587+D102-AB</t>
  </si>
  <si>
    <t>PL88026-02PB POLOLOCK COMBO LOCKSET 587+D102-PB</t>
  </si>
  <si>
    <t>PL88025-SN #576 POLOLOCK TUBULAR KNOB SET</t>
  </si>
  <si>
    <t>438/PC</t>
  </si>
  <si>
    <t>PL88025-PB #576 POLOLOCK TUBULAR KNOB SET</t>
  </si>
  <si>
    <t>PL88025-CP #576 POLOLOCK TUBULAR KNOBSET</t>
  </si>
  <si>
    <t>PL88025- MB #576 POLOLOCK TUBULAR KNOBSET</t>
  </si>
  <si>
    <t>PL88024-SS #587 TUBULAR KNOBSET LOCK</t>
  </si>
  <si>
    <t>PL88024-SSP #587 TUBULAR KNOBSET LOCK</t>
  </si>
  <si>
    <t>PL88024-MB #587 TUBULAR KNOBSET LOCK</t>
  </si>
  <si>
    <t>PL88017-SN HEAVY DUTY TUBULAR LEVERSET LOCK 8807ET-SN</t>
  </si>
  <si>
    <t>PL88017-AB HEAVY DUTY TUBULAR LEVERSET LOCK 8807ET- AB</t>
  </si>
  <si>
    <t>PL88017-CP HEAVY DUTY TUBULAR LEVERSET LOCK 8807ET -CP</t>
  </si>
  <si>
    <t>PL88017-MB HEAVY DUTY TUBULAR LEVERSET LOCK 8807ET-MB</t>
  </si>
  <si>
    <t>588/PC</t>
  </si>
  <si>
    <t>PL88012-CP POLOLOCK TUBULAR LEVER LOCK DOOR 1860ET-CP</t>
  </si>
  <si>
    <t>PL88012-MB POLOLOCK TUBULAR LEVER DOOR LOCK 1860ET-MB</t>
  </si>
  <si>
    <t>PL88012-PB POLOLOCK TUBULAR LEVER DOOR LOCK 1860ET-PB</t>
  </si>
  <si>
    <t>PL88013-AB POLOLOCK TUBULAR LEVER DOOR LOCK 3820ET-AB</t>
  </si>
  <si>
    <t>PL88013-MB POLOLOCK TUBULAR LEVER DOOR LOCK 3820ET-MB</t>
  </si>
  <si>
    <t>PL88013-PB POLOLOCK TUBULAR LEVER DOOR LOCK 3820ET-PB</t>
  </si>
  <si>
    <t>PL88006-01SS POLOLOCK D101 SINGLE CYLINDER DEADBOLT</t>
  </si>
  <si>
    <t>PL88006-01AB POLOLOCK D101 SINGLE CYLINDER DEADBOLT</t>
  </si>
  <si>
    <t>PL88006-01PB POLOLOCK D101 SINGLE CYLINDER DEADBOLT</t>
  </si>
  <si>
    <t>PL88006-01 MB POLOLOCK D101 SINGLE CYLINDER DEADBOLT</t>
  </si>
  <si>
    <t>PL88006-02SSP POLOLOCK D102 DOUBLE CYLINDER DEADBOLT SSP</t>
  </si>
  <si>
    <t>PL88006-02MB POLOLOCK D102 SINGLE CYLINDER DEADBOLT</t>
  </si>
  <si>
    <t>PL88005-DYP POLOLOCK RIM DEADLOCK DOUBLE CYLINDER</t>
  </si>
  <si>
    <t>698/PC</t>
  </si>
  <si>
    <t>PL88005-DSN POLOLOCK RIM DEADLOCK DOUBLE CYLINDER</t>
  </si>
  <si>
    <t>798/PC</t>
  </si>
  <si>
    <t>PL88005-DAB POLOLOCK RIM DEADLOCK DOUBLE CYLINDER</t>
  </si>
  <si>
    <t>PL88005-SYP POLOLOCK RIM DEADLOCK SINGLE CYLINDER</t>
  </si>
  <si>
    <t>598/PC</t>
  </si>
  <si>
    <t>PL88005-SSN POLOLOCK RIM DEADLOCK SINGLE CYLINDER</t>
  </si>
  <si>
    <t>PL88005-SAB POLOLOCK RIM DEADLOCK SINGLE CYLINDER</t>
  </si>
  <si>
    <t>PL88004-SN POLOLOCK RIM LOCK</t>
  </si>
  <si>
    <t>568/PC</t>
  </si>
  <si>
    <t>PL88004-AB-POLOLOCK RIMLOCK</t>
  </si>
  <si>
    <t>PL88004-PB POLOLOCK RIM LOCK</t>
  </si>
  <si>
    <t>468/PC</t>
  </si>
  <si>
    <t>PL88001-588 SSBK POLOLOCK CYLINDRICAL KNOB SET</t>
  </si>
  <si>
    <t>113/PC</t>
  </si>
  <si>
    <t>PL88001-588 SS POLOLOCK CYLINDRICAL KNOB SET</t>
  </si>
  <si>
    <t>PL88001-588 AB POLOLOCK CYLINDRICAL KNOB SET</t>
  </si>
  <si>
    <t>PL88001-588 PB POLOLOCK CYLINDRICAL KNOB SET</t>
  </si>
  <si>
    <t>PL88001-587 SS POLOLOCK CYLINDRICAL KNOBSET</t>
  </si>
  <si>
    <t>PL88001-587 SSP POLOLOCK CYLINDRICAL KNOBSET</t>
  </si>
  <si>
    <t>PL88001-587 AB POLOLOCK CYLINDRICAL KNOBSET</t>
  </si>
  <si>
    <t>335/PC</t>
  </si>
  <si>
    <t>PL88001-587 MB POLOLOCK CYLINDRICAL KNOBSET</t>
  </si>
  <si>
    <t>PL88001-587 PB POLOLOCK CYLINDRICAL KNOBSET</t>
  </si>
  <si>
    <t>30/BAG</t>
  </si>
  <si>
    <t>37/BAG</t>
  </si>
  <si>
    <t>36/BAG</t>
  </si>
  <si>
    <t>26.5/BAG</t>
  </si>
  <si>
    <t>PL55270-1 5# TOX WALL PLUG W/STOPPER</t>
  </si>
  <si>
    <t>8.1/BAG</t>
  </si>
  <si>
    <t>PL55270-2 6# TOX WALL PLUG W/STOPPER</t>
  </si>
  <si>
    <t>10/BAG</t>
  </si>
  <si>
    <t>PL55270-3 8# TOX WALL PLUG W/STOPPER</t>
  </si>
  <si>
    <t>20/BAG</t>
  </si>
  <si>
    <t>PL55270-4 10# TOX WALL PLUG W/STOPPER</t>
  </si>
  <si>
    <t>J275011 SQUARE PIPE CLAMP 1/4"-6mm</t>
  </si>
  <si>
    <t>12.5/ S.BOX</t>
  </si>
  <si>
    <t>J275012 SQUARE PIPE CLAMP 5/16"-8mm</t>
  </si>
  <si>
    <t>15/S.BOX</t>
  </si>
  <si>
    <t>J275013 SQUARE PIPE CLAMP 3/8"-10mm</t>
  </si>
  <si>
    <t>19/S.BOX</t>
  </si>
  <si>
    <t>PL55260-4 SQUARE PIPE CLAMP 1/2"-12mm</t>
  </si>
  <si>
    <t>22/S.BOX</t>
  </si>
  <si>
    <t>J275001 CIRCULAR PIPE CLAMP 1/4"-6mm</t>
  </si>
  <si>
    <t>13/S.BOX</t>
  </si>
  <si>
    <t>PL55261-2 CIRCULAR PIPE CLAMP 5/16"-8mm</t>
  </si>
  <si>
    <t>16/S.BOX</t>
  </si>
  <si>
    <t>PL55261-3 CIRCULAR PIPE CLAMP 3/8"-10mm</t>
  </si>
  <si>
    <t>21/S.BOX</t>
  </si>
  <si>
    <t>PL55261-4 CIRCULAR PIPE CLAMP 1/2"-12mm</t>
  </si>
  <si>
    <t>28/S.BOX</t>
  </si>
  <si>
    <t>J275005 CIRCULAR PIPE CLAMP 3/4"-18mm</t>
  </si>
  <si>
    <t>62/S.BOX</t>
  </si>
  <si>
    <t>J275006 CIRCULAR PIPE CLAMP 1"-25mm</t>
  </si>
  <si>
    <t>PL55250-1 INSULATED STAPLE 1/2"-16*9*1.6mm</t>
  </si>
  <si>
    <t>20/S.BOX</t>
  </si>
  <si>
    <t>PL55250-2 INSULATED STAPLE 3/4"-18*11*1.6mm</t>
  </si>
  <si>
    <t>PL55250-3" INSULATED STAPLE 1"-21*13*1.8mm</t>
  </si>
  <si>
    <t>25/S.BOX</t>
  </si>
  <si>
    <t>PL55210-1 SINGLE HOLE CLAMP 1/2"</t>
  </si>
  <si>
    <t>0.67/PC</t>
  </si>
  <si>
    <t>PL55210-2 SINGLE HOLE CLAMP 3/4"</t>
  </si>
  <si>
    <t>0.91/PC</t>
  </si>
  <si>
    <t>PL55210-3 SINGLE HOLE CLAMP 1"</t>
  </si>
  <si>
    <t>1.86/PC</t>
  </si>
  <si>
    <t>PL55210-4 DOUBLE HOLE CLAMP 1/2"</t>
  </si>
  <si>
    <t>0.78/PC</t>
  </si>
  <si>
    <t>PL55210-5 DOUBLE HOLE CLAMP 3/4"</t>
  </si>
  <si>
    <t>1.1/PC</t>
  </si>
  <si>
    <t>PL55210-6 DOUBLE HOLE CLAMP 1"</t>
  </si>
  <si>
    <t>2.15/PC</t>
  </si>
  <si>
    <t>PL66340-1 #10 DARK WELDING LENS GLASS</t>
  </si>
  <si>
    <t>PL66340-2 #12 DARK WELDING LENS GLASS</t>
  </si>
  <si>
    <t>PL66340-3 WELDING LENS CLEAR GLASS (TRANSPARENT)</t>
  </si>
  <si>
    <t>PL66330-1 BLUE WELDING MASK W/HANDLE</t>
  </si>
  <si>
    <t>PL66330-2 BLUE WELDING MASK W/HEAD MOUNTED OPEN TYPE</t>
  </si>
  <si>
    <t>PL33004-1 #60 POLOLOCK SAND PAPER</t>
  </si>
  <si>
    <t>PL33004-2 #80 POLOLOCK SAND PAPER</t>
  </si>
  <si>
    <t>PL33004-3 #100 POLOLOCK SAND PAPER</t>
  </si>
  <si>
    <t>PL33004-4 #120 POLOLOCK SAND PAPER</t>
  </si>
  <si>
    <t>PL33004-5 #150 POLOLOCK SAND PAPER</t>
  </si>
  <si>
    <t>PL33004-6 #180 POLOLOCK SAND PAPER</t>
  </si>
  <si>
    <t>PL33004-7 #240 POLOLOCK SAND PAPER</t>
  </si>
  <si>
    <t>PL33004-8 #320 POLOLOCK SAND PAPER</t>
  </si>
  <si>
    <t>PL33004-9 #400 POLOLOCK SAND PAPER</t>
  </si>
  <si>
    <t>PL33004-10 #600 POLOLOCK SAND PAPER</t>
  </si>
  <si>
    <t>PL33004-11 #1000 POLOLOCK SAND PAPER</t>
  </si>
  <si>
    <t>PL33004-12 #1200 POLOLOCK SAND PAPER</t>
  </si>
  <si>
    <t>PL66183-1 (PL33005-36) POLOLOCK FLOOR SANDING ROLL #36</t>
  </si>
  <si>
    <t>2400/ROLL</t>
  </si>
  <si>
    <t>PL66183-2 (PL33005-60) POLOLOCK FLOOR SANDING ROLL #60</t>
  </si>
  <si>
    <t>2070/ROLL</t>
  </si>
  <si>
    <t>PL66183-3 (PL33005-80) POLOLOCK FLOOR SANDING ROLL #80</t>
  </si>
  <si>
    <t>1920/ROLL</t>
  </si>
  <si>
    <t>PL66183-4 (PL33005-100) POLOLOCK FLOOR SANDING ROLL #100</t>
  </si>
  <si>
    <t>1800/ROLL</t>
  </si>
  <si>
    <t>PL66183-01 FLOOR SANDING ROLL FOR METAL #36</t>
  </si>
  <si>
    <t>1950/ROLL</t>
  </si>
  <si>
    <t>PL66183-02 FLOOR SANDING ROLL FOR METAL #60</t>
  </si>
  <si>
    <t>1600/ROLL</t>
  </si>
  <si>
    <t>PL66183-03 FLOOR SANDING ROLL FOR METAL #80</t>
  </si>
  <si>
    <t>PL66183-04 FLOOR SANDING ROLL FOR METAL #100</t>
  </si>
  <si>
    <t>41.5/pc</t>
  </si>
  <si>
    <t>68.5/pc</t>
  </si>
  <si>
    <t>49/pc</t>
  </si>
  <si>
    <t>76/pc</t>
  </si>
  <si>
    <t>PL66501-1 CIRCULAR WIRE BRUSH 4"</t>
  </si>
  <si>
    <t>PL66501-2 CIRCULAR WIRE BRUSH 6"</t>
  </si>
  <si>
    <t>PL66501-3 CIRCULAR WIRE BRUSH 8"</t>
  </si>
  <si>
    <t>PL66180-1 107*1.2*16MM POLONET CUT OFF WHEEL #4</t>
  </si>
  <si>
    <t>PL66180-2 107*1.2*16MM POLOLOCK CUT-OFF WHEEL</t>
  </si>
  <si>
    <t>PL66180-3 POLONET CUTTING WHEELS BLACK 14"</t>
  </si>
  <si>
    <t>PL66184-1 4"GRINDING WHEELS 100*6*16MM</t>
  </si>
  <si>
    <t>PL66184-2 7'' POLOLOCK METAL GRINDING WHEELS</t>
  </si>
  <si>
    <t>PL66211-1 POLOLOCK DIAMOND CUTTING WHEEL DRY 4"</t>
  </si>
  <si>
    <t>PL66211-2 POLOLOCK DIAMOND CUTTING WHEEL TURBO 4"</t>
  </si>
  <si>
    <t>PL66212 POLOLOCK DIAMOND CUTTING WHEEL SUPERTHIN FOR MARBLE TURBO 4"</t>
  </si>
  <si>
    <t>PL66214 POLOLOCK DIAMOND CUTTING WHEEL TURBO 7"</t>
  </si>
  <si>
    <t>PL66215-1 DIAMOND GRINDING CUP WHEEL 90MM*5MM*20MM</t>
  </si>
  <si>
    <t>PL66430-1 POLONET STAPLES 6M</t>
  </si>
  <si>
    <t>12/BOX</t>
  </si>
  <si>
    <t>PL66430-2 POLONET STAPLES 8M</t>
  </si>
  <si>
    <t>13/BOX</t>
  </si>
  <si>
    <t>PL66430-3 POLONET STAPLES 10M</t>
  </si>
  <si>
    <t>14/BOX</t>
  </si>
  <si>
    <t>672/CTN</t>
  </si>
  <si>
    <t>PL66480-1 AMETEK PRESSURE GAUGE 2"*#60</t>
  </si>
  <si>
    <t>PL66480-2 AMETEK PRESSURE GAUGE 2"*#100</t>
  </si>
  <si>
    <t>PL66480-3 AMETEK PRESSURE GAUGE 2"*#160</t>
  </si>
  <si>
    <t>PL66480-4 AMETEK PRESSURE GAUGE 2"*#200</t>
  </si>
  <si>
    <t>PL66480-5 AMETEK PRESSURE GAUGE 2"*#300</t>
  </si>
  <si>
    <t>PL66480-6 AMETEKPRESSURE GAUGE 2"*#400</t>
  </si>
  <si>
    <t>PL66480-7 AMETEK PRESSURE GAUGE 2"*#500</t>
  </si>
  <si>
    <t>PL66480-8 AMETEK PRESSURE GAUGE 2"*#600</t>
  </si>
  <si>
    <t>PL66590-01 SHIP CHAIN 1/8"</t>
  </si>
  <si>
    <t>PL66590-02 SHIP CHAIN 3/16"</t>
  </si>
  <si>
    <t>PL66590-03 SHIP CHAIN 1/4"</t>
  </si>
  <si>
    <t>PL66590-04 SHIP CHAIN 5/16"</t>
  </si>
  <si>
    <t>PL66590-05 SHIP CHAIN 3/8"</t>
  </si>
  <si>
    <t>PL66590-06 SHIP CHAIN 1/2"</t>
  </si>
  <si>
    <t>PL55010-1 (LT55001-01) 1/4" DYNA BOLT</t>
  </si>
  <si>
    <t>PL55010-2 (LT55001-02) 5/16" DYNA BOLT</t>
  </si>
  <si>
    <t>2.85/PC</t>
  </si>
  <si>
    <t>PL55010-3 (LT55001-03) 3/8" DYNA BOLT</t>
  </si>
  <si>
    <t>4.8/PC</t>
  </si>
  <si>
    <t>PL55010-4 (LT55001-04) 1/2" DYNA BOLT</t>
  </si>
  <si>
    <t>7.8/PC</t>
  </si>
  <si>
    <t>PL55010-5 (LT55001-05) 5/8" DYNA BOLT</t>
  </si>
  <si>
    <t>22.8/PC</t>
  </si>
  <si>
    <t>PL55230-1 GRIP ANCHOR 1/4"</t>
  </si>
  <si>
    <t>1.25/PC</t>
  </si>
  <si>
    <t>PL55230-2 GRIP ANCHOR 5/16"</t>
  </si>
  <si>
    <t>1.6/PC</t>
  </si>
  <si>
    <t>PL55230-3 GRIP ANCHOR 3/8"</t>
  </si>
  <si>
    <t>1.9/PC</t>
  </si>
  <si>
    <t>PL55230-4 GRIP ANCHOR 1/2"</t>
  </si>
  <si>
    <t>PL55050-1 1/2 POWER SMOOTH NAIL</t>
  </si>
  <si>
    <t>61/BOX</t>
  </si>
  <si>
    <t>PL55050-2 5/8 POWER SMOOTH NAIL</t>
  </si>
  <si>
    <t>58/BOX</t>
  </si>
  <si>
    <t>PL55050-3 3/4 POWER SMOOTH NAIL</t>
  </si>
  <si>
    <t>53/BOX</t>
  </si>
  <si>
    <t>PL55050-4 7/8 POWER SMOOTH NAIL</t>
  </si>
  <si>
    <t>51/BOX</t>
  </si>
  <si>
    <t>1110/CTN</t>
  </si>
  <si>
    <t>PL55070-1 EXPANSION SHIELD 1/4"*25mm</t>
  </si>
  <si>
    <t>PL55070-2 EXPANSION SHIELD 1/4"*40mm</t>
  </si>
  <si>
    <t>5.25/PC</t>
  </si>
  <si>
    <t>PL55070-3 EXPANSION SHIELD 5/16"*30mm</t>
  </si>
  <si>
    <t>PL55070-4 EXPANSION SHIELD 5/16"*45mm</t>
  </si>
  <si>
    <t>PL55070-5 EXPANSION SHIELD 3/8"*45mm</t>
  </si>
  <si>
    <t>8.75/PC</t>
  </si>
  <si>
    <t>PL55070-6 EXPANSION SHIELD 3/8"*60mm</t>
  </si>
  <si>
    <t>PL55070-7 EXPANSION SHIELD 1/2"*50mm</t>
  </si>
  <si>
    <t>11.50/PC</t>
  </si>
  <si>
    <t>PL55070-8 EXPANSION SHIELD 1/2"*75mm</t>
  </si>
  <si>
    <t>114/BOX</t>
  </si>
  <si>
    <t>132/BOX</t>
  </si>
  <si>
    <t>82/BOX</t>
  </si>
  <si>
    <t>102/BOX</t>
  </si>
  <si>
    <t>142/BOX</t>
  </si>
  <si>
    <t>133/BOX</t>
  </si>
  <si>
    <t>93/BOX</t>
  </si>
  <si>
    <t>55/BOX</t>
  </si>
  <si>
    <t>68/BOX</t>
  </si>
  <si>
    <t>83/BOX</t>
  </si>
  <si>
    <t>122/BOX</t>
  </si>
  <si>
    <t>0.55/PC</t>
  </si>
  <si>
    <t>0.65/PC</t>
  </si>
  <si>
    <t>0.75/PC</t>
  </si>
  <si>
    <t>0.8/PC</t>
  </si>
  <si>
    <t>0.85/PC</t>
  </si>
  <si>
    <t>0.95/PC</t>
  </si>
  <si>
    <t>1.2/PC</t>
  </si>
  <si>
    <t>PL55085-01 TEK SCREW FOR METAL 4.8*25mm</t>
  </si>
  <si>
    <t>PL55085-03 TEK SCREW FOR METAL 4.8*45mm</t>
  </si>
  <si>
    <t>PL55085-04 TEK SCREW FOR METAL 4.8*50mm</t>
  </si>
  <si>
    <t>PL55085-05 TEK SCREW FOR METAL 4.8*55mm</t>
  </si>
  <si>
    <t>PL55085-06 TEK SCREW FOR METAL 4.8*65mm</t>
  </si>
  <si>
    <t>PL55085-08 TEK SCREW FOR METAL 4.8*75mm</t>
  </si>
  <si>
    <t>PL55085-13 TEK SCREW FOR WOOD 4.8*50mm</t>
  </si>
  <si>
    <t>PL55085-14 TEK SCREW FOR WOOD 4.8*55mm</t>
  </si>
  <si>
    <t>PL55085-15 TEK SCREW FOR WOOD 4.8*65mm</t>
  </si>
  <si>
    <t>PL55085-17 TEK SCREW FOR WOOD 4.8*75mm</t>
  </si>
  <si>
    <t>PL55082-00 (LT55020-1) LAGSCREW 1/4" x 1"</t>
  </si>
  <si>
    <t>105/BOX</t>
  </si>
  <si>
    <t>140/BOX</t>
  </si>
  <si>
    <t>PL55082-02 (LT55020-3) LAGSCREW 1/4" x 2"</t>
  </si>
  <si>
    <t>180/BOX</t>
  </si>
  <si>
    <t>220/BOX</t>
  </si>
  <si>
    <t>PL55082-04 (LT55020-5) LAGSCREW 1/4" x 3"</t>
  </si>
  <si>
    <t>245/BOX</t>
  </si>
  <si>
    <t>PL55082-05 (LT55020-6) LAGSCREW 1/4" x 3-1/2"</t>
  </si>
  <si>
    <t>240/BOX</t>
  </si>
  <si>
    <t>PL55082-06 (LT55020-7) LAGSCREW 1/4" x 4"</t>
  </si>
  <si>
    <t>330/BOX</t>
  </si>
  <si>
    <t>PL55082-07 (LT55020-8) LAGSCREW 5/16" x 1"</t>
  </si>
  <si>
    <t>PL55082-09 (LT55020-10) LAGSCREW 5/16" x 2"</t>
  </si>
  <si>
    <t>280/BOX</t>
  </si>
  <si>
    <t>395/BOX</t>
  </si>
  <si>
    <t>450/BOX</t>
  </si>
  <si>
    <t>510/BOX</t>
  </si>
  <si>
    <t>120/BOX</t>
  </si>
  <si>
    <t>PL55082-15 (LT55020-16) LAGSCREW 3/8" x 1-1/2"</t>
  </si>
  <si>
    <t>160/BOX</t>
  </si>
  <si>
    <t>205/BOX</t>
  </si>
  <si>
    <t>250/BOX</t>
  </si>
  <si>
    <t>PL55082-18 (LT55020-19) LAGSCREW 3/8" x 3"</t>
  </si>
  <si>
    <t>290/BOX</t>
  </si>
  <si>
    <t>PL55082-19 (LT55020-20) LAGSCREW 3/8" x 3-1/2"</t>
  </si>
  <si>
    <t>335/BOX</t>
  </si>
  <si>
    <t>PL55082-20 (LT55020-21) LAGSCREW 3/8" x 4"</t>
  </si>
  <si>
    <t>370/BOX</t>
  </si>
  <si>
    <t>PL55082-23 (LT55020-24) LAGSCREW 1/2" x 2"</t>
  </si>
  <si>
    <t>210/BOX</t>
  </si>
  <si>
    <t>320/BOX</t>
  </si>
  <si>
    <t>PL55082-27 (LT55020-28) LAGSCREW 1/2" x 4"</t>
  </si>
  <si>
    <t>360/BOX</t>
  </si>
  <si>
    <t>PL55083-01 3.9*3/4" HARDIFLEX SCREW w/ 8 NIBS</t>
  </si>
  <si>
    <t>0.175/PC</t>
  </si>
  <si>
    <t>PL55083-02 3.9*1" HARDIFLEX SCREW w/ 8 NIBS</t>
  </si>
  <si>
    <t>0.205/PC</t>
  </si>
  <si>
    <t>PL55083-03 3.9*1-1/4" HARDIFLEX SCREW w/ 8 NIBS</t>
  </si>
  <si>
    <t>0.275/PC</t>
  </si>
  <si>
    <t>PL55083-04 3.9*1-1/2" HARDIFLEX SCREW w/ 8 NIBS</t>
  </si>
  <si>
    <t>0.35/PC</t>
  </si>
  <si>
    <t>PL55083-05 3.9*2" HARDIFLEX SCREW w/ 8 RIBS</t>
  </si>
  <si>
    <t>0.425/PC</t>
  </si>
  <si>
    <t>1190/CTN</t>
  </si>
  <si>
    <t>66/BOX</t>
  </si>
  <si>
    <t>PL55160-1 1/2"*20MM POLONET PVC CLAMP BLUE</t>
  </si>
  <si>
    <t>51/PACK</t>
  </si>
  <si>
    <t>PL55160-2 3/4"*25MM POLONET PVC CLAMP BLUE</t>
  </si>
  <si>
    <t>70/PACK</t>
  </si>
  <si>
    <t>PL55160-3 1"*32MM POLONET PVC CLAMP BLUE</t>
  </si>
  <si>
    <t>PL55160-5 3/4"*25MM POLONET PVC CLAMP ORANGE</t>
  </si>
  <si>
    <t>PL55160-6 1"*32MM POLONET PVC CLAMP ORANGE</t>
  </si>
  <si>
    <t>PL550200-1 (LT55002-123) WELDED WIRE(GALVANIZED) BWG16*1/2"*3'*22M(N.W31.2)</t>
  </si>
  <si>
    <t>PL550200-2 (LT55002-124) WELDED WIRE GALVANIZED BWG16*1/2"*4'*22M(N.W41.8)</t>
  </si>
  <si>
    <t>3350/ROLL</t>
  </si>
  <si>
    <t>1720/ROLL</t>
  </si>
  <si>
    <t>2120/ROLL</t>
  </si>
  <si>
    <t>1900/ROLL</t>
  </si>
  <si>
    <t>PL550202-1 COATED WELDED WIRE BWG19**1/2"*3'*22M (N.W11.5)</t>
  </si>
  <si>
    <t>920/ROLL</t>
  </si>
  <si>
    <t>PL550202-2 COATED WELDED WIRE BWG19**1/2"*4'*22M(N.W15.4)</t>
  </si>
  <si>
    <t>1200/ ROLL</t>
  </si>
  <si>
    <t>PL550202-3 COATED WELDED WIRE 1*3(N.W5.8)</t>
  </si>
  <si>
    <t>600/ROLL</t>
  </si>
  <si>
    <t>PL550202-4 COATED WELDED WIRE BWG21**1"*4'*22M(N.W7.7)</t>
  </si>
  <si>
    <t>780/ROLL</t>
  </si>
  <si>
    <t>535/ROLL</t>
  </si>
  <si>
    <t>805/ROLL</t>
  </si>
  <si>
    <t>1080/ROLL</t>
  </si>
  <si>
    <t>167/ROLL</t>
  </si>
  <si>
    <t>216/ROLL</t>
  </si>
  <si>
    <t>270/ROLL</t>
  </si>
  <si>
    <t>324/ROLL</t>
  </si>
  <si>
    <t>100/ROLL</t>
  </si>
  <si>
    <t>135/ROLL</t>
  </si>
  <si>
    <t>165/ROLL</t>
  </si>
  <si>
    <t>195/ROLL</t>
  </si>
  <si>
    <t>1050/ROLL</t>
  </si>
  <si>
    <t>1750/ROLL</t>
  </si>
  <si>
    <t>2100/ROLL</t>
  </si>
  <si>
    <t>540/ROLL</t>
  </si>
  <si>
    <t>605/ROLL</t>
  </si>
  <si>
    <t>660/ROLL</t>
  </si>
  <si>
    <t>PL22150-1 4"*4" POLONET STRAINER</t>
  </si>
  <si>
    <t>250/PC ASSTD ORDER ALL SINK 10CTN</t>
  </si>
  <si>
    <t>320/PC ASSTD ORDER ALL SINK 10CTN</t>
  </si>
  <si>
    <t>490/PC ASSTD ORDER ALL SINK 10CTN</t>
  </si>
  <si>
    <t>600/PC ASSTD ORDER ALL SINK 10CTN</t>
  </si>
  <si>
    <t>500/PC ASSTD ORDER ALL SINK 10CTN</t>
  </si>
  <si>
    <t>205/PC ASSTD ORDER ALL SINK 10CTN</t>
  </si>
  <si>
    <t>990/PC ASSTD ORDER ALL SINK 10CTN</t>
  </si>
  <si>
    <t>1200/PC ASSTD ORDER ALL SINK 10CTN</t>
  </si>
  <si>
    <t>1485/PC ASSTD ORDER ALL SINK 10CTN</t>
  </si>
  <si>
    <t>1275/PC ASSTD ORDER ALL SINK 10CTN</t>
  </si>
  <si>
    <t>1560/PC ASSTD ORDER ALL SINK 10CTN</t>
  </si>
  <si>
    <t>1300/PC ASSTD ORDER ALL SINK 10CTN</t>
  </si>
  <si>
    <t>1600/PC ASSTD ORDER ALL SINK 10CTN</t>
  </si>
  <si>
    <t>1670/PC ASSTD ORDER ALL SINK 10CTN</t>
  </si>
  <si>
    <t>2000/PC ASSTD ORDER ALL SINK 10CTN</t>
  </si>
  <si>
    <t>1800/PC ASSTD ORDER ALL SINK 10CTN</t>
  </si>
  <si>
    <t>2150/PC ASSTD ORDER ALL SINK 10CTN</t>
  </si>
  <si>
    <t>2350/SET ASSTD ORDER 5 CTN</t>
  </si>
  <si>
    <t>3150/SET ASSTD ORDER 5 CTN</t>
  </si>
  <si>
    <t>3600/SET ASSTD ORDER 5 CTN</t>
  </si>
  <si>
    <t>810/ROLL ASSTD ORDER 20 ROLLS</t>
  </si>
  <si>
    <t>900/ROLL ASSTD ORDER 20 ROLLS</t>
  </si>
  <si>
    <t>1070/ROLL ASSTD ORDER 20 ROLLS</t>
  </si>
  <si>
    <t>1460/ROLL ASSTD ORDER 20 ROLLS</t>
  </si>
  <si>
    <t>1770/ROLL ASSTD ORDER 20 ROLLS</t>
  </si>
  <si>
    <t>1910/ROLL ASSTD ORDER 20 ROLLS</t>
  </si>
  <si>
    <t>2180/ROLL ASSTD ORDER 20 ROLLS</t>
  </si>
  <si>
    <t>2500/ROLL ASSTD ORDER 20 ROLL</t>
  </si>
  <si>
    <t>3300/ROLL ASSTD ORDER 20 ROLL</t>
  </si>
  <si>
    <t>5800/ROLL ASSTD ORDER 20 ROLLS</t>
  </si>
  <si>
    <t>17.5/PC ASSTD ORDER 5 CTN</t>
  </si>
  <si>
    <t>18.5/PC ASSTD ORDER 5 CTN</t>
  </si>
  <si>
    <t>19.5/PC ASSTD ORDER 5 CTN</t>
  </si>
  <si>
    <t>1100/PC ASSTD ORDER 10 CTN</t>
  </si>
  <si>
    <t>2130/PC ASSTD ORDER 10 CTN</t>
  </si>
  <si>
    <t>185/ROLL ASSTD ORDER 50 ROLLS</t>
  </si>
  <si>
    <t>255/ROLL ASSTD ORDER 50 ROLLS</t>
  </si>
  <si>
    <t>330/ROLL ASSTD ORDER 50 ROLLS</t>
  </si>
  <si>
    <t>430/ROLL ASSTD ORDER 50 ROLLS</t>
  </si>
  <si>
    <t>685/ROLL ASSTD ORDER 50 ROLLS</t>
  </si>
  <si>
    <t>PL22060-1 CHROME PIPE 1/2"</t>
  </si>
  <si>
    <t>PL22060-2 CHROME PIPE 3/4"</t>
  </si>
  <si>
    <t>PL22060-3 CHROME PIPE 1"</t>
  </si>
  <si>
    <t>PL22010-1 (LTSN001-12) 1/2 POLONET TEFLON TAPE</t>
  </si>
  <si>
    <t>PL22010-2 (LTSN002-34) 3/4 POLONET TEFLON TAPE</t>
  </si>
  <si>
    <t>PL22010-3 (LTSN002-1) 1" POLONET TEFLON TAPE</t>
  </si>
  <si>
    <t>40/PC ASSTD ORDER 10CTN</t>
  </si>
  <si>
    <t>43PC ASSTD ORDER 10CTN</t>
  </si>
  <si>
    <t>45/PC ASSTD ORDER 10CTN</t>
  </si>
  <si>
    <t>47/PC ASSTD ORDER 10CTN</t>
  </si>
  <si>
    <t>49/PC ASSTD ORDER 10CTN</t>
  </si>
  <si>
    <t>52/PC ASSTD ORDER 10CTN</t>
  </si>
  <si>
    <t>55/PC ASSTD ORDER 10CTN</t>
  </si>
  <si>
    <t>72/PC ASSTD ORDER  5CTN</t>
  </si>
  <si>
    <t>152/PC ASSTD ORDER 5 CTN</t>
  </si>
  <si>
    <t>162/PC ASSTD ORDER 5 CTN</t>
  </si>
  <si>
    <t>105/SET ASSTD ORDER 5CTN</t>
  </si>
  <si>
    <t>130/SET ASSTD ORDER 5CTN</t>
  </si>
  <si>
    <t>155/SET ASSTD ORDER  5CTN</t>
  </si>
  <si>
    <t>280/PC ASSTD ORDER 5CTN</t>
  </si>
  <si>
    <t>340/PC ASSTD ORDER 5CTN</t>
  </si>
  <si>
    <t>415/PC ASSTD ORDER 5CTN</t>
  </si>
  <si>
    <t>225/PC ASSTD ORDER 5CTN</t>
  </si>
  <si>
    <t>290/PC ASSTD ORDER 5CTN</t>
  </si>
  <si>
    <t>335/PC ASSTD ORDER 5CTN</t>
  </si>
  <si>
    <t>350/PC ASSTD ORDER 5CTN</t>
  </si>
  <si>
    <t>143/PC ASSTD ORDER 5 CTNS</t>
  </si>
  <si>
    <t>153/PC ASSTD ORDER 5 CTNS</t>
  </si>
  <si>
    <t>220/PC ASSTD ORDER 3 CTN</t>
  </si>
  <si>
    <t>235/PC ASSTD ORDER 3 CTN</t>
  </si>
  <si>
    <t>235/PC ASSTD ORDER 2 CTN</t>
  </si>
  <si>
    <t>255/PC ASSTD ORDER 2 CTN</t>
  </si>
  <si>
    <t>43/PC  ASSTD ORDER 5CTN</t>
  </si>
  <si>
    <t>50/PC  ASSTD ORDER 5CTN</t>
  </si>
  <si>
    <t>52/PC  ASSTD ORDER 5CTN</t>
  </si>
  <si>
    <t>73/PC  ASSTD ORDER 5CTN</t>
  </si>
  <si>
    <t>83/PC  ASSTD ORDER 5CTN</t>
  </si>
  <si>
    <t>103/PC ASSTD ORDER 5CTN</t>
  </si>
  <si>
    <t>68//PC ASSTD ORDER 5 CTN</t>
  </si>
  <si>
    <t>136/PC ASSTD ORDER 5 CTNS</t>
  </si>
  <si>
    <t>60/PC ASSTD ORDER 5CTN</t>
  </si>
  <si>
    <t>68/PC ASSTD ORDER 5CTN</t>
  </si>
  <si>
    <t>78/PC ASSTD ORDER 5CTN</t>
  </si>
  <si>
    <t>125/PC ASSTD ORDER 5 CTN</t>
  </si>
  <si>
    <t>130/PC ASSTD ORDER 5 CTN</t>
  </si>
  <si>
    <t>145/PC ASSTD ORDER 5 CTN</t>
  </si>
  <si>
    <t>160/PC ASSTD ORDER 5 CTN</t>
  </si>
  <si>
    <t>137/PC ASSTD ORDER 5 CTN</t>
  </si>
  <si>
    <t>147/PC ASSTD ORDER 5 CTN</t>
  </si>
  <si>
    <t>155/PC ASSTD ORDER 5 CTN</t>
  </si>
  <si>
    <t>183/PC ASSTD ORDER 5 CTN</t>
  </si>
  <si>
    <t>205/PC ASSTD ORDER 5 CTN</t>
  </si>
  <si>
    <t>145/PC ASSTD ORDER 3 CTN</t>
  </si>
  <si>
    <t>155/PC ASSTD ORDER 3 CTN</t>
  </si>
  <si>
    <t>175/PC ASSTD ORDER 3 CTN</t>
  </si>
  <si>
    <t>190/PC ASSTD ORDER 3 CTN</t>
  </si>
  <si>
    <t>60/PC  ASSTD ORDER 5CTN</t>
  </si>
  <si>
    <t>79/PC  ASSTD ORDER 5CTN</t>
  </si>
  <si>
    <t>106/PC ASSTD ORDER 5CTN</t>
  </si>
  <si>
    <t>174/PC ASSTD ORDER 5CTN</t>
  </si>
  <si>
    <t>294/PC ASSTD ORDER 5CTN</t>
  </si>
  <si>
    <t>438/PC ASSTD ORDER 5CTN</t>
  </si>
  <si>
    <t>115/PC ASSTD ORDER 3 CTN</t>
  </si>
  <si>
    <t>250/PC ASSTD ORDER 3 CTN</t>
  </si>
  <si>
    <t>10.5/PC ASSTD ORDER  5CTN</t>
  </si>
  <si>
    <t>25.5/PC ASSTD ORDER  5CTN</t>
  </si>
  <si>
    <t>1.5/PC ASSTD ORDER  5CTN</t>
  </si>
  <si>
    <t>1.65/PC ASSTD ORDER 10CTN</t>
  </si>
  <si>
    <t>5.50/PC ASSTD ORDER 10CTN</t>
  </si>
  <si>
    <t>139/PC ASSTD ORDER  5CTN</t>
  </si>
  <si>
    <t>57/PC ORDER 5CTN</t>
  </si>
  <si>
    <t>101/PC ASSTD ORDER 5 CTN</t>
  </si>
  <si>
    <t>121/PC ASSTD ORDER 5 CTN</t>
  </si>
  <si>
    <t>25.5/PC ASSTD ORDER 5 CTN</t>
  </si>
  <si>
    <t>26.5/PC ASSTD ORDER 5 CTN</t>
  </si>
  <si>
    <t>100/PC ASSTD ORDER 10 CTN</t>
  </si>
  <si>
    <t>105/PC ASSTD ORDER 10 CTN</t>
  </si>
  <si>
    <t>120/PC ASSTD ORDER 20 CTN</t>
  </si>
  <si>
    <t>PL66130-1 POLONET WOOD HANDLE ROUND POINT SHOVEL #518</t>
  </si>
  <si>
    <t>PL66130-2 POLONET WOOD HANDLE SQUARE SHOVEL #501</t>
  </si>
  <si>
    <t>PL66131-1 POLONET ROUND POINT ALL STEEL SHOVEL #518</t>
  </si>
  <si>
    <t>PL66131-2 POLONET SQUARE ALL STEEL SHOVEL #501</t>
  </si>
  <si>
    <t>PL66131-3 POLONET STEEL SCOOP SHOVEL</t>
  </si>
  <si>
    <t>PL66131-4 POLONET SPADE ALL STEEL SHOVEL #512</t>
  </si>
  <si>
    <t>24/PC ORDER 5 CTN</t>
  </si>
  <si>
    <t>142/PC ASSTD ORDER 10BUNDLE</t>
  </si>
  <si>
    <t>28.5/PC ASSTD ORDER 5 CTN</t>
  </si>
  <si>
    <t>34.5/PC ASSTD ORDER 5 CTN</t>
  </si>
  <si>
    <t>38/DOZ ASSTD ORDER 5 CTN</t>
  </si>
  <si>
    <t>42/DOZ ASSTD ORDER 5 CTN</t>
  </si>
  <si>
    <t>80/PC ASSTD ORDER 10 CTN</t>
  </si>
  <si>
    <t>90/PC
ASSTD ORDER 10 CTN</t>
  </si>
  <si>
    <t>64/PC ASSTD ORDER 10 CTN</t>
  </si>
  <si>
    <t>PL66610-1 ALLEN KEY WRENCH SET 1/16"-1/4" x 7pcs (1/16" 5/64" 3/32" 1/8" 5/32" 3/16" 1/4")</t>
  </si>
  <si>
    <t>PL66610-2 ALLEN KEY WRENCH SET 1/16"-3/8" x 11pcs (1/16" 5/64" 3/32" 1/8" 9/64" 5/32" 3/16" 7/32" 1/4" 5/16" 3/8")</t>
  </si>
  <si>
    <t>PL66190-1 (LT22012-7H) POLONET ACRYLON PAINT ROLLER W/HANDLE 7"</t>
  </si>
  <si>
    <t>PL66190-3 ACRYLON PAINT ROLLER ONLY 7"</t>
  </si>
  <si>
    <t>PL66190-4 ACRYLON PAINT ROLLER ONLY 9"</t>
  </si>
  <si>
    <t>PL66191-1 POLONET COTTON BABY ROLLER W/HANDLE 4"</t>
  </si>
  <si>
    <t>PL66191-2 (LT22013-FH) POLONET FOAM BABY ROLLER W/HANDLE 4"</t>
  </si>
  <si>
    <t>PL66191-3 (LT22013-C) POLOLOCK COTTON BABY ROLLER ONLY 4"</t>
  </si>
  <si>
    <t>PL66191-4 (LT22013-F) POLOLOCK FOAM BABY ROLLER ONLY 4"</t>
  </si>
  <si>
    <t>63/CARD ASSTD ORDER 10 CTN</t>
  </si>
  <si>
    <t>68/CARD ASSTD ORDER 10 CTN</t>
  </si>
  <si>
    <t>41/CARD ASSTD ORDER 10 CTN</t>
  </si>
  <si>
    <t>45/CARD ASSTD ORDER 10 CTN</t>
  </si>
  <si>
    <t>53/PC ASSTD ORDER 5 CTN</t>
  </si>
  <si>
    <t>43.5/PC ASSTD ORDER 5 CTN</t>
  </si>
  <si>
    <t>13.5/PC ASSTD ORDER 10BAG</t>
  </si>
  <si>
    <t>76.5/PC ASSTD ORDER 10BAG</t>
  </si>
  <si>
    <t>14.5/PC ASSTD ORDER 10BAG</t>
  </si>
  <si>
    <t>64/DOZ ASSTD ORDER 5 SACK</t>
  </si>
  <si>
    <t>84/DOZ ASSTD ORDER 5 SACK</t>
  </si>
  <si>
    <t>62/DOZ ASSTD ORDER 5 SACK</t>
  </si>
  <si>
    <t>59.5/PAIR ASSTD ORDER 5 CTN</t>
  </si>
  <si>
    <t>103/PAIR ASSTD ORDER 5 CTN</t>
  </si>
  <si>
    <t>115/PAIR ASSTD ORDER 5 CTN</t>
  </si>
  <si>
    <t>135/PAIR ASSTD ORDER 5 CTN</t>
  </si>
  <si>
    <t>35/ROLL ASSTD ORDER 10 SACK</t>
  </si>
  <si>
    <t>55/ROLL ASSTD ORDER 10 SACK</t>
  </si>
  <si>
    <t>75/ROLL ASSTD ORDER 10 SACK</t>
  </si>
  <si>
    <t>96/ROLL ASSTD ORDER 10 SACK</t>
  </si>
  <si>
    <t>115/ROLL ASSTD ORDER 10 SACK</t>
  </si>
  <si>
    <t>127/ROLL ASSTD ORDER 10 SACK</t>
  </si>
  <si>
    <t>143/ROLL ASSTD ORDER 10 SACK</t>
  </si>
  <si>
    <t>198/ROLL ASSTD ORDER 10 SACK</t>
  </si>
  <si>
    <t>235/ROLL ASSTD ORDER 10 SACK</t>
  </si>
  <si>
    <t>PL66320-1 WELDING ELECTRODES 3/32"*12"N.W2.5KGS*</t>
  </si>
  <si>
    <t>1000/CTN ASSTD ORDER 100 CTN</t>
  </si>
  <si>
    <t>PL66320-2 WELDING ELECTRODES 1/8"*14"N.W5KGS*</t>
  </si>
  <si>
    <t>970/CTN ASSTD ORDER 100 CTN</t>
  </si>
  <si>
    <t>252/GRS ASSTD ORDER 5CTN</t>
  </si>
  <si>
    <t>15.5/PC ASSTD ORDER 10 CTN</t>
  </si>
  <si>
    <t>22.5/PC ASSTD ORDER 10 CTN</t>
  </si>
  <si>
    <t>11.5/PC ASSTD ORDER 5 CTN</t>
  </si>
  <si>
    <t>12.5/PC ASSTD ORDER 5 CTN</t>
  </si>
  <si>
    <t>31.5/PC ASSTD ORDER 5 CTN</t>
  </si>
  <si>
    <t>33.5/PC ASSTD ORDER 5 CTN</t>
  </si>
  <si>
    <t>103/PC ASSTD ORDER 5 CTN</t>
  </si>
  <si>
    <t>113/PC ASSTD ORDER 5 CTN</t>
  </si>
  <si>
    <t>18.5/PC ASSTD ORDER 10 CTN</t>
  </si>
  <si>
    <t>20.5/PC ASSTD ORDER 10 CTN</t>
  </si>
  <si>
    <t>31.5/PC ASSTD ORDER 10 CTN</t>
  </si>
  <si>
    <t>86/DOZ ASSTD ORDER  5 CTN</t>
  </si>
  <si>
    <t>97/DOZ ASSTD ORDER  5 CTN</t>
  </si>
  <si>
    <t>115/DOZ ASSTD ORDER 5 CTN</t>
  </si>
  <si>
    <t>128/DOZ ASSTD ORDER 5 CTN</t>
  </si>
  <si>
    <t>160/DOZ ASSTD ORDER  5 CTN</t>
  </si>
  <si>
    <t>40.5/PC ASSTD ORDER 5 CTN ADDITIONAL
ORDER 10 CTN
+ 1 CTN FREE (PL88240</t>
  </si>
  <si>
    <t>36.5/DOZ ASSTD ORDER 10 CTN</t>
  </si>
  <si>
    <t>38/DOZ ASSTD ORDER 10CTN</t>
  </si>
  <si>
    <t>75/DOZ ASSTD ORDER 10CTN</t>
  </si>
  <si>
    <t>82/DOZ ASSTD ORDER 10CTN</t>
  </si>
  <si>
    <t>90/DOZ ASSTD ORDER 10CTN</t>
  </si>
  <si>
    <t>61/PAIR ASSTD ORDER 5 CTN</t>
  </si>
  <si>
    <t>68/PAIR ASSTD ORDER 5 CTN</t>
  </si>
  <si>
    <t>48/CARD ASSTD ORDER 5CTN</t>
  </si>
  <si>
    <t>52/CARD ASSTD ORDER 5CTN</t>
  </si>
  <si>
    <t>33/CARD ASSTD ORDER 5CTN</t>
  </si>
  <si>
    <t>39/CARD ASSTD ORDER 5CTN</t>
  </si>
  <si>
    <t>50/CARD ASSTD ORDER 5CTN</t>
  </si>
  <si>
    <t>28/DOZ ASSTD ORDER5 CTN</t>
  </si>
  <si>
    <t>31/DOZ ASSTD ORDER5 CTN</t>
  </si>
  <si>
    <t>45/DOZ ASSTD ORDER5 CTN</t>
  </si>
  <si>
    <t>64/DOZ ASSTD ORDER5 CTN</t>
  </si>
  <si>
    <t>85/DOZ ASSTD ORDER5 CTN</t>
  </si>
  <si>
    <t>108/DOZ ASSTD ORDER5 CTN</t>
  </si>
  <si>
    <t>130/DOZ ASSTD ORDER5 CTN</t>
  </si>
  <si>
    <t>30/DOZ ASSTD ORDER 5 CTN</t>
  </si>
  <si>
    <t>43.5/DOZ ASSTD ORDER 5 CTN</t>
  </si>
  <si>
    <t>59/DOZ ASSTD ORDER5 CTN</t>
  </si>
  <si>
    <t>89/DOZ ASSTD ORDER5 CTN</t>
  </si>
  <si>
    <t>129/DOZ ASSTD ORDER5 CTN</t>
  </si>
  <si>
    <t>190/DOZ ASSTD ORDER5 CTN</t>
  </si>
  <si>
    <t>211/DOZ ASSTD ORDER5 CTN</t>
  </si>
  <si>
    <t>37/DOZ  ASSTD ORDER 10 CTN</t>
  </si>
  <si>
    <t>46/DOZ  ASSTD ORDER 10 CTN</t>
  </si>
  <si>
    <t>82/DOZ  ASSTD ORDER 10 CTN</t>
  </si>
  <si>
    <t>108/DOZ ASSTD ORDER 10 CTN</t>
  </si>
  <si>
    <t>145/DOZ ASSTD ORDER 10 CTN</t>
  </si>
  <si>
    <t>210/DOZ ASSTD ORDER 10 CTN</t>
  </si>
  <si>
    <t>310/DOZ ASSTD ORDER 10 CTN</t>
  </si>
  <si>
    <t>70/PAIR ASSTD ORDER 10 CTN</t>
  </si>
  <si>
    <t>86/PAIR ASSTD ORDER 10 CTN</t>
  </si>
  <si>
    <t>105/PAIR ASSTD ORDER 10 CTN</t>
  </si>
  <si>
    <t>29/PAIR ASSTD ORDER 20CTN</t>
  </si>
  <si>
    <t>34/PAIR ASSTD ORDER 20CTN</t>
  </si>
  <si>
    <t>40/PAIR ASSTD ORDER 20CTN</t>
  </si>
  <si>
    <t>120/PC ASSTD ORDER 2 CTN</t>
  </si>
  <si>
    <t>118/PC ASSTD ORDER 5 CTN</t>
  </si>
  <si>
    <t>62/PC ASSTD ORDER 5 CTN</t>
  </si>
  <si>
    <t>75/PC ASSTD ORDER 5 CTN</t>
  </si>
  <si>
    <t>81/PC ASSTD ORDER 5 CTN</t>
  </si>
  <si>
    <t>100/PC ASSTD ORDER 5 CTN</t>
  </si>
  <si>
    <t>28/PC ASSTD ORDER 10 CTN</t>
  </si>
  <si>
    <t>43/PC ASSTD ORDER 10 CTN</t>
  </si>
  <si>
    <t>54/PC ASSTD ORDER 10 CTN</t>
  </si>
  <si>
    <t>65/PC ASSTD ORDER 10 CTN</t>
  </si>
  <si>
    <t>29.5/PC ASSTD ORDER 10 CTN</t>
  </si>
  <si>
    <t>44.5/PC ASSTD ORDER 10 CTN</t>
  </si>
  <si>
    <t>56.5/PC ASSTD ORDER 10 CTN</t>
  </si>
  <si>
    <t>69/PC ASSTD ORDER 10 CTN</t>
  </si>
  <si>
    <t>120/PC ASSTD ORDER 10 CTN</t>
  </si>
  <si>
    <t>102/PC ASSTD ORDER 5 CTN</t>
  </si>
  <si>
    <t>125/PC ASSTD ORDER 10 CTN</t>
  </si>
  <si>
    <t>108/PC ASSTD ORDER 20 CTN</t>
  </si>
  <si>
    <t>190/PC ASSTD ORDER 20 CTN</t>
  </si>
  <si>
    <t>101/PC ASSTD ORDER 20 CTN</t>
  </si>
  <si>
    <t>180/PC ASSTD ORDER 20 CTN</t>
  </si>
  <si>
    <t>390/PC ASSTD ORDER 5 CTN</t>
  </si>
  <si>
    <t>480/PC ASSTD ORDER 5 CTN</t>
  </si>
  <si>
    <t>115/PC ASSTD ORDER 10 CTN</t>
  </si>
  <si>
    <t>135/PC ASSTD ORDER 10 CTN</t>
  </si>
  <si>
    <t>145/PC ASSTD ORDER 10 CTN</t>
  </si>
  <si>
    <t>155/PC ASSTD ORDER 10 CTN</t>
  </si>
  <si>
    <t>165/PC ASSTD ORDER 10 CTN</t>
  </si>
  <si>
    <t>395/PC ASSTD ORDER 5 CTN</t>
  </si>
  <si>
    <t>450/PC ASSTD ORDER 5 CTN</t>
  </si>
  <si>
    <t>28.5/BAG ASSTD ORDER 10 CTN</t>
  </si>
  <si>
    <t>34.5/BAG ASSTD ORDER 10 CTN</t>
  </si>
  <si>
    <t>34/BAG ASSTD ORDER 10 CTN</t>
  </si>
  <si>
    <t>25/BAG ASSTD ORDER 10 CTN</t>
  </si>
  <si>
    <t>7.7/BAG ASSTD ORDER 10 CTN</t>
  </si>
  <si>
    <t>9.5/BAG ASSTD ORDER 10 CTN</t>
  </si>
  <si>
    <t>19/BAG ASSTD ORDER 10 CTN</t>
  </si>
  <si>
    <t>12/S.BOX ASSTD ORDER 5 CTN</t>
  </si>
  <si>
    <t>14/S.BOX ASSTD ORDER 5 CTN</t>
  </si>
  <si>
    <t>18/S.BOX ASSTD ORDER 5 CTN</t>
  </si>
  <si>
    <t>20.5/BAG ASSTD ORDER 5 CTN</t>
  </si>
  <si>
    <t>12.5/S.BOX ASSTD ORDER 5 CTN</t>
  </si>
  <si>
    <t>15.5/BAG ASSTD ORDER 5 CTN</t>
  </si>
  <si>
    <t>20/BAG ASSTD ORDER 5 CTN</t>
  </si>
  <si>
    <t>26.5/BAG ASSTD ORDER 5 CTN</t>
  </si>
  <si>
    <t>58/S.BOX ASSTD ORDER 5 CTN</t>
  </si>
  <si>
    <t>19.5/S.BOX ASSTD ORDER 5CTN</t>
  </si>
  <si>
    <t>21.5/S.BOX ASSTD ORDER 5CTN</t>
  </si>
  <si>
    <t>24.5/S.BOX ASSTD ORDER 5CTN</t>
  </si>
  <si>
    <t>0.64/PC ASSTD ORDER 10CTN</t>
  </si>
  <si>
    <t>0.86/PC ASSTD ORDER 10CTN</t>
  </si>
  <si>
    <t>1.77/PC ASSTD ORDER 10CTN</t>
  </si>
  <si>
    <t>0.74/PC ASSTD ORDER 10CTN</t>
  </si>
  <si>
    <t>1.05/PC ASSTD ORDER 10CTN</t>
  </si>
  <si>
    <t>2.05/PC ASSTD ORDER 10CTN</t>
  </si>
  <si>
    <t>40/PC  ASSTD ORDER 5CTN</t>
  </si>
  <si>
    <t>65.5/PC ASSTD ORDER 5CTN</t>
  </si>
  <si>
    <t>47/PC  ASSTD ORDER 5CTN</t>
  </si>
  <si>
    <t>46/PC  ASSTD ORDER 5CTN</t>
  </si>
  <si>
    <t>136/PC ASSTD ORDER 5 CTN</t>
  </si>
  <si>
    <t>57/BOX ASSTD ORDER 20 CTN</t>
  </si>
  <si>
    <t>54/BOX ASSTD ORDER 20 CTN</t>
  </si>
  <si>
    <t>49/BOX ASSTD ORDER 20 CTN</t>
  </si>
  <si>
    <t>47/BOX ASSTD ORDER 20 CTN</t>
  </si>
  <si>
    <t>PL55060-1 ROOFING NAIL PLAIN 2" *9G</t>
  </si>
  <si>
    <t>PL55060-2 ROOFING NAIL TWISTED 2-1/2"*9G</t>
  </si>
  <si>
    <t>52.5/BOX ASSTD ORDER 50CTN</t>
  </si>
  <si>
    <t>PL55081-S8 TEK SCREW FOR METAL 4.7*100MM 4"</t>
  </si>
  <si>
    <t>PL55081-W4 TEK SCREW FOR WOOD 50MM 2"</t>
  </si>
  <si>
    <t>PL55081-W6 TEK SCREW FOR WOOD 65MM 2"1/2</t>
  </si>
  <si>
    <t>PL55081-W7 TEK SCREW FOR WOOD 75MM 3"</t>
  </si>
  <si>
    <t>PL55081-W8 TEK SCREW FOR WOOD 4.7*100MM 4"</t>
  </si>
  <si>
    <t>100/BOX ASSTD ORDER 5 CTN</t>
  </si>
  <si>
    <t>135/BOX ASSTD ORDER 5 CTN</t>
  </si>
  <si>
    <t>170/BOX ASSTD ORDER 5 CTN</t>
  </si>
  <si>
    <t>210/BOX ASSTD ORDER 5 CTN</t>
  </si>
  <si>
    <t>235/BOX ASSTD ORDER 5 CTN</t>
  </si>
  <si>
    <t>230/BOX ASSTD ORDER 5 CTN</t>
  </si>
  <si>
    <t>315//BOX ASSTD ORDER 5 CTN</t>
  </si>
  <si>
    <t>160/BOX ASSTD ORDER 5 CTN</t>
  </si>
  <si>
    <t>265/BOX ASSTD ORDER 5 CTN</t>
  </si>
  <si>
    <t>315/BOX ASSTD ORDER 5 CTN</t>
  </si>
  <si>
    <t>375/BOX ASSTD ORDER 5 CTN</t>
  </si>
  <si>
    <t>430/BOX ASSTD ORDER 5 CTN</t>
  </si>
  <si>
    <t>0.15/PC ASSTD ORDER 5 CTN</t>
  </si>
  <si>
    <t>0.175/PC ASSTD ORDER 5 CTN</t>
  </si>
  <si>
    <t>0.235/PC ASSTD ORDER 5 CTN</t>
  </si>
  <si>
    <t>0.36/PC ASSTD ORDER 5 CTN</t>
  </si>
  <si>
    <t>PL55110-1 CONCRETE NAIL 1"</t>
  </si>
  <si>
    <t>PL55110-2 CONCRETE NAIL 1.5" ( 1" 1/2 )</t>
  </si>
  <si>
    <t>PL55110-3 CONCRETE NAIL 2"</t>
  </si>
  <si>
    <t>PL55110-4 CONCRETE NAIL 2.5" ( 2" 1/2)</t>
  </si>
  <si>
    <t>PL55110-5 CONCRETE NAIL 3"</t>
  </si>
  <si>
    <t>PL55110-6 CONCRETE NAIL 4"</t>
  </si>
  <si>
    <t>PL55111-1 CONCRETE SLIM NAIL 1"</t>
  </si>
  <si>
    <t>PL55111-2 CONCRETE SLIM NAIL 1"1/2</t>
  </si>
  <si>
    <t>PL55111-3 CONCRETE SLIM NAIL 2"</t>
  </si>
  <si>
    <t>48/PACK ASSTD ORDER 10 CTN</t>
  </si>
  <si>
    <t>67/PACK ASSTD ORDER 10 CTN</t>
  </si>
  <si>
    <t>2050/ROLL ASSTD ORDER 20 ROLLS</t>
  </si>
  <si>
    <t>2580/ROLL ASSTD ORDER 20 ROLLS</t>
  </si>
  <si>
    <t>1320/ROLL ASSTD ORDER 20 ROLLS</t>
  </si>
  <si>
    <t>1696/ROLL ASSTD ORDER 20 ROLLS</t>
  </si>
  <si>
    <t>PL550201-1 GALVANIZED WELDED WIRE BWG21(0.69MM)*1/2"*3’*22m (N.W9.6)</t>
  </si>
  <si>
    <t>PL550201-2 GALVANIZED WELDED WIRE BWG21(0.69MM)*1/2"*4’*22m (N.W12.8)</t>
  </si>
  <si>
    <t>PL550201-3 GALVANIZED WELDED WIRE BWG19(0.93MM)*1"*3’*22m(N.W8.8)</t>
  </si>
  <si>
    <t>PL550201-4 GALVANIZED WELDED WIRE BWG19(0.93MM)*1"*4’*22m (N.W11.9)</t>
  </si>
  <si>
    <t>PL550203-2 (LT55015-2) POLONET BARBED WIRE #20(N.W15)</t>
  </si>
  <si>
    <t>PL550203-3 (LT55015-3) POLONET BARBED WIRE #25(N.W20)</t>
  </si>
  <si>
    <t>PL550203-4 (LT55015-4) POLONET BARBED WIRE #30(N.W25)</t>
  </si>
  <si>
    <t>PL550204-1 GALV. CYCLONE WIRE 1.9mm*2"*2"*3'*4M(N.W14.06)</t>
  </si>
  <si>
    <t>PL550204-2 GALV. CYCLONE WIRE 1.9mm*2"*2"*4'*4M(N.W18.46)</t>
  </si>
  <si>
    <t>PL550204-3 GALV. CYCLONE WIRE 1.9mm*2"*2"*5'*4M (N.W23.28)</t>
  </si>
  <si>
    <t>PL550204-4 GALV. CYCLONE WIRE 1.9mm*2"*2"*6'*4M (N.W27.48)</t>
  </si>
  <si>
    <t>PL550204-5 GALV. CYCLONE WIRE 2.0mm*4"*4"*3'*4M (N.W8.18)</t>
  </si>
  <si>
    <t>PL550204-6 GALV. CYCLONE WIRE 2.0mm*4"*4"*4'*4M (N.W11)</t>
  </si>
  <si>
    <t>PL550204-7 GALV. CYCLONE WIRE 2.0mm*4"*4"*5'*4m (N.W13.38)</t>
  </si>
  <si>
    <t>PL550204-8 GALV. CYCLONE WIRE 2.0mm*4"*4"*6'*4m (N.W15.56)</t>
  </si>
  <si>
    <t>1000/ROLL ASSTD ORDER 50 ROLLS</t>
  </si>
  <si>
    <t>1350/ROLL ASSTD ORDER 50 ROLLS</t>
  </si>
  <si>
    <t>1650/ROLL ASSTD ORDER 50 ROLLS</t>
  </si>
  <si>
    <t>1990/ROLL ASSTD ORDER 50 ROLLS</t>
  </si>
  <si>
    <t>PL550205-1 HOG WIRE 1M*25M*7MESH 7hole (N.W9.16)</t>
  </si>
  <si>
    <t>520/ROLL ASSTD ORDER 100 ROLLS</t>
  </si>
  <si>
    <t>PL550205-2 HOG WIRE 1.1M*25M*8MESH 8hole (N.W10.2)</t>
  </si>
  <si>
    <t>570/ROLL ASSTD ORDER 100 ROLLS</t>
  </si>
  <si>
    <t>PL550205-3 HOG WIRE 1.2M*25M*9MESH 9hole (N.W11.2)</t>
  </si>
  <si>
    <t>615/ROLL ASSTD ORDER 100 ROLLS</t>
  </si>
  <si>
    <t>PL550205-4 HOG WIRE 1.4M*25M*10MESH 10hole (N.W12.7)</t>
  </si>
  <si>
    <t>680/ROLL ASSTD ORDER 100 ROLLS</t>
  </si>
  <si>
    <t>1330/ROLL ASSTD ORDER
50 ROLLS</t>
  </si>
  <si>
    <t>185/ROLL ASSTD ORDER
50 ROLLS</t>
  </si>
  <si>
    <t>255/ROLL ASSTD ORDER
50 ROLLS</t>
  </si>
  <si>
    <t>330/ROLL ASSTD ORDER
50 ROLLS</t>
  </si>
  <si>
    <t>430/ROLL ASSTD ORDER
50 ROLLS</t>
  </si>
  <si>
    <t>685/ROLL ASSTD ORDER
50 ROLLS</t>
  </si>
  <si>
    <t>1330/ ROLL ASSTD ORDER
50 ROLLS</t>
  </si>
  <si>
    <t>PL22181-03 小5档花洒手喷 HAND SHOWER SET</t>
  </si>
  <si>
    <t>90/PC ASSTD ORDER
5 CTN</t>
  </si>
  <si>
    <t>PL22181-04 5档花洒手喷 HAND SHOWER SET</t>
  </si>
  <si>
    <t>PL22181-05 增压一键止水花洒手喷 HAND SHOWER SET ( BOX - GREEN/BLACK/SILVER)</t>
  </si>
  <si>
    <t>150/PC
ASSTD ORDER 5CTN</t>
  </si>
  <si>
    <t>143/PC
ASSTD ORDER 5CTN</t>
  </si>
  <si>
    <t>196/PC
ASSTD ORDER 5CTN</t>
  </si>
  <si>
    <t>141/PC
ASSTD ORDER</t>
  </si>
  <si>
    <t>162/PC
ASSTD ORDER</t>
  </si>
  <si>
    <t>160/PC
ASSTD ORDER 5CTN</t>
  </si>
  <si>
    <t>205/PC
ASSTD ORDER 5CTN</t>
  </si>
  <si>
    <t>PL22188-02 304 STAINLESS GOOSENECK FAUCET 立式 SINK TYPE</t>
  </si>
  <si>
    <t>PL22188-03 304 STAINLESS GOOSENECK FAUCET 立式 SINK TYPE</t>
  </si>
  <si>
    <t>PL22188-04 304 STAINLESS GOOSENECK FAUCET 立式 SINK TYPE</t>
  </si>
  <si>
    <t>PL22188-05 304 STAINLESS GOOSENECK FAUCET 立式 SINK TYPE</t>
  </si>
  <si>
    <t>PL22188-06 304 STAINLESS GOOSENECK FAUCET 横式-WALL TYPE</t>
  </si>
  <si>
    <t>PL22188-07 304 STAINLESS GOOSENECK FAUCET 横式-WALL TYPE</t>
  </si>
  <si>
    <t>PL22188-08 304 STAINLESS GOOSENECK FAUCET 横式-WALL TYPE</t>
  </si>
  <si>
    <t>PL22188-09 304 STAINLESS GOOSENECK FAUCET 横式-WALL TYPE</t>
  </si>
  <si>
    <t>PL22188-11 304 STAINLESS LAVATORY FAUCET 弯嘴</t>
  </si>
  <si>
    <t>PL22188-12 304 STAINLESS LAVATORY FAUCET 直嘴</t>
  </si>
  <si>
    <t>PL22188-60 STAINLESS LAVATORY FAUCET MATTE BLACK 弯嘴</t>
  </si>
  <si>
    <t>PL22188-61 STAINLESS LAVATORY FAUCET MATTE BLACK 直嘴</t>
  </si>
  <si>
    <t>43/PC
ASSTD ORDER 5 CTN</t>
  </si>
  <si>
    <t>47/PC
ASSTD ORDER 5 CTN</t>
  </si>
  <si>
    <t>58/PC
ASSTD ORDER 5 CTN</t>
  </si>
  <si>
    <t>46/PC
ASSTD ORDER 5 CTN</t>
  </si>
  <si>
    <t>52/PC
ASSTD ORDER 5 CTN</t>
  </si>
  <si>
    <t>61/PC
ASSTD ORDER 5 CTN</t>
  </si>
  <si>
    <t>71/PC
ASSTD ORDER 5 CTN</t>
  </si>
  <si>
    <t>110/PC ASSTD ORDER
5 CTN</t>
  </si>
  <si>
    <t>125/PC
ASSTD ORDER 5 CTN</t>
  </si>
  <si>
    <t>150/PC ASSTD ORDER
5 CTN</t>
  </si>
  <si>
    <t>165/PC ASSTD ORDER
5 CTN</t>
  </si>
  <si>
    <t>50/PC
ASSTD ORDER 5CTN</t>
  </si>
  <si>
    <t>73/PC
ASSTD ORDER 5CTN</t>
  </si>
  <si>
    <t>96/PC
ASSTD ORDER 5CTN</t>
  </si>
  <si>
    <t>158/PC
ASSTD ORDER 5CTN</t>
  </si>
  <si>
    <t>324/PC
ASSTD ORDER 5CTN</t>
  </si>
  <si>
    <t>495/PC
ASSTD ORDER 5CTN</t>
  </si>
  <si>
    <t>15/PC
ASSTD ORDER  5CTN</t>
  </si>
  <si>
    <t>44/PC
ASSTD ORDER  5CTN</t>
  </si>
  <si>
    <t>53/PC
ASSTD ORDER  5CTN</t>
  </si>
  <si>
    <t>80/PC
ASSTD ORDER  5CTN</t>
  </si>
  <si>
    <t>17/PC ASSTD ORDER OF
ALL PE  10CTN</t>
  </si>
  <si>
    <t>22/PC ASSTD ORDER OF
ALL PE  10CTN</t>
  </si>
  <si>
    <t>32/PC ASSTD ORDER OF
ALL PE  10CTN</t>
  </si>
  <si>
    <t>26.5/PC ASSTD ORDER OF
ALL PE  10CTN</t>
  </si>
  <si>
    <t>30/PC ASSTD ORDER OF
ALL PE  10CTN</t>
  </si>
  <si>
    <t>20/PC ASSTD ORDER OF
ALL PE  10CTN</t>
  </si>
  <si>
    <t>25/PC ASSTD ORDER OF
ALL PE  10CTN</t>
  </si>
  <si>
    <t>38/PC ASSTD ORDER OF
ALL PE  10CTN</t>
  </si>
  <si>
    <t>13/PC ASSTD ORDER OF
ALL PE  10CTN</t>
  </si>
  <si>
    <t>17.5/PC ASSTD ORDER OF
ALL PE  10CTN</t>
  </si>
  <si>
    <t>18.5/PC ASSTD ORDER OF
ALL PE  10CTN</t>
  </si>
  <si>
    <t>39/PC ASSTD ORDER OF
ALL PE  10CTN</t>
  </si>
  <si>
    <t>11/PC ASSTD ORDER OF
ALL PE  10CTN</t>
  </si>
  <si>
    <t>14/PC ASSTD ORDER OF
ALL PE  10CTN</t>
  </si>
  <si>
    <t>21/PC ASSTD ORDER OF
ALL PE  10CTN</t>
  </si>
  <si>
    <t>11.5/PC ASSTD ORDER OF
ALL PE  10CTN</t>
  </si>
  <si>
    <t>15/PC ASSTD ORDER OF
ALL PE  10CTN</t>
  </si>
  <si>
    <t>22.5/PC ASSTD ORDER OF
ALL PE  10CTN</t>
  </si>
  <si>
    <t>23/PC ASSTD ORDER OF
ALL PE  10CTN</t>
  </si>
  <si>
    <t>32.5/PC ASSTD ORDER OF
ALL PE  10CTN</t>
  </si>
  <si>
    <t>25.5/PC ASSTD ORDER OF
ALL PE  10CTN</t>
  </si>
  <si>
    <t>34/PC ASSTD ORDER OF
ALL PE  10CTN</t>
  </si>
  <si>
    <t>54/PC ASSTD ORDER OF
ALL PE  10CTN</t>
  </si>
  <si>
    <t>50.5/PC ASSTD ORDER OF
ALL PE  10CTN</t>
  </si>
  <si>
    <t>28/PC ASSTD ORDER OF
ALL PE  10CTN</t>
  </si>
  <si>
    <t>36.5/PC ASSTD ORDER OF
ALL PE  10CTN</t>
  </si>
  <si>
    <t>55/PC ASSTD ORDER OF
ALL PE  10CTN</t>
  </si>
  <si>
    <t>PL222304-01 3/4"*1/2"（Φ25*20）PE COMPRESSION COUPLING REDUCER ALL BLACK</t>
  </si>
  <si>
    <t>PL222304-02 1"*1/2"（Φ32*20）PE COMPRESSION COUPLING REDUCER ALL BLACK</t>
  </si>
  <si>
    <t>PL222304-03 1"*3/4"（Φ32*25）PE COMPRESSION COUPLING REDUCER ALL BLACK</t>
  </si>
  <si>
    <t>PL222304-04 3/4"*1/2"*3/4"（Φ25*20*25）P.E COMPRESSION TEE REDUCER ALL BLACK</t>
  </si>
  <si>
    <t>PL222304-05 1"*1/2"*1"（Φ32*20*32）P.E COMPRESSION TEE REDUCER ALL BLACK</t>
  </si>
  <si>
    <t>PL222304-06 1"*3/4"*1"（Φ32*25*32）P.E COMPRESSION TEE REDUCER ALL BLACK</t>
  </si>
  <si>
    <t>PL222305-01 1/2"（Φ20） P.E COMPRESSION PLUG ALL BLACK</t>
  </si>
  <si>
    <t>PL222305-02 3/4"（Φ25）P.E COMPRESSION PLUG ALL BLACK</t>
  </si>
  <si>
    <t>PL222305-03 1"（Φ32）P.E COMPRESSION PLUG ALL BLACK</t>
  </si>
  <si>
    <t>PL222305-04 1-1/4"（Φ40）P.E COMPRESSION PLUG ALL BLACK</t>
  </si>
  <si>
    <t>PL222305-05 1-1/2"（Φ50）P.E COMPRESSION PLUG ALL BLACK</t>
  </si>
  <si>
    <t>PL222305-06 2"（Φ63）P.E COMPRESSION PLUG ALL BLACK</t>
  </si>
  <si>
    <t>PL222306-01 PE COMPRESSION MALE ADAPTOR W/O STAINLESS 1/2"*1/2"（Φ20*1/2"）</t>
  </si>
  <si>
    <t>PL222306-02 PE COMPRESSION MALE ADAPTOR W/O STAINLESS 3/4"*3/4"（Φ25*3/4"）</t>
  </si>
  <si>
    <t>PL222306-03 PE COMPRESSION MALE ADAPTOR W/O STAINLESS 1"*1"（Φ32*1"）</t>
  </si>
  <si>
    <t>PL222306-04 PE COMPRESSION MALE ADAPTOR W/O STAINLESS 1-1/4"*1-1/4"（Φ40*1-1/4"）</t>
  </si>
  <si>
    <t>PL222306-05 PE COMPRESSION MALE ADAPTOR W/O STAINLESS 1-1/2"*1-1/2"（Φ50*1-1/2"）</t>
  </si>
  <si>
    <t>PL222306-06 PE COMPRESSION MALE ADAPTOR W/O STAINLESS 2"*2"（Φ63*2"）</t>
  </si>
  <si>
    <t>PL222306-07 PE COMPRESSION MALE ADAPTOR W/O STAINLESS 3"*3"（Φ90x3"）</t>
  </si>
  <si>
    <t>PL222307-01 1/2"*1/2"（Φ20*1/2"）P.E COMPRESSION FEMALE ADAPTOR W/ STAINLESS</t>
  </si>
  <si>
    <t>PL222307-02 3/4"*3/4"（Φ25*3/4"）P.E COMPRESSION FEMALE ADAPTOR W/ STAINLESS</t>
  </si>
  <si>
    <t>PL222307-03 1"*1"（Φ32*1"）P.E COMPRESSION FEMALE ADAPTOR W/ STAINLESS</t>
  </si>
  <si>
    <t>PL222307-04 1-1/4"*1-1/4"（Φ40*1-1/4"）P.E COMPRESSION FEMALE ADAPTOR W/ STAINLESS</t>
  </si>
  <si>
    <t>PL222307-05 1-1/2"*1-1/2"（Φ50*1-1/2"）P.E COMPRESSION FEMALE ADAPTOR W/ STAINLESS</t>
  </si>
  <si>
    <t>PL222307-06 2"*2"（Φ63*2"）P.E COMPRESSION FEMALE ADAPTOR W/ STAINLESS ALL BLACK</t>
  </si>
  <si>
    <t>PL222308-01 1/2"*1/2"（Φ20*1/2"）P.E COMPRESSION MALE ELBOW ALL BLACK</t>
  </si>
  <si>
    <t>PL222308-02 3/4"*3/4"（Φ25*3/4"）P.E COMPRESSION MALE ELBOW ALL BLACK</t>
  </si>
  <si>
    <t>PL222308-03 1"*1"（Φ32*1"）P.E COMPRESSION MALE ELBOW ALL BLACK</t>
  </si>
  <si>
    <t>PL222309-01 1/2"*1/2"（Φ20*1/2"）P.E COMPRESSION FEMALE ELBOW W/ STAINLESS</t>
  </si>
  <si>
    <t>PL222309-02 3/4"*3/4"（Φ25*3/4"）P.E COMPRESSION FEMALE ELBOW W/ STAINLESS</t>
  </si>
  <si>
    <t>PL222309-03 1"*1"（Φ32*1"）P.E COMPRESSION FEMALE ELBOW W/ STAINLESS</t>
  </si>
  <si>
    <t>PL222309-04 1/2"*1/2"（Φ20*1/2"）PE COMPRESSION FEMALE TEE W/ STAINLESS ALL BLACK</t>
  </si>
  <si>
    <t>PL222309-05 3/4"*3/4"（Φ25*3/4"）PE COMPRESSION FEMALE TEE W/ STAINLESS ALL BLACK</t>
  </si>
  <si>
    <t>PL222309-06 1"*1"（Φ32*1"）PE COMPRESSION FEMALE TEE W/ STAINLESS ALL BLACK</t>
  </si>
  <si>
    <t>PL222310-01 1/2"*1/2"（Φ20*1/2"）PE COMPRESSION MALE TEE W/O STAINLESS ALL BLACK</t>
  </si>
  <si>
    <t>PL222310-02 3/4"*3/4"（Φ25*3/4"）PE COMPRESSION MALE TEE W/O STAINLESS ALL BLACK</t>
  </si>
  <si>
    <t>PL222310-03 1"*1"（Φ32*1"）PE COMPRESSION MALE TEE W/O STAINLESS ALL BLACK</t>
  </si>
  <si>
    <t>3.6/PC ASSTD ORDER
10CTN</t>
  </si>
  <si>
    <t>4/PC ASSTD ORDER
10CTN</t>
  </si>
  <si>
    <t>4.4/PC ASSTD ORDER
10CTN</t>
  </si>
  <si>
    <t>4.8/PC ASSTD ORDER
10CTN</t>
  </si>
  <si>
    <t>7.3/PC ASSTD ORDER
10CTN</t>
  </si>
  <si>
    <t>12/PC ASSTD ORDER
10 CTN</t>
  </si>
  <si>
    <t>17/PC ASSTD ORDER
10 CTN</t>
  </si>
  <si>
    <t>26/PC ASSTD ORDER
10 CTN</t>
  </si>
  <si>
    <t>35/PC ASSTD ORDER
10 CTN</t>
  </si>
  <si>
    <t>43/PC ASSTD ORDER
10 CTN</t>
  </si>
  <si>
    <t>65/PC ASSTD ORDER
10 CTN</t>
  </si>
  <si>
    <t>23/PC
ASSTD ORDER  5CTN</t>
  </si>
  <si>
    <t>33/PC
ASSTD ORDER  5CTN</t>
  </si>
  <si>
    <t>62/PC
ASSTD ORDER  5CTN</t>
  </si>
  <si>
    <t>56/PC
ASSTD ORDER  5CTN</t>
  </si>
  <si>
    <t>35/PC
ASSTD ORDER  5CTN</t>
  </si>
  <si>
    <t>52/PC
ASSTD ORDER  5CTN</t>
  </si>
  <si>
    <t>90/PC
ASSTD ORDER  5CTN</t>
  </si>
  <si>
    <t>49/PC
ASSTD ORDER 5 CTN</t>
  </si>
  <si>
    <t>59/PC
ASSTD ORDER 5 CTN</t>
  </si>
  <si>
    <t>74/PC
ASSTD ORDER 5 CTN</t>
  </si>
  <si>
    <t>22/PC
ASSTD ORDER 5 CTN</t>
  </si>
  <si>
    <t>23/PC
ASSTD ORDER 5 CTN</t>
  </si>
  <si>
    <t>16.5/PC
ASSTD ORDER 10 CTN</t>
  </si>
  <si>
    <t>18.5/PC ASSTD ORDER
10 CTN</t>
  </si>
  <si>
    <t>21/PC ASSTD ORDER
10 CTN</t>
  </si>
  <si>
    <t>23/PC ASSTD ORDER
10 CTN</t>
  </si>
  <si>
    <t>24.5/PC
ASSTD ORDER 10 CTN</t>
  </si>
  <si>
    <t>86/PC ASSTD ORDER
10 CTN</t>
  </si>
  <si>
    <t>94/PC ASSTD ORDER
10 CTN</t>
  </si>
  <si>
    <t>145/PC ASSTD ORDER
20 CTN</t>
  </si>
  <si>
    <t>165/PC
ASSTD ORDER 20 CTN</t>
  </si>
  <si>
    <t>235/PC
ASSTD ORDER 20 BAGS</t>
  </si>
  <si>
    <t>285/PC
ASSTD ORDER 20 BAGS</t>
  </si>
  <si>
    <t>335/PC
ASSTD ORDER 20 BAGS</t>
  </si>
  <si>
    <t>88/PC ASSTD ORDER 50
BAGS</t>
  </si>
  <si>
    <t>91/PC ASSTD ORDER 50
BAGS</t>
  </si>
  <si>
    <t>115/PC ASSTD ORDER 50
BAGS</t>
  </si>
  <si>
    <t>168/PC ASSTD ORDER 50
BAGS</t>
  </si>
  <si>
    <t>78/PC ASSTD ORDER 50
BAGS</t>
  </si>
  <si>
    <t>PL66136-1 圆形#503 ROUND POINT ALL STEEL SHOVEL</t>
  </si>
  <si>
    <t>102/PC ASSTD ORDER 50
SACK</t>
  </si>
  <si>
    <t>15/PC ASSTD ORDER
5 CTN</t>
  </si>
  <si>
    <t>19/PC ASSTD ORDER
5 CTN</t>
  </si>
  <si>
    <t>8/PC ASSTD ORDER
5 CTN</t>
  </si>
  <si>
    <t>10/PC ASSTD ORDER
5 CTN</t>
  </si>
  <si>
    <t>18/PC ASSTD ORDER
5 CTN</t>
  </si>
  <si>
    <t>30/PC ASSTD ORDER
5 CTN</t>
  </si>
  <si>
    <t>32/PC ASSTD ORDER
5 CTN</t>
  </si>
  <si>
    <t>19/PC ASSTD ORDER
10 CTN</t>
  </si>
  <si>
    <t>22/PC ASSTD ORDER
10 CTN</t>
  </si>
  <si>
    <t>120/PC ASSTD ORDER
5CTN</t>
  </si>
  <si>
    <t>145/PC ASSTD ORDER
5CTN</t>
  </si>
  <si>
    <t>145/PC
ASSTD ORDER 5CTN</t>
  </si>
  <si>
    <t>225/PC ASSTD ORDER
5CTN</t>
  </si>
  <si>
    <t>66/PC ASSTD ORDER
10 CTN</t>
  </si>
  <si>
    <t>83/PC
ASSTD ORDER 10 CTN</t>
  </si>
  <si>
    <t>79/PC
ASSTD ORDER 10 CTN</t>
  </si>
  <si>
    <t>74/PC ASSTD ORDER
20 CTN</t>
  </si>
  <si>
    <t>87/PC ASSTD ORDER
20 CTN</t>
  </si>
  <si>
    <t>113/PC
ASSTD ORDER 20 CTN</t>
  </si>
  <si>
    <t>134/PC ASSTD ORDER
20 CTN</t>
  </si>
  <si>
    <t>188/PC
ASSTD ORDER 20 CTN</t>
  </si>
  <si>
    <t>273/PC
ASSTD ORDER
20 CTN</t>
  </si>
  <si>
    <t>520/PC ASSTD ORDER
20 CTN</t>
  </si>
  <si>
    <t>25/SET ASSTD ORDER
5 CTN</t>
  </si>
  <si>
    <t>46/SET ASSTD ORDER
5 CTN</t>
  </si>
  <si>
    <t>31/SET ASSTD ORDER
5 CTN</t>
  </si>
  <si>
    <t>45/SET ASSTD ORDER
5 CTN</t>
  </si>
  <si>
    <t>99/PC ASSTD ORDER
5 CTN</t>
  </si>
  <si>
    <t>155/PC
ASSTD ORDER 5 CTN</t>
  </si>
  <si>
    <t>190/PC ASSTD ORDER
5 CTN</t>
  </si>
  <si>
    <t>550/PC
ASSTD ORDER 5 CTN</t>
  </si>
  <si>
    <t>60/DOZ
ASSTD ORDER
10 CTN</t>
  </si>
  <si>
    <t>65/DOZ ASSTD ORDER
10 CTN</t>
  </si>
  <si>
    <t>70/DOZ ASSTD ORDER
10 CTN</t>
  </si>
  <si>
    <t>120/DOZ ASSTD ORDER
10 CTN</t>
  </si>
  <si>
    <t>150/DOZ ASSTD ORDER
10 CTN</t>
  </si>
  <si>
    <t>190/DOZ
ASSTD ORDER
10 CTN</t>
  </si>
  <si>
    <t>265/DOZ ASSTD ORDER
10 CTN</t>
  </si>
  <si>
    <t>360/DOZ ASSTD ORDER
10 CTN</t>
  </si>
  <si>
    <t>5/PC ORDER
1 CTN/SIZE</t>
  </si>
  <si>
    <t>8/PC ORDER
1 CTN/SIZE</t>
  </si>
  <si>
    <t>11/PC ORDER
1 CTN/SIZE</t>
  </si>
  <si>
    <t>14.5/PC ORDER
1 CTN/SIZE</t>
  </si>
  <si>
    <t>26/PC ORDER
1 CTN/SIZE</t>
  </si>
  <si>
    <t>42/PC ORDER
1 CTN/SIZE</t>
  </si>
  <si>
    <t>61/PC ORDER
1 CTN/SIZE</t>
  </si>
  <si>
    <t>118/PC ORDER
1 CTN/SIZE</t>
  </si>
  <si>
    <t>8.5/PC ORDER
1 CTN/SIZE</t>
  </si>
  <si>
    <t>9.5/PC ORDER
1 CTN/SIZE</t>
  </si>
  <si>
    <t>13.5/PC ORDER
1 CTN/SIZE</t>
  </si>
  <si>
    <t>16/PC ORDER
1 CTN/SIZE</t>
  </si>
  <si>
    <t>19/PC ORDER
1 CTN/SIZE</t>
  </si>
  <si>
    <t>28/PC ORDER
1 CTN/SIZE</t>
  </si>
  <si>
    <t>60/PC ORDER
1 CTN/SIZE</t>
  </si>
  <si>
    <t>90/PC ORDER
1 CTN/SIZE</t>
  </si>
  <si>
    <t>46/PC ASSTD ORDER
10 CTN</t>
  </si>
  <si>
    <t>74/PC ASSTD ORDER
10 CTN</t>
  </si>
  <si>
    <t>78/PC ASSTD ORDER
10 CTN</t>
  </si>
  <si>
    <t>70/PC ASSTD ORDER
10 CTN</t>
  </si>
  <si>
    <t>52/SET ASSTD ORDER
5 CTN</t>
  </si>
  <si>
    <t>63/SET ASSTD ORDER
5 CTN</t>
  </si>
  <si>
    <t>79/SET ASSTD ORDER
10 CTN</t>
  </si>
  <si>
    <t>71/SET ASSTD ORDER
10 CTN</t>
  </si>
  <si>
    <t>76/SET ASSTD ORDER
10 CTN</t>
  </si>
  <si>
    <t>123/SET ASSTD ORDER
10 CTN</t>
  </si>
  <si>
    <t>155/SET
ASSTD ORDER 10 CTN</t>
  </si>
  <si>
    <t>188/SET
ASSTD ORDER 10 CTN</t>
  </si>
  <si>
    <t>330/SET ASSTD ORDER
10 CTN</t>
  </si>
  <si>
    <t>208/SET
ASSTD ORDER 10 CTN</t>
  </si>
  <si>
    <t>155/PC
ASSTD ORDER 50 PCS</t>
  </si>
  <si>
    <t>255/PC
ASSTD ORDER 50 PCS</t>
  </si>
  <si>
    <t>515/PC ASSTD ORDER
50 PCS</t>
  </si>
  <si>
    <t>780/PC
ASSTD ORDER 50 PCS</t>
  </si>
  <si>
    <t>7.3/PC
ASSTD ORDER  10 CTN</t>
  </si>
  <si>
    <t>7.8/PC
ASSTD ORDER  10 CTN</t>
  </si>
  <si>
    <t>9.8/PC
ASSTD ORDER  10 CTN</t>
  </si>
  <si>
    <t>14.2/PC
ASSTD ORDER  10 CTN</t>
  </si>
  <si>
    <t>22.3/PC
ASSTD ORDER  10 CTN</t>
  </si>
  <si>
    <t>34/PC
ASSTD ORDER  10 CTN</t>
  </si>
  <si>
    <t>57/PC
ASSTD ORDER  10 CTN</t>
  </si>
  <si>
    <t>69/PC
ASSTD ORDER  10 CTN</t>
  </si>
  <si>
    <t>15/PC
ASSTD ORDER 10 CTN</t>
  </si>
  <si>
    <t>18/PC
ASSTD ORDER 10 CTN</t>
  </si>
  <si>
    <t>25/PC
ASSTD ORDER 10 CTN</t>
  </si>
  <si>
    <t>45/PC
ASSTD ORDER 10 CTN</t>
  </si>
  <si>
    <t>65/PC
ASSTD ORDER 10 CTN</t>
  </si>
  <si>
    <t>105/PC
ASSTD ORDER 10 CTN</t>
  </si>
  <si>
    <t>125/PC
ASSTD ORDER 10 CTN</t>
  </si>
  <si>
    <t>4.5/PC
ASSTD ORDER 10BAG</t>
  </si>
  <si>
    <t>6.3/PC
ASSTD ORDER 10BAG</t>
  </si>
  <si>
    <t>8.5/PC
ASSTD ORDER 10BAG</t>
  </si>
  <si>
    <t>27/PC
ASSTD ORDER 10BAG</t>
  </si>
  <si>
    <t>48/PC
ASSTD ORDER 10BAG</t>
  </si>
  <si>
    <t>100/PC
ASSTD ORDER 10BAG</t>
  </si>
  <si>
    <t>235/PC
ASSTD ORDER 10BAG</t>
  </si>
  <si>
    <t>328/PC
ASSTD ORDER 10BAG</t>
  </si>
  <si>
    <t>1.9/PC
ASSTD ORDER 10BAG</t>
  </si>
  <si>
    <t>2/PC
ASSTD ORDER 10BAG</t>
  </si>
  <si>
    <t>2.6/PC
ASSTD ORDER 10BAG</t>
  </si>
  <si>
    <t>4.6/PC
ASSTD ORDER 10BAG</t>
  </si>
  <si>
    <t>8.8/PC
ASSTD ORDER 10BAG</t>
  </si>
  <si>
    <t>19/PC
ASSTD ORDER 10BAG</t>
  </si>
  <si>
    <t>33/PC
ASSTD ORDER 10BAG</t>
  </si>
  <si>
    <t>37/PC
ASSTD ORDER 10BAG</t>
  </si>
  <si>
    <t>57/PC
ASSTD ORDER 10BAG</t>
  </si>
  <si>
    <t>85/PC
ASSTD ORDER 10BAG</t>
  </si>
  <si>
    <t>265/ROLL ASSTD ORDER
10 SACK</t>
  </si>
  <si>
    <t>410/ROLL ASSTD ORDER
10 SACK</t>
  </si>
  <si>
    <t>515/ROLL
ASSTD ORDER 10 SACK</t>
  </si>
  <si>
    <t>639/ROLL
ASSTD ORDER 10 SACK</t>
  </si>
  <si>
    <t>806/ROLL
ASSTD ORDER 10 SACK</t>
  </si>
  <si>
    <t>1009/ROLL ASSTD ORDER
10 SACK</t>
  </si>
  <si>
    <t>1280/ROLL ASSTD ORDER
10 SACK</t>
  </si>
  <si>
    <t>1450/ROLL
ASSTD ORDER 10 SACK</t>
  </si>
  <si>
    <t>1750/ROLL
ASSTD ORDER 10 SACK</t>
  </si>
  <si>
    <t>2080/ROLL
ASSTD ORDER 10 SACK</t>
  </si>
  <si>
    <t>2630/ROLL ASSTD ORDER
10 SACK</t>
  </si>
  <si>
    <t>2980/ROLL ASSTD ORDER
10 SACK</t>
  </si>
  <si>
    <t>3300/ROLL
ASSTD ORDER 10 SACK</t>
  </si>
  <si>
    <t>3688/ROLL
ASSTD ORDER 10 SACK</t>
  </si>
  <si>
    <t>4045/ROLL
ASSTD ORDER 10 SACK</t>
  </si>
  <si>
    <t>35/ROLL
ASSTD ORDER 10 SACK</t>
  </si>
  <si>
    <t>55/ROLL
ASSTD ORDER 10 SACK</t>
  </si>
  <si>
    <t>75/ROLL
ASSTD ORDER 10 SACK</t>
  </si>
  <si>
    <t>115/ROLL ASSTD ORDER
10 SACK</t>
  </si>
  <si>
    <t>127/ROLL
ASSTD ORDER 10 SACK</t>
  </si>
  <si>
    <t>143/ROLL
ASSTD ORDER 10 SACK</t>
  </si>
  <si>
    <t>198/ROLL
ASSTD ORDER 10 SACK</t>
  </si>
  <si>
    <t>235/ROLL
ASSTD ORDER 10 SACK</t>
  </si>
  <si>
    <t>265/ROLL
ASSTD ORDER
10 SACK</t>
  </si>
  <si>
    <t>410/ROLL
ASSTD ORDER 10 SACK</t>
  </si>
  <si>
    <t>1280/ROLL
ASSTD ORDER 10 SACK</t>
  </si>
  <si>
    <t>2630/ROLL
ASSTD ORDER 10 SACK</t>
  </si>
  <si>
    <t>66/PC ASSTD ORDER
5 CTN</t>
  </si>
  <si>
    <t>71/PC ASSTD ORDER
5 CTN</t>
  </si>
  <si>
    <t>12100/ ROLL ASSTD ORDER
30 ROLLS</t>
  </si>
  <si>
    <t>16300
/ROLL ASSTD ORDER
30 ROLLS</t>
  </si>
  <si>
    <t>85/GRS
ASSTD ORDER 5CTN</t>
  </si>
  <si>
    <t>87/GRS
ASSTD ORDER 5CTN</t>
  </si>
  <si>
    <t>90/GRS
ASSTD ORDER 5CTN</t>
  </si>
  <si>
    <t>105/GRS
ASSTD ORDER 5CTN</t>
  </si>
  <si>
    <t>107/GRS
ASSTD ORDER 5CTN</t>
  </si>
  <si>
    <t>133/GRS
ASSTD ORDER 5CTN</t>
  </si>
  <si>
    <t>167/GRS
ASSTD ORDER 5CTN</t>
  </si>
  <si>
    <t>33.5/GRS
ASSTD ORDER 5CTN</t>
  </si>
  <si>
    <t>39/GRS
ASSTD ORDER 5CTN</t>
  </si>
  <si>
    <t>44/GRS
ASSTD ORDER 5CTN</t>
  </si>
  <si>
    <t>55/GRS
ASSTD ORDER 5CTN</t>
  </si>
  <si>
    <t>57/GRS
ASSTD ORDER 5CTN</t>
  </si>
  <si>
    <t>80/GRS
ASSTD ORDER 5CTN</t>
  </si>
  <si>
    <t>115/GRS
ASSTD ORDER 5CTN</t>
  </si>
  <si>
    <t>185/GRS
ASSTD ORDER 5CTN</t>
  </si>
  <si>
    <t>13.5/PC
ASSTD ORDER 10 CTN</t>
  </si>
  <si>
    <t>25.5/PC ASSTD ORDER
10 CTN</t>
  </si>
  <si>
    <t>32.5/PC
ASSTD ORDER 10 CTN</t>
  </si>
  <si>
    <t>30/PC ASSTD ORDER
10 CTN</t>
  </si>
  <si>
    <t>33.5/PC
ASSTD ORDER 10 CTN</t>
  </si>
  <si>
    <t>15.5/PC
ASSTD ORDER 10 CTN</t>
  </si>
  <si>
    <t>22.5/PC ASSTD ORDER
10 CTN</t>
  </si>
  <si>
    <t>13.5/PC ASSTD ORDER
10 CTN</t>
  </si>
  <si>
    <t>25.5/PC
ASSTD ORDER 10 CTN</t>
  </si>
  <si>
    <t>15.5/PC ASSTD ORDER
10 CTN</t>
  </si>
  <si>
    <t>22.5/PC
ASSTD ORDER 10 CTN</t>
  </si>
  <si>
    <t>24.5/PC ASSTD ORDER
10 CTN</t>
  </si>
  <si>
    <t>78/DOZ ASSTD ORDER
5 CTN</t>
  </si>
  <si>
    <t>135/DOZ
ASSTD ORDER 5 CTN</t>
  </si>
  <si>
    <t>145/DOZ ASSTD ORDER
5 CTN</t>
  </si>
  <si>
    <t>8.5/PC ASSTD ORDER
5 CTN</t>
  </si>
  <si>
    <t>9.5/PC ASSTD ORDER
5 CTN</t>
  </si>
  <si>
    <t>72/PC ASSTD ORDER
5 CTN</t>
  </si>
  <si>
    <t>28/PC ASSTD ORDER
10 CTN</t>
  </si>
  <si>
    <t>59/DOZ ASSTD ORDER
10 CTN</t>
  </si>
  <si>
    <t>16/PC ASSTD ORDER
5 CTN</t>
  </si>
  <si>
    <t>20/PC ASSTD ORDER
5 CTN</t>
  </si>
  <si>
    <t>36/PC ASSTD ORDER
5 CTN</t>
  </si>
  <si>
    <t>41/PC ASSTD ORDER
5 CTN</t>
  </si>
  <si>
    <t>60/PC ASSTD ORDER
3 CTN</t>
  </si>
  <si>
    <t>63/PC ASSTD ORDER
3 CTN</t>
  </si>
  <si>
    <t>87/PC ASSTD ORDER
3 CTN</t>
  </si>
  <si>
    <t>86/PAIR
ASSTD ORDER 10 CTN</t>
  </si>
  <si>
    <t>58/PC ASSTD ORDER
2 CTN</t>
  </si>
  <si>
    <t>23/PC ASSTD ORDER
5 CTN</t>
  </si>
  <si>
    <t>34/PC ASSTD ORDER
5 CTN</t>
  </si>
  <si>
    <t>43/PC ASSTD ORDER
5 CTN</t>
  </si>
  <si>
    <t>49/PC ASSTD ORDER
5 CTN</t>
  </si>
  <si>
    <t>60/PC ASSTD ORDER
5 CTN</t>
  </si>
  <si>
    <t>26/PC ASSTD ORDER
5 CTN</t>
  </si>
  <si>
    <t>28/PC ASSTD ORDER
5 CTN</t>
  </si>
  <si>
    <t>50/PC
ASSTD ORDER
5 CTN</t>
  </si>
  <si>
    <t>68/PC ASSTD ORDER
5 CTN</t>
  </si>
  <si>
    <t>77/PC ASSTD ORDER
5 CTN</t>
  </si>
  <si>
    <t>98/PC ASSTD ORDER
5 CTN</t>
  </si>
  <si>
    <t>42/PC ASSTD ORDER
10 CTN</t>
  </si>
  <si>
    <t>52/PC ASSTD ORDER
10 CTN</t>
  </si>
  <si>
    <t>79/PC ASSTD ORDER
10 CTN</t>
  </si>
  <si>
    <t>107/PC ASSTD ORDER
10 CTN</t>
  </si>
  <si>
    <t>154/PC ASSTD ORDER
10 CTN</t>
  </si>
  <si>
    <t>211/PC ASSTD ORDER
10 CTN</t>
  </si>
  <si>
    <t>45/PC ASSTD ORDER
10 CTN</t>
  </si>
  <si>
    <t>55/PC ASSTD ORDER
10 CTN</t>
  </si>
  <si>
    <t>84/PC ASSTD ORDER
10 CTN</t>
  </si>
  <si>
    <t>114/PC ASSTD ORDER
10 CTN</t>
  </si>
  <si>
    <t>166/PC
ASSTD ORDER
10 CTN</t>
  </si>
  <si>
    <t>226/PC ASSTD ORDER
10 CTN</t>
  </si>
  <si>
    <t>97/PC ASSTD ORDER
10 CTN</t>
  </si>
  <si>
    <t>52/PC ASSTD ORDER
20 CTN</t>
  </si>
  <si>
    <t>70/PC ASSTD ORDER
20 CTN</t>
  </si>
  <si>
    <t>50/PC ASSTD ORDER
20 CTN</t>
  </si>
  <si>
    <t>68/PC ASSTD ORDER
20 CTN</t>
  </si>
  <si>
    <t>78/DP ASSTD ORDER
20CTN</t>
  </si>
  <si>
    <t>86/DP ASSTD ORDER
20CTN A</t>
  </si>
  <si>
    <t>114/DP ASSTD ORDER
20CTN</t>
  </si>
  <si>
    <t>161/DP ASSTD ORDER
20CTN</t>
  </si>
  <si>
    <t>228/DP ASSTD ORDER
20CTN</t>
  </si>
  <si>
    <t>285/DP ASSTD ORDER
20CTN</t>
  </si>
  <si>
    <t>3.7/PC ASSTD ORDER
10 CTN</t>
  </si>
  <si>
    <t>5/PC ASSTD ORDER
10 CTN</t>
  </si>
  <si>
    <t>6.8/PC ASSTD ORDER
10 CTN</t>
  </si>
  <si>
    <t>10/PC ASSTD ORDER
10 CTN</t>
  </si>
  <si>
    <t>11/PC ASSTD ORDER
10 CTN</t>
  </si>
  <si>
    <t>18/PC ASSTD ORDER
10 CTN</t>
  </si>
  <si>
    <t>20.5/PC
ASSTD ORDER 10 CTN</t>
  </si>
  <si>
    <t>63/PC ASSTD ORDER
10 CTN</t>
  </si>
  <si>
    <t>350/PC ASSTD ORDER
5 CTN</t>
  </si>
  <si>
    <t>395/PC ASSTD ORDER
5 CTN</t>
  </si>
  <si>
    <t>PL55271-1 TOX W/SCREW #5&amp;6*1"（3.5*26mm）</t>
  </si>
  <si>
    <t>PL55271-2 TOX W/SCREW #6&amp;8*1"（4.2*26mm）</t>
  </si>
  <si>
    <t>64/PC ASSTD ORDER
5 CTN</t>
  </si>
  <si>
    <t>92/PC ASSTD ORDER
5 CTN</t>
  </si>
  <si>
    <t>PL66500-1 CUP BRUSH 曲丝3"-PLAIN M10*1.25mm</t>
  </si>
  <si>
    <t>PL66500-4CUP BRUSH 曲丝4"-PLAIN M16*2.0mm</t>
  </si>
  <si>
    <t>PL66500-5 CUP BRUSH 扭丝3"-TWISTED M10*1.25mm</t>
  </si>
  <si>
    <t>ORDER 1 CTN
+ 1 PC FREE  BG ANGLE GRINDER 650W (K230301)</t>
  </si>
  <si>
    <t>ORDER 1 CTN
+ 1 PC FREE  BG ANGLE GRINDER 1050W (K230304)</t>
  </si>
  <si>
    <t>ORDER 1 CTN
+ 1 PC FREE  BG ANGLE GRINDER 750W (K230306)</t>
  </si>
  <si>
    <t>ORDER 2 CTN
+ 1 FREE Bestguard Angle Grinder 860W (K230303)</t>
  </si>
  <si>
    <t>PL66181-1 FLAP DISCS（FOR METAL) #36</t>
  </si>
  <si>
    <t>13/PC ASSTD ORDER
20 CTN</t>
  </si>
  <si>
    <t>PL66181-2 FLAP DISCS（FOR METAL) #40</t>
  </si>
  <si>
    <t>PL66181-3 FLAP DISCS（FOR METAL) #60</t>
  </si>
  <si>
    <t>12/PC ASSTD ORDER
20 CTN</t>
  </si>
  <si>
    <t>PL66181-4 FLAP DISCS（FOR METAL) #80</t>
  </si>
  <si>
    <t>PL66181-5 FLAP DISCS（FOR METAL) #100</t>
  </si>
  <si>
    <t>PL66185-1 FLAP DISC（FOR STAINLESS) 4" 40#</t>
  </si>
  <si>
    <t>PL66185-2FLAP DISC（FOR STAINLESS) 4”60#</t>
  </si>
  <si>
    <t>PL66185-3 FLAP DISC（FOR STAINLESS) 4" 80#</t>
  </si>
  <si>
    <t>PL66185-4 FLAP DISC（FOR STAINLESS) 4" 100#</t>
  </si>
  <si>
    <t>PL66185-5 FLAP DISC（FOR STAINLESS) 4" 120#</t>
  </si>
  <si>
    <t>PL66490-1 ALUMINUM DUCT TAPE 2"X2.5丝 X30M</t>
  </si>
  <si>
    <t>PL66490-2 ALUMINUM DUCT TAPE 3"X2.5丝 X30M</t>
  </si>
  <si>
    <t>1.2/PC ASSTD ORDER
10CTN</t>
  </si>
  <si>
    <t>1.45/PC ASSTD ORDER
10CTN</t>
  </si>
  <si>
    <t>1.7/PC ASSTD ORDER
10CTN</t>
  </si>
  <si>
    <t>105/BOX ASSTD ORDER
50CTN</t>
  </si>
  <si>
    <t>125/BOX ASSTD ORDER
50CTN</t>
  </si>
  <si>
    <t>78/BOX ASSTD ORDER
50CTN</t>
  </si>
  <si>
    <t>97/BOX ASSTD ORDER
50CTN</t>
  </si>
  <si>
    <t>135/BOX
ASSTD ORDER
50CTN</t>
  </si>
  <si>
    <t>127/BOX ASSTD ORDER
50CTN</t>
  </si>
  <si>
    <t>89/BOX ASSTD ORDER
50CTN</t>
  </si>
  <si>
    <t>65/BOX ASSTD ORDER
50CTN</t>
  </si>
  <si>
    <t>80/BOX ASSTD ORDER
50CTN</t>
  </si>
  <si>
    <t>115/BOX ASSTD ORDER
50CTN</t>
  </si>
  <si>
    <t>108/BOX
ASSTD ORDER
50CTN</t>
  </si>
  <si>
    <t>485/BOX ASSTD ORDER
5 CTN</t>
  </si>
  <si>
    <t>115/BOX ASSTD ORDER
5 CTN</t>
  </si>
  <si>
    <t>155/BOX
ASSTD ORDER 5 CTN</t>
  </si>
  <si>
    <t>195/BOX
ASSTD ORDER 5 CTN</t>
  </si>
  <si>
    <t>240/BOX
ASSTD ORDER 5 CTN</t>
  </si>
  <si>
    <t>275/BOX ASSTD ORDER
5 CTN</t>
  </si>
  <si>
    <t>320/BOX ASSTD ORDER
5 CTN</t>
  </si>
  <si>
    <t>355/BOX
ASSTD ORDER 5 CTN</t>
  </si>
  <si>
    <t>160/BOX
ASSTD ORDER 5 CTN</t>
  </si>
  <si>
    <t>200/BOX ASSTD ORDER
5 CTN</t>
  </si>
  <si>
    <t>240/BOX ASSTD ORDER
5 CTN</t>
  </si>
  <si>
    <t>305/BOX
ASSTD ORDER 5 CTN</t>
  </si>
  <si>
    <t>340/BOX
ASSTD ORDER 5 CTN</t>
  </si>
  <si>
    <t>0.3/PC ASSTD ORDER
5 CTN</t>
  </si>
  <si>
    <t>PL550200-3 (LT55002-13) WELDED WIRE(GALVANIZED） BWG16*1"*3'*22M(N.W19.8)</t>
  </si>
  <si>
    <t>PL550200-4 WELDED WIRE(GALVANIZED） BWG16*1"*4'*22M(N.W26.4)</t>
  </si>
  <si>
    <t>880/ROLL
ASSTD ORDER 50 ROLLS</t>
  </si>
  <si>
    <t>1150/ROLL ASSTD ORDER
50 ROLLS</t>
  </si>
  <si>
    <t>580/ROLL ASSTD ORDER
50 ROLLS</t>
  </si>
  <si>
    <t>740/ROLL
ASSTD ORDER 50 ROLLS</t>
  </si>
  <si>
    <t>500/ROLL ASSTD ORDER 100 ROLLS</t>
  </si>
  <si>
    <t>750/ROLL ASSTD ORDER 100 ROLLS</t>
  </si>
  <si>
    <t>1000
/ROLL ASSTD ORDER 100
ROLLS</t>
  </si>
  <si>
    <t>1265
/ROLL ASSTD ORDER 100
ROLLS</t>
  </si>
  <si>
    <t>155/ROLL ASSTD ORDER
100 ROLLS</t>
  </si>
  <si>
    <t>195/ROLL
ASSTD ORDER 100 ROLLS</t>
  </si>
  <si>
    <t>245/ROLL
ASSTD ORDER 100 ROLLS</t>
  </si>
  <si>
    <t>290/ROLL ASSTD ORDER
100 ROLLS</t>
  </si>
  <si>
    <t>95/ROLL ASSTD ORDER
100 ROLLS</t>
  </si>
  <si>
    <t>125/ROLL ASSTD ORDER
100 ROLLS</t>
  </si>
  <si>
    <t>185/ROLL
ASSTD ORDER 100 ROLLS</t>
  </si>
  <si>
    <t>HARDWARE CLOTH</t>
  </si>
  <si>
    <t>265/PC ASSTD ORDER 200 ROLL</t>
  </si>
  <si>
    <t>ASSTD ORDER 100 ROLLS</t>
  </si>
  <si>
    <t>+ 10 ROLLS FREE (ONLY FREE W/O CLIP )</t>
  </si>
  <si>
    <t>price with unit</t>
  </si>
  <si>
    <t>610/ROLL</t>
  </si>
  <si>
    <t>560/ROLL ORDER 5 ROLL</t>
  </si>
  <si>
    <t>ORDER 20CTN
+
1 CTN FREE (ONLY FREE LT55014-SS)</t>
  </si>
  <si>
    <t>ORDER 20CTN
+ 1 CTN FREE
(only free LT55014- SS)</t>
  </si>
  <si>
    <t>PL55181-1 #38 HANG THE KEEL</t>
  </si>
  <si>
    <t>3.15/PC</t>
  </si>
  <si>
    <t>2.8/PC ASSTD ORDER
10 CTN</t>
  </si>
  <si>
    <t>70%</t>
  </si>
  <si>
    <t>65%</t>
  </si>
  <si>
    <t>ASSTD ORDER 50 CTN
+ 1 CTN FREE ASSTD ORDER 100 CTN
+ 3 CTN FREE FREE ONLY:
1/8''X 5/8
3/16''X 5/8</t>
  </si>
  <si>
    <t>280/ROLL</t>
  </si>
  <si>
    <t>1450/ROLL</t>
  </si>
  <si>
    <t>2350/ROLL</t>
  </si>
  <si>
    <t>PL550210-1 HOT DIPPED WELDED WIRE BWG16*1/2"*3'*25m</t>
  </si>
  <si>
    <t>5100/ROLL</t>
  </si>
  <si>
    <t>PL550210-2 HOT DIPPED WELDED WIRE BWG16*1/2"*4'*25m</t>
  </si>
  <si>
    <t>6700/ROLL</t>
  </si>
  <si>
    <t>PL550210-3 HOT DIPPED WELDED WIRE BWG16*1"*3'*25m</t>
  </si>
  <si>
    <t>2680/ROLL</t>
  </si>
  <si>
    <t>PL550210-4 HOT DIPPED WELDED WIRE BWG16*1"*4*25m</t>
  </si>
  <si>
    <t>3450/ROLL</t>
  </si>
  <si>
    <t>PLASTECH-1 POLOLOCK THYLENE SCREEN 1/8X3</t>
  </si>
  <si>
    <t>856/ROLL</t>
  </si>
  <si>
    <t>PLASTECH-2 POLOLOCK THYLENE SCREEN 1/8X4</t>
  </si>
  <si>
    <t>1140/ROLL</t>
  </si>
  <si>
    <t>PLASTECH-3 POLOLOCK THYLENE SCREEN 1/4X3</t>
  </si>
  <si>
    <t>PLASTECH-4 POLOLOCK THYLENE SCREEN 1/4X4</t>
  </si>
  <si>
    <t>PLASTECH-5 POLOLOCK THYLENE SCREEN 3/8X3</t>
  </si>
  <si>
    <t>903/ROLL</t>
  </si>
  <si>
    <t>PLASTECH-6 POLOLOCK THYLENE SCREEN 3/8X4</t>
  </si>
  <si>
    <t>1207/ROLL</t>
  </si>
  <si>
    <t>PLASTECH-7 POLOLOCK THYLENE SCREEN 1/2X3</t>
  </si>
  <si>
    <t>PLASTECH-8 POLOLOCK THYLENE SCREEN 1/2X4</t>
  </si>
  <si>
    <t>1590/ROLL</t>
  </si>
  <si>
    <t>PLASTECH-9 POLOLOCK THYLENE SCREEN 1X3</t>
  </si>
  <si>
    <t>1029/ROLL</t>
  </si>
  <si>
    <t>PLASTECH-10 POLOLOCK THYLENE SCREEN 3/4X3</t>
  </si>
  <si>
    <t>966/ROLL</t>
  </si>
  <si>
    <t>PLASTECH-11 POLOLOCK THYLENE SCREEN 3/4X4</t>
  </si>
  <si>
    <t>1292/ROLL</t>
  </si>
  <si>
    <t>PLASTECH-12 POLOLOCK THYLENE SCREEN 1X4</t>
  </si>
  <si>
    <t>1481/ROLL</t>
  </si>
  <si>
    <t>PL55190 POLONET #6*500M SERVICE DROP WIRE</t>
  </si>
  <si>
    <t>7900/ROLL</t>
  </si>
  <si>
    <t>PL55191 DUPLEX #6 SERVICE DROP WIRE 44KG</t>
  </si>
  <si>
    <t>7800/ROLL</t>
  </si>
  <si>
    <t>PL55101-1 GOLD ALUMINUM STAIR NOSING</t>
  </si>
  <si>
    <t>PL55101-2 SILVER ALUMINUM STAIR NOSING</t>
  </si>
  <si>
    <t>PL55100-1 ALUMINUM TILE TRIM GOLD</t>
  </si>
  <si>
    <t>PL55100-2 ALUMINUM TILE TRIM SILVER</t>
  </si>
  <si>
    <t>LT55014-SS SILVER TILE DECORATIVE STRIP SQUARE 1*50</t>
  </si>
  <si>
    <t>PL55200-1 1/4" HEX NUT</t>
  </si>
  <si>
    <t>0.22/PC</t>
  </si>
  <si>
    <t>PL55200-2 5/16" HEX NUT</t>
  </si>
  <si>
    <t>0.45/PC</t>
  </si>
  <si>
    <t>PL55200-3 3/8" HEX NUT</t>
  </si>
  <si>
    <t>0.50/PC</t>
  </si>
  <si>
    <t>PL55200-4 1/2" HEX NUT</t>
  </si>
  <si>
    <t>PL55220-1 J. BOLT W/ RUBBER WASHER 2-1/2"</t>
  </si>
  <si>
    <t>PL55220-2 J. BOLT W/ RUBBER WASHER 3"</t>
  </si>
  <si>
    <t>PL55040-03 BLIND RIVETS 1/8"*3/8"</t>
  </si>
  <si>
    <t>400/BOX</t>
  </si>
  <si>
    <t>PL55040-04 BLIND RIVETS 1/8"*7/16"</t>
  </si>
  <si>
    <t>420/BOX</t>
  </si>
  <si>
    <t>PL55040-05 BLIND RIVETS 1/8"*1/2"</t>
  </si>
  <si>
    <t>440/BOX</t>
  </si>
  <si>
    <t>PL55040-06 BLIND RIVETS 1/8"*5/8"</t>
  </si>
  <si>
    <t>PL55040-07 BLIND RIVETS 1/8"*3/4"</t>
  </si>
  <si>
    <t>640/BOX</t>
  </si>
  <si>
    <t>PL55040-08 BLIND RIVETS 1/8"*1"</t>
  </si>
  <si>
    <t>900/BOX</t>
  </si>
  <si>
    <t>PL55040-11 BLIND RIVETS 5/32"*3/8"</t>
  </si>
  <si>
    <t>480/BOX</t>
  </si>
  <si>
    <t>PL55040-12 BLIND RIVETS 5/32"*1/2"</t>
  </si>
  <si>
    <t>520/BOX</t>
  </si>
  <si>
    <t>PL55040-13 BLIND RIVETS 5/32"*5/8"</t>
  </si>
  <si>
    <t>PL55040-14 BLIND RIVETS 5/32"*3/4"</t>
  </si>
  <si>
    <t>350/BOX</t>
  </si>
  <si>
    <t>PL55040-15 BLIND RIVETS 5/32"*1"</t>
  </si>
  <si>
    <t>625/BOX</t>
  </si>
  <si>
    <t>PL55040-18 BLIND RIVETS 3/16"*3/8"</t>
  </si>
  <si>
    <t>310/BOX</t>
  </si>
  <si>
    <t>PL55040-19 BLIND RIVETS 3/16"*1/2"</t>
  </si>
  <si>
    <t>PL55040-20 BLIND RIVETS 3/16"*5/8"</t>
  </si>
  <si>
    <t>PL55040-21 BLIND RIVETS 3/16"*3/4"</t>
  </si>
  <si>
    <t>PL55040-22 BLIND RIVETS 3/16"*1"</t>
  </si>
  <si>
    <t>575/BOX</t>
  </si>
  <si>
    <t>50/BOX</t>
  </si>
  <si>
    <t>69/BOX</t>
  </si>
  <si>
    <t>97/BOX</t>
  </si>
  <si>
    <t>71/BOX</t>
  </si>
  <si>
    <t>72/BOX</t>
  </si>
  <si>
    <t>45/BOX</t>
  </si>
  <si>
    <t>64/BOX</t>
  </si>
  <si>
    <t>56/BOX</t>
  </si>
  <si>
    <t>60/BOX</t>
  </si>
  <si>
    <t>65/BOX</t>
  </si>
  <si>
    <t>70/BOX</t>
  </si>
  <si>
    <t>86/BOX</t>
  </si>
  <si>
    <t>2250/ROLL</t>
  </si>
  <si>
    <t>2950/ROLL</t>
  </si>
  <si>
    <t>4300/ROLL</t>
  </si>
  <si>
    <t>68/PC				
ASSTD ORDER				
20 CTN				
additional:				
ASSTD ORDER				
"50 CTN,
+ 3 CTN SILICON"				
SEALANT				
(except Clear)				
*no returns on				
freebies</t>
  </si>
  <si>
    <t>-35% -5%</t>
  </si>
  <si>
    <t>-60% -10%)</t>
  </si>
  <si>
    <t>-60% -5%</t>
  </si>
  <si>
    <t>PL55150-1 50M POLOLOCK FIBER GLASS MESH CLOTH</t>
  </si>
  <si>
    <t>820/ROLL</t>
  </si>
  <si>
    <t>PL55150-2 (LT55024-100) 100M POLOLOCK FIBER GLASS MESH CLOTH</t>
  </si>
  <si>
    <t>PL55151-1 (LT77001-25) GYPSUM TAPE 25MM* 1"</t>
  </si>
  <si>
    <t>12.50/PC</t>
  </si>
  <si>
    <t>PL55151-2 GYPSUM TAPE 38MM* 1"1/2</t>
  </si>
  <si>
    <t>PL55151-3 GYPSUM TAPE 50MM 2"</t>
  </si>
  <si>
    <t>PL88054-D1SN POLOLOCK H2D1 HANDLESET LOCK</t>
  </si>
  <si>
    <t>1888/PC</t>
  </si>
  <si>
    <t>PL88054-D1CP POLOLOCK H2D1 HANDLESET LOCK</t>
  </si>
  <si>
    <t>PL88054-D1MB POLOLOCK H2D1 HANDLESET LOCK</t>
  </si>
  <si>
    <t>PL88054-D1PB POLOLOCK H2D1HANDLESET LOCK</t>
  </si>
  <si>
    <t>PL550207-2 (LT55022-2) HALF ROUND WITHOUT RING BTO-22 COMBAT WIRE W/O CLIP</t>
  </si>
  <si>
    <t>PL550208-1 POLOLOCK EXPANDED WIRE 3FT (N.W5.7)</t>
  </si>
  <si>
    <t>1400/ROLL ASSTD ORDER 20 ROLLS</t>
  </si>
  <si>
    <t>PL550208-2 POLOLOCK EXPANDED WIRE 4FT (N.W7.6)</t>
  </si>
  <si>
    <t>1825/ROLL ASSTD ORDER 20 ROLLS</t>
  </si>
  <si>
    <t>1680/ROLL ASSTD ORDER 20ROLL</t>
  </si>
  <si>
    <t>2250/ROLL ASSTD ORDER 20ROLL</t>
  </si>
  <si>
    <t>1150/ROLL ASSTD ORDER 50 ROLLS</t>
  </si>
  <si>
    <t>PL55030-1 ANNEALED WIRE #16</t>
  </si>
  <si>
    <t>PL55030-2 ANNEALED WIRE #18</t>
  </si>
  <si>
    <t>PL55120-1 1/4*3M THREADED ROD</t>
  </si>
  <si>
    <t>PL55120-2 5/16*3M THREADED ROD</t>
  </si>
  <si>
    <t>PL55120-3 3/8*3M THREADED ROD</t>
  </si>
  <si>
    <t>PL55120-4 1/2*3M THREADED ROD</t>
  </si>
  <si>
    <t>31.5/PC ASSTD ORDER 50 CTN</t>
  </si>
  <si>
    <t>1.75/PC ASSTD ORDER 10 CTN</t>
  </si>
  <si>
    <t>1.85/PC ASSTD ORDER 10 CTN</t>
  </si>
  <si>
    <t>PL55041-00 BLIND RIVETS 1/8"*3/8"</t>
  </si>
  <si>
    <t>PL55041-01 BLIND RIVETS 1/8"*1/2"</t>
  </si>
  <si>
    <t>PL55041-02 BLIND RIVETS 1/8"*5/8"</t>
  </si>
  <si>
    <t>PL55041-03 BLIND RIVETS 1/8"*3/4"</t>
  </si>
  <si>
    <t>PL55041-04 (LT55013-5) BLIND RIVETS 1/8"*1"</t>
  </si>
  <si>
    <t>PL55041-05 BLIND RIVETS 5/32"*3/8"</t>
  </si>
  <si>
    <t>PL55041-06 BLIND RIVETS 5/32"*1/2"</t>
  </si>
  <si>
    <t>PL55041-07 BLIND RIVETS 5/32"*5/8"</t>
  </si>
  <si>
    <t>PL55041-08 BLIND RIVETS 5/32"*3/4"</t>
  </si>
  <si>
    <t>PL55041-09 BLIND RIVETS 5/32"*1"</t>
  </si>
  <si>
    <t>PL55041-10 BLIND RIVETS 3/16"*3/8"</t>
  </si>
  <si>
    <t>PL55041-11 BLIND RIVETS 3/16"*1/2"</t>
  </si>
  <si>
    <t>PL55041-12 (LT55013-13) BLIND RIVETS 3/16"*5/8"</t>
  </si>
  <si>
    <t>PL55041-13 BLIND RIVETS 3/16"*3/4"</t>
  </si>
  <si>
    <t>PL55041-14 BLIND RIVETS 3/16"*1"</t>
  </si>
  <si>
    <t>PL55140-4 SACKOLINE 2.44m * 100m * 127GSM (BLUE ORANGE) #40</t>
  </si>
  <si>
    <t>PL55140-5 SACKOLINE 3.66m * 100m * 115GSM (BLUE ORANGE) #52</t>
  </si>
  <si>
    <t>PL55141-1 SACKOLINE 2.44*100MM*92GSM (BLACK)#28</t>
  </si>
  <si>
    <t>PL55141-3 SACKOLINE 2.44*100MM*127GSM (BLACK)#40</t>
  </si>
  <si>
    <t>PL55141-4 SACKOLINE 2.44*100MM*115GSM (BLACK)#50</t>
  </si>
  <si>
    <t>780/ROLL ASSTD ORDER 20 ROLLS</t>
  </si>
  <si>
    <t>1380/ROLL ASSTD ORDER 20 ROLLS</t>
  </si>
  <si>
    <t>11.5/PC ASSTD ORDER 30CTN</t>
  </si>
  <si>
    <t>PL55170-1 SILICONE SEALANT CLEAR</t>
  </si>
  <si>
    <t>PL55170-2 SILICONE SEALANT WHITE</t>
  </si>
  <si>
    <t>PL55170-3 SILICONE SEALANT BLACK</t>
  </si>
  <si>
    <t>PL55170-4 SILICONE SEALANT BROWN</t>
  </si>
  <si>
    <t>PL55170-5 SILICONE SEALANT GRAY</t>
  </si>
  <si>
    <t>4600/ROLL
ASSTD ORDER 50 ROLL</t>
  </si>
  <si>
    <t>6050/ROLL
ASSTD ORDER 50 ROLL</t>
  </si>
  <si>
    <t>2400/ROLL ASSTD ORDER
50 ROLL</t>
  </si>
  <si>
    <t>3100/ROLL ASSTD ORDER
50 ROLL</t>
  </si>
  <si>
    <t>810/ROLL ASSTD ORDER
50 ROLLS</t>
  </si>
  <si>
    <t>1080/ROLL ASSTD ORDER
50 ROLLS</t>
  </si>
  <si>
    <t>810/ROLL
ASSTD ORDER 50 ROLLS</t>
  </si>
  <si>
    <t>850/ROLL
ASSTD ORDER 50 ROLLS</t>
  </si>
  <si>
    <t>1130/ROLL ASSTD ORDER
50 ROLLS</t>
  </si>
  <si>
    <t>1500/ROLL
ASSTD ORDER 50 ROLLS</t>
  </si>
  <si>
    <t>980/ROLL ASSTD ORDER
50 ROLLS</t>
  </si>
  <si>
    <t>920/ROLL
ASSTD ORDER 50 ROLLS</t>
  </si>
  <si>
    <t>1230/ROLL
ASSTD ORDER 50 ROLLS</t>
  </si>
  <si>
    <t>1410/ROLL ASSTD ORDER
50 ROLLS</t>
  </si>
  <si>
    <t>PL55131-01 SCAFFOLDING CLAMP SWIVEL 1-1/2"活动型 (550g)</t>
  </si>
  <si>
    <t>31/PC ASSTD ORDER
50 CTN</t>
  </si>
  <si>
    <t>0.2/PC ASSTD ORDER
5 CTN</t>
  </si>
  <si>
    <t>0.41/PC ASSTD ORDER
5 CTN</t>
  </si>
  <si>
    <t>0.45/PC
ASSTD ORDER 5 CTN</t>
  </si>
  <si>
    <t>1.5/PC ASSTD ORDER
5 CTN</t>
  </si>
  <si>
    <t>1830
/ROLL ASSTD OREDER
200ROLL</t>
  </si>
  <si>
    <t>2000
/ROLL ASSTD OREDER
200ROLL</t>
  </si>
  <si>
    <t>2700/ ROLL ASSTD OREDER
200ROLL</t>
  </si>
  <si>
    <t>4000
/ROLL ASSTD OREDER
200ROLL</t>
  </si>
  <si>
    <t>1830
/ROLL ASSTD ORDER 200ROLL</t>
  </si>
  <si>
    <t>2700
/ROLL ASSTD ORDER 200ROLL</t>
  </si>
  <si>
    <t>4000
/ROLL ASSTD ORDER 200ROLL</t>
  </si>
  <si>
    <t>17/PC ASSTD ORDER
30CTN</t>
  </si>
  <si>
    <t>21/PC ASSTD ORDER
30CTN</t>
  </si>
  <si>
    <t>dp</t>
  </si>
  <si>
    <t>pairs</t>
  </si>
  <si>
    <t>s.box</t>
  </si>
  <si>
    <t>sack</t>
  </si>
  <si>
    <t>BAG-PLATED RED COPPER CABINET DRAWER HANDLES</t>
  </si>
  <si>
    <t>PL22183-01 POLONET GOOSENECK FAUCET WALL TYPE 270G</t>
  </si>
  <si>
    <t>Less 5%</t>
  </si>
  <si>
    <t>description</t>
  </si>
  <si>
    <t>box/ctn</t>
  </si>
  <si>
    <t>pcs/bdl</t>
  </si>
  <si>
    <t>set/ctn</t>
  </si>
  <si>
    <t>rolls/ctn</t>
  </si>
  <si>
    <t>PVC FITTINGS PVC PLUG</t>
  </si>
  <si>
    <t>PLT001 FEMALE THREAD TEE 1/2 X 1/2</t>
  </si>
  <si>
    <t>PLT004 FEMALE THREAD TEE 3/4 X 3/4</t>
  </si>
  <si>
    <t>PLT003 FEMALE THREAD TEE 3/4 X 1/2</t>
  </si>
  <si>
    <t>PLT002 FEMALE THREAD TEE 1/2 X 3/4</t>
  </si>
  <si>
    <t>Less 20%</t>
  </si>
  <si>
    <t>cleaned product name (one line only and remove extra spaces)</t>
  </si>
  <si>
    <t>PL22151-2 HI-GRADE STAINLESS FLOOR STRAINER 6"*6"</t>
  </si>
  <si>
    <t>PL22041-10 48"*20"*7.5"-DOUBLE BOWL RIGHT DRAIN STAINLESS KITCHEN SINK</t>
  </si>
  <si>
    <t>PL22042-04 24"*18"*8.5" SINGLE SINK STAINLESS STEEL HAND SINK BLACK</t>
  </si>
  <si>
    <t>PL22093-06 CHEMICAL HOSE 1"*50M</t>
  </si>
  <si>
    <t>PL22211-2 POWER SPRAYER HOSE 15m-BLACK</t>
  </si>
  <si>
    <t>PL22211-3 POWER SPRAYER HOSE 20m-BLACK</t>
  </si>
  <si>
    <t>PL22100 15MM -1/2" ABS WATER METER</t>
  </si>
  <si>
    <t>PL22011-1 PREMIUM PTFE SEAL TAPE 1/2"- 12mm*0.075mm*10m*0.35g/cm3</t>
  </si>
  <si>
    <t>PL22011-2 PREMIUM PTFE SEAL TAPE 3/4"- 19mm*0.075mm*10m*0.35g/cm3</t>
  </si>
  <si>
    <t>PL22011-3 PREMIUM PTFE SEAL TAPE 1"- 25mm*0.075mm*10m*0.35g/cm3</t>
  </si>
  <si>
    <t>PL22181-01 POLONET MULTIFUNCTION FAUCET SHOWER SET内管三元乙两</t>
  </si>
  <si>
    <t>PL22181-02 POLONET MULTIFUNCTION FAUCET SHOWER SET内管PVC</t>
  </si>
  <si>
    <t>PL22182-03 POLONET 304 STAINLESS BIDET SET</t>
  </si>
  <si>
    <t>PL22183-02 POLONET GOOSENECK FAUCET WALL TYPE 235G</t>
  </si>
  <si>
    <t>PL22183-03POLONET GOOSENECK FAUCET WALL TYPE 482G</t>
  </si>
  <si>
    <t>PL22183-04 POLONET GOOSENECK FAUCET WALL TYPE 250G</t>
  </si>
  <si>
    <t>PL22183-05 POLONET GOOSENECK FAUCET WALL TYPE 302G</t>
  </si>
  <si>
    <t>PL22183-06 POLONET GOOSENECK FAUCET WALL TYPE 310G</t>
  </si>
  <si>
    <t>PL22183-07 POLONET GOOSENECK FAUCET WALL TYPE 495G</t>
  </si>
  <si>
    <t>PL22188-51 STAINLESS GOOSENECK FAUCET MATTE BLACK 立式 SINK TYPE</t>
  </si>
  <si>
    <t>PL22188-52 STAINLESS GOOSENECK FAUCET MATTE BLACK 立式 SINK TYPE</t>
  </si>
  <si>
    <t>PL22188-53 STAINLESS GOOSENECK FAUCET MATTE BLACK 立式 SINK TYPE</t>
  </si>
  <si>
    <t>PL22188-54 STAINLESS GOOSENECK FAUCET MATTE BLACK 立式 SINK TYPE</t>
  </si>
  <si>
    <t>PL22188-55 STAINLESS GOOSENECK FAUCET MATTE BLACK 横式-WALL TYPE</t>
  </si>
  <si>
    <t>PL22188-56 STAINLESS GOOSENECK FAUCET MATTE BLACK 横式-WALL TYPE</t>
  </si>
  <si>
    <t>PL22188-57 STAINLESS GOOSENECK FAUCET MATTE BLACK 横式-WALL TYPE</t>
  </si>
  <si>
    <t>PL22188-58 STAINLESS GOOSENECK FAUCET MATTE BLACK 横式-WALL TYPE</t>
  </si>
  <si>
    <t>PL22185-01 POLONET FAUCET WALL TYPE 1/2''*2'' SINGLE HANDLE</t>
  </si>
  <si>
    <t>PL22185-02 POLONET FAUCET WALL TYPE 1/2''*4'' SINGLE HANDLE</t>
  </si>
  <si>
    <t>PL22185-03 POLONET FAUCET WALL TYPE 1/2''*6'' SINGLE HANDLE</t>
  </si>
  <si>
    <t>PL22185-04 POLONET FAUCET WALL TYPE 1/2''*2''(57MM) CROSS HANDLE</t>
  </si>
  <si>
    <t>PL22185-05POLONET FAUCET WALL TYPE 1/2''*4''(84MM) CROSS HANDLE</t>
  </si>
  <si>
    <t>PL22185-06 POLONET FAUCET WALL TYPE 1/2''*6''(130MM) CROSS HANDLE</t>
  </si>
  <si>
    <t>PL22186-01 POLONET TWO WAY FAUCET 290G (CIRCLE HANDLE)</t>
  </si>
  <si>
    <t>PL22188-21 304 STAINLESS ANGLE VALVE 1/2"*1/2"*1/2"*1/2"</t>
  </si>
  <si>
    <t>PL22188-22 304 STAINLESS ANGLE VALVE 1/2"*1/2"*1/2"*1/2"*1/2"</t>
  </si>
  <si>
    <t>PL22188-67 STAINLESS ANGLE VALVE MATTE BLACK 1/2"*1/2"</t>
  </si>
  <si>
    <t>PL22188-69 STAINLESS ANGLE VALVE MATTE BLACK 1/2"*1/2"*1/2"</t>
  </si>
  <si>
    <t>PL22188-71 STAINLESS ANGLE VALVE MATTE BLACK 1/2"*1/2"*1/2"*1/2"</t>
  </si>
  <si>
    <t>PL22188-72 STAINLESS ANGLE VALVE MATTE BLACK 1/2"*1/2"*1/2"*1/2"*1/2"</t>
  </si>
  <si>
    <t>PL22188-64 STAINLESS SINK FAUCET MATTE BLACK 1/2"*33mm</t>
  </si>
  <si>
    <t>PL22188-65 STAINLESS SINK FAUCET MATTE BLACK 1/2"*67mm</t>
  </si>
  <si>
    <t>PL22188-66 STAINLESS SINK FAUCET MATTE BLACK 1/2"*97mm</t>
  </si>
  <si>
    <t>PL22188-62 STAINLESS SINK FAUCET MATTE BLACK 1/2"*38mm</t>
  </si>
  <si>
    <t>PL22188-63 STAINLESS SINK FAUCET MATTE BLACK 1/2"*68mm</t>
  </si>
  <si>
    <t>PL220800-00 1/2 PVC ELBOW</t>
  </si>
  <si>
    <t>PL220800-02 1" PVC ELBOW</t>
  </si>
  <si>
    <t>PL220800-03 1-1/4" PVC ELBOW</t>
  </si>
  <si>
    <t>PL220800-05 2" PVC ELBOW</t>
  </si>
  <si>
    <t>PL220802-00 1/2 PVC TEE</t>
  </si>
  <si>
    <t>PL220802-02 1" PVC TEE</t>
  </si>
  <si>
    <t>PL220803-02 1x3/4 PVC TEE REDUCER</t>
  </si>
  <si>
    <t>PL220804-00 1/2 PVC COUPLING</t>
  </si>
  <si>
    <t>PL220805-00 3/4*1/2 PVC COUPLING REDUCER</t>
  </si>
  <si>
    <t>PL220805-01 (LTSN007-17) 1*1/2 PVC COUPLING REDUCER</t>
  </si>
  <si>
    <t>PL220806-00 1/2 PVC FEMALE ADAPTER</t>
  </si>
  <si>
    <t>PL220806-02 1" PVC FEMALE ADAPTER</t>
  </si>
  <si>
    <t>PL220806-03 1-1/4" PVC FEMALE ADAPTER</t>
  </si>
  <si>
    <t>PL220807--02 1" PVC MALE ADAPTER</t>
  </si>
  <si>
    <t>PL220808-02 1" PVC FEMALE THREAD ELBOW</t>
  </si>
  <si>
    <t>PL220810-00 1/2 PVC PLUG</t>
  </si>
  <si>
    <t>PL220811-00 1/2 PVC END CAP</t>
  </si>
  <si>
    <t>PL220811-01 3/4 PVC END CAP</t>
  </si>
  <si>
    <t>PL220812-00 1/2 PVC UNION PATENTE</t>
  </si>
  <si>
    <t>PL220812-01 3/4 PVC UNION PATENTE</t>
  </si>
  <si>
    <t>PL220812-02 1" PVC UNION PATENTE</t>
  </si>
  <si>
    <t>PLC001 FEMALE THREAD SOCKET 1/2 X 1/2</t>
  </si>
  <si>
    <t>PLC002 FEMALE THREAD SOCKET 1/2 X 3/4</t>
  </si>
  <si>
    <t>PLC003 FEMALE THREAD SOCKET 3/4 X 1/2</t>
  </si>
  <si>
    <t>PLC004 FEMALE THREAD SOCKET 3/4 X3/4</t>
  </si>
  <si>
    <t>PLC005 FEMALE THREAD SOCKET 3/4 X 1"</t>
  </si>
  <si>
    <t>PLC101 MALE THREAD SOCKET 1/2</t>
  </si>
  <si>
    <t>PLC103 MALE THREAD SOCKET 3/4 X 1/2</t>
  </si>
  <si>
    <t>PLC106 MALE THREAD SOCKET 1" X 3/4</t>
  </si>
  <si>
    <t>PLC107 MALE THREAD SOCKET 1" X 1"</t>
  </si>
  <si>
    <t>PLC114 MALE SOCKET S25 x 1</t>
  </si>
  <si>
    <t>PLC203 COUPLING 1"</t>
  </si>
  <si>
    <t>PLC204 COUPLING 1"1/4</t>
  </si>
  <si>
    <t>PLC205 COUPLING 1"1/2</t>
  </si>
  <si>
    <t>PLC206 COUPLING 2"</t>
  </si>
  <si>
    <t>PLC302 COUPLING REDUCER 1 X 1/2</t>
  </si>
  <si>
    <t>PLC303 COUPLING REDUCER 1 X 3/4</t>
  </si>
  <si>
    <t>PLL001 FEMALE THREAD ELBOW 1/2 X 1/2</t>
  </si>
  <si>
    <t>PLL003 FEMALE THREAD ELBOW 3/4 X 1/2</t>
  </si>
  <si>
    <t>PLL004 FEMALE THREAD ELBOW 3/4 X 3/4</t>
  </si>
  <si>
    <t>PLL006 FEMALE THREAD ELBOW 1" X 3/4</t>
  </si>
  <si>
    <t>PLL601 ELBOW REDUCER 3/4X1/2</t>
  </si>
  <si>
    <t>PLL602 ELBOW REDUCER 1X1/2</t>
  </si>
  <si>
    <t>PLL603 ELBOW REDUCER 1X3/4</t>
  </si>
  <si>
    <t>PLS003 STOP VALVE 1"</t>
  </si>
  <si>
    <t>PLT101 MALE THREAD TEE 1/2 X 1/2</t>
  </si>
  <si>
    <t>PLT103 MALE THREAD TEE 3/4 X 1/2</t>
  </si>
  <si>
    <t>PLT104 MALE THREAD TEE 3/4 X 3/4</t>
  </si>
  <si>
    <t>PLT106 MALE THREAD TEE 1 X 3/4</t>
  </si>
  <si>
    <t>PLU001 FEMALE THREAD UNION 1/2 x 1/2</t>
  </si>
  <si>
    <t>PLU002 FEMALE THREAD UNION 3/4 x 3/4</t>
  </si>
  <si>
    <t>PLU101 MALE THREAD UNION 1/2 x 1/2</t>
  </si>
  <si>
    <t>PLU102 MALE THREAD UNION 3/4 x 3/4</t>
  </si>
  <si>
    <t>PLU103 MALE THREAD UNION 1" X 1"</t>
  </si>
  <si>
    <t>PL22000-1 PHILWATER PVC BALL VALVE 1/2</t>
  </si>
  <si>
    <t>PL22000-2 PHILWATER PVC BALL VALVE 3/4</t>
  </si>
  <si>
    <t>PL22000-3 PHILWATER PVC BALL VALVE 1"</t>
  </si>
  <si>
    <t>PL22000-4 PHILWATER PVC BALL VALVE 1"1/4</t>
  </si>
  <si>
    <t>PL22000-5 PHILWATER PVC BALL VALVE 1"1/2</t>
  </si>
  <si>
    <t>PL22000-6 PHILWATER PVC BALL VALVE 2"</t>
  </si>
  <si>
    <t>PL22001-1 PHILWATER PVC BALL VALVE THREADED 1/2</t>
  </si>
  <si>
    <t>PL22001-2 PHILWATER PVC BALL VALVE THREADED 3/4</t>
  </si>
  <si>
    <t>PL222401-01 25 * 1/2 P.E COMPRESSION SADDLE CLAMP ALL BLACK</t>
  </si>
  <si>
    <t>PL222402-01 32 * 1/2 P.E COMPRESSION SADDLE CLAMP ALL BLACK</t>
  </si>
  <si>
    <t>PL222403-01 40 * 1/2 P.E COMPRESSION SADDLE CLAMP ALL BLACK</t>
  </si>
  <si>
    <t>PL222404-01 50 * 1/2 P.E COMPRESSION SADDLE CLAMP ALL BLACK</t>
  </si>
  <si>
    <t>PL222405-01 63 * 1/2 P.E COMPRESSION SADDLE CLAMP ALL BLACK</t>
  </si>
  <si>
    <t>PL222406-01 75*1/2 P.E COMPRESSION SADDLE CLAMP ALL BLACK</t>
  </si>
  <si>
    <t>PL222407-01 90*1/2 P.E COMPRESSION SADDLE CLAMP ALL BLACK</t>
  </si>
  <si>
    <t>PL222408-01 110*1/2 P.E COMPRESSION SADDLE CLAMP ALL BLACK</t>
  </si>
  <si>
    <t>PL55090-00 G.I HOSE CLAMP 1/2"</t>
  </si>
  <si>
    <t>PL22070-00 G.I NIPPLE 1/4"x2"</t>
  </si>
  <si>
    <t>PL22070-05 G.I NIPPLE 1/2"x1"</t>
  </si>
  <si>
    <t>PL22070-07 G.I NIPPLE 1/2"x 3"</t>
  </si>
  <si>
    <t>PL22070-08 G.I NIPPLE 1/2"x 4"</t>
  </si>
  <si>
    <t>PL22070-09 G.I NIPPLE 1/2"x 5"</t>
  </si>
  <si>
    <t>PL22070-10 G.I NIPPLE 1/2"x 6"</t>
  </si>
  <si>
    <t>PL22070-11 G.I NIPPLE 1/2"x 7"</t>
  </si>
  <si>
    <t>PL22070-13 G.I NIPPLE 1/2"x 9"</t>
  </si>
  <si>
    <t>PL22070-14 G.I NIPPLE 1/2"x 10"</t>
  </si>
  <si>
    <t>PL22070-15 G.I NIPPLE 1/2"x 12"</t>
  </si>
  <si>
    <t>PL22070-16 G.I NIPPLE 1/2"x 20"</t>
  </si>
  <si>
    <t>PL22070-18 G.I NIPPLE 3/4"x 2"</t>
  </si>
  <si>
    <t>PL22070-19 G.I NIPPLE 3/4"x 3"</t>
  </si>
  <si>
    <t>PL22070-20 G.I NIPPLE 3/4"x 4"</t>
  </si>
  <si>
    <t>PL22070-21 G.I NIPPLE 3/4"x 5"</t>
  </si>
  <si>
    <t>PL22070-22 G.I NIPPLE 3/4"x 6"</t>
  </si>
  <si>
    <t>PL22070-26 G.I NIPPLE 3/4"x 10"</t>
  </si>
  <si>
    <t>PL22070-27 G.I NIPPLE 3/4"x 12"</t>
  </si>
  <si>
    <t>PL22070-29 G.I NIPPLE 1"x 2"</t>
  </si>
  <si>
    <t>PL22070-30 G.I NIPPLE 1"x 3"</t>
  </si>
  <si>
    <t>PL22070-31 G.I NIPPLE 1"x 4"</t>
  </si>
  <si>
    <t>PL22070-32 G.I NIPPLE 1"x 5"</t>
  </si>
  <si>
    <t>PL22070-33 G.I NIPPLE 1"x 6"</t>
  </si>
  <si>
    <t>PL22070-35 G.I NIPPLE 1"x 8"</t>
  </si>
  <si>
    <t>PL22070-38 G.I NIPPLE 1"x 12"</t>
  </si>
  <si>
    <t>PL22070-39 G.I NIPPLE 1-1/4"*2"</t>
  </si>
  <si>
    <t>PL22070-40 G.I NIPPLE 1-1/4"x 3"</t>
  </si>
  <si>
    <t>PL22070-42 G.I NIPPLE 1-1/4"x5"</t>
  </si>
  <si>
    <t>PL22070-43 G.I NIPPLE 1-1/4"*6"</t>
  </si>
  <si>
    <t>PL22070-45 G.I NIPPLE 1-1/4"*8"</t>
  </si>
  <si>
    <t>PL22070-46 G.I NIPPLE 1-1/4"x 9"</t>
  </si>
  <si>
    <t>PL22070-47 G.I NIPPLE 1-1/4"*10"</t>
  </si>
  <si>
    <t>PL22070-48 G.I NIPPLE 1-1/4"x 12"</t>
  </si>
  <si>
    <t>PL22070-49 G.I NIPPLE 1-1/2"*2"</t>
  </si>
  <si>
    <t>PL22070-50 G.I NIPPLE 1-1/2"x 3"</t>
  </si>
  <si>
    <t>PL22070-52 G.I NIPPLE 1-1/2"x 5"</t>
  </si>
  <si>
    <t>PL22070-55 G.I NIPPLE 1-1/2"*8"</t>
  </si>
  <si>
    <t>PL22070-57 G.I NIPPLE 1-1/2"*10"</t>
  </si>
  <si>
    <t>PL22070-59 G.I NIPPLE 2"*2"</t>
  </si>
  <si>
    <t>PL22070-61 G.I NIPPLE 2"*4"</t>
  </si>
  <si>
    <t>PL2270-63 G.I NIPPLE 2"*6"</t>
  </si>
  <si>
    <t>PL22070-65 G.I NIPPLE 2"*8"</t>
  </si>
  <si>
    <t>PL22070-67 G.I NIPPLE 2"*10"</t>
  </si>
  <si>
    <t>PL22070-68 G.I NIPPLE 2"x 12"</t>
  </si>
  <si>
    <t>PL22071-019 G.I BUSHING 2''*1''</t>
  </si>
  <si>
    <t>PL22071-049 GI COUPLING REDUCER 1-1/4"*3/4"</t>
  </si>
  <si>
    <t>PL22071-057 GI COUPLING REDUCER 2"*1"</t>
  </si>
  <si>
    <t>PL22071-058 GI COUPLING REDUCER 2"*1-1/4"</t>
  </si>
  <si>
    <t>PL22071-066 GI ELBOW 1-1/2"</t>
  </si>
  <si>
    <t>PL22071-090 G.I PlUG 1-1/2"</t>
  </si>
  <si>
    <t>PL22071-105 GI TEE 1-1/2"</t>
  </si>
  <si>
    <t>PL66270-3 POLONET STEEL TAPE MEASUREMENT 7.5M XC-33</t>
  </si>
  <si>
    <t>PL66160-1 POLOLOCK STEEL BRUSH GOLD W/HANDLE 5X15</t>
  </si>
  <si>
    <t>PL66091-2 280*125*0.7MM (TEETH)6.6MM POLONET WOODEN HANDLE PLASTERING TROWEL W/TEETH</t>
  </si>
  <si>
    <t>PL66610-3 ALLEN KEY WRENCH SET 1.5mm-6mm x 7pcs (1.5mm 2mm 2.5mm 3mm 4mm 5mm 6mm)</t>
  </si>
  <si>
    <t>PL66610-4 ALLEN KEY WRENCH SET 1.5mm-8mm x 8pcs (1.5mm 2mm 2.5mm 3mm 4mm 5mm 6mm 8mm)</t>
  </si>
  <si>
    <t>PL66610-5 ALLEN KEY WRENCH SET 1.5mm-10mm x 10pcs (1.5mm 2mm 2.5mm 3mm 4mm 5mm 5.5mm 6mm 8mm 10mm)</t>
  </si>
  <si>
    <t>PL66190-2 (LT22012-9H) POLONET ACRYLON PAINT ROLLER W/HANDLE 9"</t>
  </si>
  <si>
    <t>PL66221-05 5/16" MASONRY DRILL BIT</t>
  </si>
  <si>
    <t>PL66221-08 5/8" MASONRY DRILL BIT</t>
  </si>
  <si>
    <t>PL66232-1 POLONET HOLE SAW 3 PCS (2-1/8", 木 工扁钻1支，7/8“接杆1支）</t>
  </si>
  <si>
    <t>PL66232-2 POLONET HOLE SAW 6 PCS (1-1/4”, 1- 1/2", 2", 2-1/8",接杆1支, 内六角1支）</t>
  </si>
  <si>
    <t>PL66010-7 (LT77006-7) PILLOW BLOCK BEARING 1-1/2" #208</t>
  </si>
  <si>
    <t>PL66550-1 6" RUBBER WHEEL W/RIM&amp;BEARING HEAVY DUTY</t>
  </si>
  <si>
    <t>PL66580-10 GALVANIZED CABLE CLIP 1-1/4"- 32mm</t>
  </si>
  <si>
    <t>PL66580-11 GALVANIZED CABLE CLIP 1-1/2"- 38mm</t>
  </si>
  <si>
    <t>PL66280-2 (LT66005) 700G COTTON GLOVES S9"</t>
  </si>
  <si>
    <t>PL66291-07 SAFETY RAIN SHOES Y&amp;B 5"</t>
  </si>
  <si>
    <t>PL66370-23 (LT77003-20) #40 POLONET NYLON ROPE ORANGE (20MM) 1*1</t>
  </si>
  <si>
    <t>PL66370-38 POLONET NYLON ROPE BLUE 10MM*200m</t>
  </si>
  <si>
    <t>PL66371-1 (LT77008-1) POLONET NYLON FISHING LINE 2.50MM</t>
  </si>
  <si>
    <t>PL66371-2 (LT77008-2) POLONET NYLON FISHING LINE 3.00MM</t>
  </si>
  <si>
    <t>PL66371-3 POLONET NYLON FISHING LINE 3.50MM</t>
  </si>
  <si>
    <t>PL66371-4 POLONET NYLON FISHING LINE 4.00MM</t>
  </si>
  <si>
    <t>PL66390 POLONET HAND RIVETER 10.5"</t>
  </si>
  <si>
    <t>PL66391 POLONET HAND RIVETER 9.5"</t>
  </si>
  <si>
    <t>PL66301-1 POLOLOCK ELECTRODE HOLDER 300AMP</t>
  </si>
  <si>
    <t>PL88270 STAINLESS PIANO HINGES W/ SCREW 5.9FT (1.8M)</t>
  </si>
  <si>
    <t>PL88270- SCREW STAINLESS PIANO HINGES SCREW 3*12MM</t>
  </si>
  <si>
    <t>PL88261-3 CUP HOOK W/PVC COATED 3/4''</t>
  </si>
  <si>
    <t>PL88260-6 B/P CUP HOOK 1-1/4 ''</t>
  </si>
  <si>
    <t>PL88250 (PL88042) POLOLOCK STAINLESS MAGNETIC DOOR STOPPER</t>
  </si>
  <si>
    <t>PL88211-1 POLOLOCK STAINLESS BARREL BOLTS WITH HASP 4''</t>
  </si>
  <si>
    <t>PL88220-1 (PL88047-3) 3''POLOLOCK SAFETY HASPS STAINLESS W/SCREW</t>
  </si>
  <si>
    <t>PL88192-1 SAFETY HASPS W/SCREW 1.5''</t>
  </si>
  <si>
    <t>PL88192-4 SAFETY HASPS W/ SCREW 3''</t>
  </si>
  <si>
    <t>PL88184-1 NARROW BUTTS 505-B 1"</t>
  </si>
  <si>
    <t>PL88184-2 NARROW BUTTS 505-B 1.5"</t>
  </si>
  <si>
    <t>PL88184-3 NARROW BUTTS 505-B 2"</t>
  </si>
  <si>
    <t>PL88184-4 NARROW BUTTS 505-B 2.5"</t>
  </si>
  <si>
    <t>PL88184-5 NARROW BUTTS 505-B 3"</t>
  </si>
  <si>
    <t>PL88184-6 NARROW BUTTS 505-B 3.5"</t>
  </si>
  <si>
    <t>PL88183-1 NARROW BUTTS 838-B 1"</t>
  </si>
  <si>
    <t>PL88183-2 NARROW BUTTS 838-B 1.5"</t>
  </si>
  <si>
    <t>PL88183-3 NARROW BUTTS 838-B 2"</t>
  </si>
  <si>
    <t>PL88183-4 NARROW BUTTS 838-B 2.5"</t>
  </si>
  <si>
    <t>PL88183-6 NARROW BUTTS 838-B 3.5"</t>
  </si>
  <si>
    <t>PL88183-7 NARROW BUTTS 838-B 4"</t>
  </si>
  <si>
    <t>PL88181-1 3X3 POLOLOCK STAINLESS BALL BEARING HINGES</t>
  </si>
  <si>
    <t>PL88181-2 3.5X3.5 POLOLOCK STAINLESS BALL BEARING HINGES</t>
  </si>
  <si>
    <t>PL88185-3 POLOLOCK LOOSE PIN HINGES 4''*4''*2MM</t>
  </si>
  <si>
    <t>PL88180-2 (PL88015-3.5) 3.5X3.5 POLOLOCK LOOSE PIN HINGES</t>
  </si>
  <si>
    <t>PL88180-3 (PL88015-4) 4X4 POLOLOCK LOOSE PIN HINGES</t>
  </si>
  <si>
    <t>PL88142-1 POLOLOCK BRASS SIDE KEY PADLOCK 20MM</t>
  </si>
  <si>
    <t>PL88142-2 POLOLOCK BRASS SIDE KEY PADLOCK 25MM</t>
  </si>
  <si>
    <t>PL88142-4 POLOLOCK BRASS SIDE KEY PADLOCK 35MM</t>
  </si>
  <si>
    <t>PL88142-5 POLOLOCK BRASS SIDE KEY PADLOCK 40MM</t>
  </si>
  <si>
    <t>PL88140-00 (PL88014-S20) POLOLOCK HEAVY DUTY BRASS PADLOCK 20MM SHORT SHACKLE</t>
  </si>
  <si>
    <t>PL88140-01 (PL88014-S25) POLOLOCK HEAVY DUTY BRASS PADLOCK 25MM SHORT SHACKLE</t>
  </si>
  <si>
    <t>PL88140-03 (PL88014-S40) POLOLOCK HEAVY DUTY BRASS PADLOCK 40MM SHORT SHACKLE</t>
  </si>
  <si>
    <t>PL88140- 05 (PL88014-S60) POLOLOCK HEAVY DUTY BRASS PADLOCK 60MM SHORT SHACKLE</t>
  </si>
  <si>
    <t>PL88120-5 (PL88009-L30) POLOLOCK LAMINATED PADLOCK 30MM LONG SHACKLE</t>
  </si>
  <si>
    <t>PL88120-6 (PL88009-L40) POLOLOCK LAMINATED PADLOCK 40MM LONG SHACKLE</t>
  </si>
  <si>
    <t>PL88120-7 (PL88009-L50) POLOLOCK LAMINATED PADLOCK 50MM LONG SHACKLE</t>
  </si>
  <si>
    <t>PL88120-8 (PL88009-L65) POLOLOCK LAMINATED PADLOCK 65MM LONG SHACKLE</t>
  </si>
  <si>
    <t>PL88120-1 (PL88009-S30) POLOLOCK LAMINATED PADLOCK 30MM SHORT SHACKLE</t>
  </si>
  <si>
    <t>PL88101-2 (PL88024-4) 40-65KG POLOLOCK DOOR CLOSER SILVER</t>
  </si>
  <si>
    <t>PL88091-1 10" POLOLOCK THREE-FOLD STEEL BALL MUTE SLIDE RAIL SILVER</t>
  </si>
  <si>
    <t>PL88091-2 12" POLOLOCK THREE-FOLD STEEL BALL MUTE SLIDE RAIL SILVER</t>
  </si>
  <si>
    <t>PL88091-3 14"POLOLOCK THREE-FOLD STEEL BALL MUTE SLIDE RAIL SILVER</t>
  </si>
  <si>
    <t>PL88091- 4 16"POLOLOCK THREE-FOLD STEEL BALL MUTE SLIDE RAIL SILVER</t>
  </si>
  <si>
    <t>PL88091-5 18"POLOLOCK THREE-FOLD STEEL BALL MUTE SLIDE RAIL SILVER</t>
  </si>
  <si>
    <t>PL88091-6 20"POLOLOCK THREE-FOLD STEEL BALL MUTE SLIDE RAIL SILVER</t>
  </si>
  <si>
    <t>PL88091-7 22" POLOLOCK THREE-FOLD STEEL BALL MUTE SLIDE RAIL SILVER</t>
  </si>
  <si>
    <t>PL88027-D1MB POLOLOCK H1D1 HANDLESET LOCK</t>
  </si>
  <si>
    <t>PL88025-AB #576 POLOLOCK TUBULAR KNOB SET</t>
  </si>
  <si>
    <t>PL88024-AB #587 TUBULAR KNOBSET LOCK</t>
  </si>
  <si>
    <t>PL88024-PB #587 TUBULAR KNOBSET LOCK</t>
  </si>
  <si>
    <t>PL88017-PB HEAVY DUTY TUBULAR LEVERSET LOCK 8807ET-PB</t>
  </si>
  <si>
    <t>PL88012-SN POLOLOCK TUBULAR LEVER DOOR LOCK 1860ET-SN</t>
  </si>
  <si>
    <t>PL88012-AB POLOLOCK TUBULAR LEVER DOOR LOCK 1860ET-AB</t>
  </si>
  <si>
    <t>PL88013-SN POLOLOCK TUBULAR LEVER DOOR LOCK 3820ET-SN</t>
  </si>
  <si>
    <t>PL88013-CP POLOLOCK TUBULAR LEVER DOOR LOCK 3820ET-CP</t>
  </si>
  <si>
    <t>PL88006-01SSP POLOLOCK D101 SINGLE CYLINDER DEADBOLT SSP</t>
  </si>
  <si>
    <t>PL88006-02SS POLOLOCK D102 SINGLE CYLINDER DEADBOLT</t>
  </si>
  <si>
    <t>PL88006-02-AB POLOLOCK D102 SINGLE CYLINDER DEADBOLT</t>
  </si>
  <si>
    <t>PL88006-02PB POLOLOCK D102 SINGLE CYLINDER DEADBOLT</t>
  </si>
  <si>
    <t>PL88001-588 SSP POLOLOCK CYLINDRICAL KNOB SET</t>
  </si>
  <si>
    <t>PL88001-587 AC POLOLOCK CYLINDRICAL KNOBSET</t>
  </si>
  <si>
    <t>PL55271-3 TOX W/SCREW #8&amp;10*1-1/2" （4.8*37mm）</t>
  </si>
  <si>
    <t>PL55271-4 TOX W/SCREW #10&amp;10*1-3/4" （4.8*43mm）</t>
  </si>
  <si>
    <t>PL66500-2 CUP BRUSH 曲丝3"-PLAIN M10*1.5mm</t>
  </si>
  <si>
    <t>PL66500-3 BRUSH 曲丝4"-PLAIN M14*2.0mm</t>
  </si>
  <si>
    <t>PL66500-6 CUP BRUSH 扭丝3"-TWISTED M10*1.5mm</t>
  </si>
  <si>
    <t>PL66500-7 CUP BRUSH 扭丝4"-TWISTED M14*2.0mm</t>
  </si>
  <si>
    <t>PL66500-8CUP BRUSH 扭丝4"-TWISTED M16*2.0mm</t>
  </si>
  <si>
    <t>PL66213 POLOLOCK DIAMOND CUTTING WHEEL TURBO 4"</t>
  </si>
  <si>
    <t>PL66181-6 FLAP DISCS（FOR METAL) #120</t>
  </si>
  <si>
    <t>PL66420 STAPLE GUN</t>
  </si>
  <si>
    <t>PL66440-1 POLONET MASKING TAPE 1/2"- 12mm*25Y</t>
  </si>
  <si>
    <t>PL66440-2 POLONET MASKING TAPE 3/4"- 18mm*25Y</t>
  </si>
  <si>
    <t>PL66440-3 POLONET MASKING TAPE 1"- 24mm*25Y</t>
  </si>
  <si>
    <t>PL66440-4 POLONET MASKING TAPE 1-1/2"- 36mm*25Y</t>
  </si>
  <si>
    <t>PL66440-5 POLONET MASKING TAPE 2"- 48mm*25Y</t>
  </si>
  <si>
    <t>PL66540-1 CLOTH DUCT TAPE 0.26mm*50mm*30Y GRAY</t>
  </si>
  <si>
    <t>PL55080-S1 GYPSUM BOARD SCREW FOR STEEL 3.5mm*1"（25MM）</t>
  </si>
  <si>
    <t>PL55080-S2 GYPSUM BOARD SCREW FOR STEEL 3.5mm*1-1/4"（32MM）</t>
  </si>
  <si>
    <t>PL55080-S3 GYPSUM BOARD SCREW FOR STEEL 3.5mm*1-1/2"（40MM）</t>
  </si>
  <si>
    <t>PL55080-S4 GYPSUM BOARD SCREW FOR STEEL 3.5mm*2"（50MM）</t>
  </si>
  <si>
    <t>PL55080-S5 GYPSUM BOARD SCREW FOR STEEL 4.2mm*2-1/2"（63MM）</t>
  </si>
  <si>
    <t>PL55080-S6 GYPSUM BOARD SCREW FOR STEEL 4.2mm*3"（75MM）</t>
  </si>
  <si>
    <t>PL55080-W1 GYPSUM BOARD SCREW FOR WOOD 3.5mm*1"（25MM）</t>
  </si>
  <si>
    <t>PL55080-W2 GYPSUM BOARD SCREW FOR WOOD 3.5mm*1-1/4"（32MM）</t>
  </si>
  <si>
    <t>PL55080-W3 GYPSUM BOARD SCREW FOR WOOD 3.5mm*1-1/2"（40MM）</t>
  </si>
  <si>
    <t>PL55080-W5 GYPSUM BOARD SCREW FOR WOOD 4.2mm*2-1/2"（63MM）</t>
  </si>
  <si>
    <t>PL55081-S1 TEK SCREW FOR METAL 4.4*25MM 1"</t>
  </si>
  <si>
    <t>PL55081-S2 TEK SCREW FOR METAL 4.4*35MM 1"-3/8</t>
  </si>
  <si>
    <t>PL55081-S3 TEK SCREW FOR METAL 4.4*45MM 1"3/4</t>
  </si>
  <si>
    <t>PL55081-S4 TEK SCREW FOR METAL 4.4*50MM 2"</t>
  </si>
  <si>
    <t>PL55081-S5 TEK SCREW FOR METAL 4.5*55MM 2"1/4</t>
  </si>
  <si>
    <t>PL55081-S6 TEK SCREW FOR METAL 4.5*65MM 2"1/2</t>
  </si>
  <si>
    <t>PL55081-S7 TEK SCREW FOR METAL 4.5*75MM 3"</t>
  </si>
  <si>
    <t>PL55081-W1 TEK SCREW FOR WOOD 4.4*25MM 1"</t>
  </si>
  <si>
    <t>PL55081-W2 TEK SCREW FOR WOOD 4.4*35MM 1"- 3/8</t>
  </si>
  <si>
    <t>PL55081-W3 TEK SCREW FOR WOOD 4.4*45MM 1"3/4</t>
  </si>
  <si>
    <t>PL55081-W5 TEK SCREW FOR WOOD 4.5*55MM 2"1/4</t>
  </si>
  <si>
    <t>PL55082-01 (LT55020-2) LAGSCREW 1/4" x 1-1/2"</t>
  </si>
  <si>
    <t>PL55082-03 (LT55020-4) LAGSCREW 1/4" x 2-1/2"</t>
  </si>
  <si>
    <t>PL55082-08 (LT55020-9) LAGSCREW 5/16" x 1-1/2"</t>
  </si>
  <si>
    <t>PL55082-10 (LT55020-11) LAGSCREW 5/16" x 2- 1/2"</t>
  </si>
  <si>
    <t>PL55082-11 (LT55020-12) LAGSCREW 5/16" x 3"</t>
  </si>
  <si>
    <t>PL55082-12 (LT55020-13) LAGSCREW 5/16" x 3- 1/2"</t>
  </si>
  <si>
    <t>PL55082-13 (LT55020-14) LAGSCREW 5/16" x 4"</t>
  </si>
  <si>
    <t>PL55082-14 (LT55020-15) LAGSCREW 3/8" x 1"</t>
  </si>
  <si>
    <t>PL55082-16 (LT55020-17) LAGSCREW 3/8" x 2"</t>
  </si>
  <si>
    <t>PL55082-17 (LT55020-18) LAGSCREW 3/8" x 2-1/2"</t>
  </si>
  <si>
    <t>PL55082-22 (LT55020-23) LAGSCREW 1/2" x 1-1/2"</t>
  </si>
  <si>
    <t>PL55082-24 (LT55020-25) LAGSCREW 1/2" x 2-1/2"</t>
  </si>
  <si>
    <t>PL55082-25 (LT55020-26) LAGSCREW 1/2" x 3"</t>
  </si>
  <si>
    <t>PL55082-26 (LT55020-27) LAGSCREW 1/2" x 3-1/2"</t>
  </si>
  <si>
    <t>PL55160-4 1/2"*20MM POLONET PVC CLAMP ORANGE</t>
  </si>
  <si>
    <t>PL550203-1 (LT55015-1) POLONET BARBED WIRE #15 (N.W10)</t>
  </si>
  <si>
    <t>PL550204-11 POLONET HOT DIPPED CYCLONE WIRE 2.75MM 2"*2"*3"*10M</t>
  </si>
  <si>
    <t>PL550204-12 POLONET HOT DIPPED CYCLONE WIRE 2.75MM 2"*2"*4"*10M</t>
  </si>
  <si>
    <t>PL550204-13 POLONET HOT DIPPED CYCLONE WIRE 2.75MM 2"*2"*5"10M</t>
  </si>
  <si>
    <t>PL550204-14 POLONET HOT DIPPED CYCLONE WIRE 2.75MM 2"*2"*6"10M</t>
  </si>
  <si>
    <t>PL550206-1 HARDWARE CLOTH 1/8"*8目*8目*3'*9m</t>
  </si>
  <si>
    <t>PL550206-2 HARDWARE CLOTH 1/4"*4目*4目*3'*8m</t>
  </si>
  <si>
    <t>PL550207-1 (LT55022-1) ROUND BAND RING BTO-22 COMBAT WIRE W/CLIP</t>
  </si>
  <si>
    <t>PL550209-1 ALUMINUM SCREEN 3FT</t>
  </si>
  <si>
    <t>PL550209-2 ALUMINUM SCREEN 4FT</t>
  </si>
  <si>
    <t>PL550211-1 HARDWARE CLOTH HOT DIPPED 1/8"*8 目*8目*3'*10.5m</t>
  </si>
  <si>
    <t>PL55131-02 SCAFFOLDING CLAMP SWIVEL FIXED 1-1/2"固 定型 (550g)</t>
  </si>
  <si>
    <t>PL55180 W-CLIP</t>
  </si>
  <si>
    <t>PL55140-1 SACKOLINE 2.44m * 100m *92GSM (BLUE ORANGE) #28</t>
  </si>
  <si>
    <t>PL55140-3 SACKOLINE 2.44m * 100m * 92GSM (blue orange) #32</t>
  </si>
  <si>
    <t>PL88054-D1AB POLOLOCK H2D1 HANDLESET LOCK</t>
  </si>
  <si>
    <t>supplier product code</t>
  </si>
  <si>
    <t>product name</t>
  </si>
  <si>
    <t>sales price</t>
  </si>
  <si>
    <t>remaing stock</t>
  </si>
  <si>
    <t>PL22050-2 (LTSN011) STAINLESS BASKET STRAINER 4-1/2</t>
  </si>
  <si>
    <t/>
  </si>
  <si>
    <t>Less 25%</t>
  </si>
  <si>
    <t>Less 30%</t>
  </si>
  <si>
    <t>Less 10%</t>
  </si>
  <si>
    <t>Less 15%</t>
  </si>
  <si>
    <t>Less 35%</t>
  </si>
  <si>
    <t>Less 70% 20%</t>
  </si>
  <si>
    <t>GALVANIZED CABLE CLIP</t>
  </si>
  <si>
    <t>PL55080-W4 GYPSUM BOARD SCREW FOR WOOD 3.5mm*2" (50MM)</t>
  </si>
  <si>
    <t>PL55080-W6 GYPSUM BOARD SCREW FOR WOOD 4.2mm*3" (75MM)</t>
  </si>
  <si>
    <t>bags/ctn</t>
  </si>
  <si>
    <t>bag/ctn</t>
  </si>
  <si>
    <t>pcs/bundle</t>
  </si>
  <si>
    <t>doz/ctn</t>
  </si>
  <si>
    <t>packs/ctn</t>
  </si>
  <si>
    <t>card/ctn</t>
  </si>
  <si>
    <t>pairs/ctn</t>
  </si>
  <si>
    <t>roll/sack</t>
  </si>
  <si>
    <t>pack/sack</t>
  </si>
  <si>
    <t>grs/ctn</t>
  </si>
  <si>
    <t>dp/ctn</t>
  </si>
  <si>
    <t>roll/ctn</t>
  </si>
  <si>
    <t>kgs/sack</t>
  </si>
  <si>
    <t>kg/ctn</t>
  </si>
  <si>
    <t>pack/ctn</t>
  </si>
  <si>
    <t>roll/bundle</t>
  </si>
  <si>
    <t>kg/roll</t>
  </si>
  <si>
    <t>discount_id</t>
  </si>
  <si>
    <t>ROYU ELECTRICAL</t>
  </si>
  <si>
    <t>ROY-187</t>
  </si>
  <si>
    <t>7/F Offices Bldg. 1111 Natividad Lopez St., Ermita, Manila, Philippines</t>
  </si>
  <si>
    <t>info@fireflyelectric.com</t>
  </si>
  <si>
    <t>ROY-187-001</t>
  </si>
  <si>
    <t>M/BOX</t>
  </si>
  <si>
    <t>150M/BOX</t>
  </si>
  <si>
    <t>RTN14A - Royu THHN/THWN-2 Conventional Stranded 14 AWG 2.0mm 35 25</t>
  </si>
  <si>
    <t>RTN12A - Royu THHN/THWN-2 Conventional Stranded 12 AWG 3.5mm 40 30</t>
  </si>
  <si>
    <t>RTN10A - Royu THHN/THWN-2 Conventional Stranded 10 AWG 5.5mm 55 40</t>
  </si>
  <si>
    <t>RTN8A - Royu THHN/THWN-2 Conventional Stranded 8 AWG 8.0mm 75 55</t>
  </si>
  <si>
    <t>200M/Spool</t>
  </si>
  <si>
    <t>M/Spool</t>
  </si>
  <si>
    <t>RTN6A - Royu THHN/THWN-2 Conventional Stranded 6 AWG 14mm 110 75</t>
  </si>
  <si>
    <t>150M/Coil</t>
  </si>
  <si>
    <t>M/Coil</t>
  </si>
  <si>
    <t>40pcs/ctn</t>
  </si>
  <si>
    <t>RSB15C - Royu Safety Breaker with Cover Bolt-On Type, Flame Raterdent Body 15A</t>
  </si>
  <si>
    <t>RSB20C - Royu Safety Breaker with Cover Bolt-On Type, Flame Raterdent Body 20A</t>
  </si>
  <si>
    <t>RSB30C - Royu Safety Breaker with Cover Bolt-On Type, Flame Raterdent Body 30A</t>
  </si>
  <si>
    <t>RSB40C - Royu Safety Breaker with Cover Bolt-On Type, Flame Raterdent Body 40A</t>
  </si>
  <si>
    <t>RSB60C - Royu Safety Breaker with Cover Bolt-On Type, Flame Raterdent Body 60A</t>
  </si>
  <si>
    <t>RSB100C - Royu Safety Breaker with Cover Bolt-On Type, Flame Raterdent Body 100A</t>
  </si>
  <si>
    <t>RSB15C/O - Royu Safety Breaker with Cover &amp; Outlet Bolt-On Type, Flame Raterdent Body 15A</t>
  </si>
  <si>
    <t>RSB20C/O - Royu Safety Breaker with Cover &amp; Outlet Bolt-On Type, Flame Raterdent Body 20A</t>
  </si>
  <si>
    <t>RSB30C/O - Royu Safety Breaker with Cover &amp; Outlet Bolt-On Type, Flame Raterdent Body 30A</t>
  </si>
  <si>
    <t>RSB16C/O - Royu Mini Safety Breaker with Cover &amp; Outlet Bolt-On Type, Flame Raterdent Body 16A</t>
  </si>
  <si>
    <t>RSB20C/O - Royu Mini Safety Breaker with Cover &amp; Outlet Bolt-On Type, Flame Raterdent Body 20A</t>
  </si>
  <si>
    <t>RSB32C/O - Royu Mini Safety Breaker with Cover &amp; Outlet Bolt-On Type, Flame Raterdent Body 32A</t>
  </si>
  <si>
    <t>RCB15 - Royu Circuit Breaker Plug-in Type, Screw Type Terminal 15A</t>
  </si>
  <si>
    <t>RSB15 - Royu Safety Breaker Bolt-On Type 15A</t>
  </si>
  <si>
    <t>100/10pcs/ctn</t>
  </si>
  <si>
    <t>RSB20 - Royu Safety Breaker Bolt-On Type 20A</t>
  </si>
  <si>
    <t>RSB30 - Royu Safety Breaker Bolt-On Type 30A</t>
  </si>
  <si>
    <t>RSB40 - Royu Safety Breaker Bolt-On Type 40A</t>
  </si>
  <si>
    <t>RSB60 - Royu Safety Breaker Bolt-On Type 60A</t>
  </si>
  <si>
    <t>RCB20 - Royu Circuit Breaker Plug-in Type, Screw Type Terminal 20A</t>
  </si>
  <si>
    <t>RCB30 - Royu Circuit Breaker Plug-in Type, Screw Type Terminal 30A</t>
  </si>
  <si>
    <t>RCB40 - Royu Circuit Breaker Plug-in Type, Screw Type Terminal 40A</t>
  </si>
  <si>
    <t>RCB60 - Royu Circuit Breaker Plug-in Type, Screw Type Terminal 60A</t>
  </si>
  <si>
    <t>WIRES &amp; CABLE - BUILDING WIRES</t>
  </si>
  <si>
    <t>RBB15 - Royu Circuit Breaker Bolt-On Type, Screw Type Terminal 15A</t>
  </si>
  <si>
    <t>RBB20 - Royu Circuit Breaker Bolt-On Type, Screw Type Terminal 20A</t>
  </si>
  <si>
    <t>RBB30 - Royu Circuit Breaker Bolt-On Type, Screw Type Terminal 30A</t>
  </si>
  <si>
    <t>RBB40 - Royu Circuit Breaker Bolt-On Type, Screw Type Terminal 40A</t>
  </si>
  <si>
    <t>RBB60 - Royu Circuit Breaker Bolt-On Type, Screw Type Terminal 60A</t>
  </si>
  <si>
    <t>BREAKERS - SAFETY BREAKER</t>
  </si>
  <si>
    <t>BREAKERS - SAFETY BREAKER WITH COVER</t>
  </si>
  <si>
    <t>BREAKERS - SAFETY BREAKER WITH COVER &amp; OUTLET</t>
  </si>
  <si>
    <t>BREAKERS - MINI SAFETY BREAKER WITH COVER &amp; OUTLET</t>
  </si>
  <si>
    <t>BREAKERS - SCREW TYPE TERMINAL</t>
  </si>
  <si>
    <t>RSP1 - Royu 1 Gang Plate</t>
  </si>
  <si>
    <t>SWITCHES &amp; OUTLETS - SUPER WIDE SERIES</t>
  </si>
  <si>
    <t>200/10pcs/ctn</t>
  </si>
  <si>
    <t>RSP2 - Royu 2 Gang Plate</t>
  </si>
  <si>
    <t>RSP3 - Royu 2 Gang Plate</t>
  </si>
  <si>
    <t>WD511 - Royu 1 Gang Switch with Reflector 250V 10A</t>
  </si>
  <si>
    <t>WD513 - Royu 2 Gang Switch with Reflector 250V 10A</t>
  </si>
  <si>
    <t>WD515 - Royu 3 Gang Switch with Reflector 250V 10A</t>
  </si>
  <si>
    <t>WD701 - Royu 1 Gang 3-Way Switch Set 250V 10A</t>
  </si>
  <si>
    <t>WD601 - Royu 1 Gang Switch with LED Set 250V 10A</t>
  </si>
  <si>
    <t>WD603 - Royu 2 Gang Switch with LED Set 250V 10A</t>
  </si>
  <si>
    <t>WD605 - Royu 3 Gang Switch with LED Set 250V 10A</t>
  </si>
  <si>
    <t>50pcs/ctn</t>
  </si>
  <si>
    <t>WD933 - Royu Duplex GFCI Outlet Set 250V 20A</t>
  </si>
  <si>
    <t>WD902 - Royu 1 Gang Tandem Aircon Outlet Set 250V 20A</t>
  </si>
  <si>
    <t>WD913 - Royu Duplex Universal Outlet with Ground &amp; Shutter Set 250V 15A</t>
  </si>
  <si>
    <t>WD111 - Royu 1 Gang Universal Outlet Set 250V 15A</t>
  </si>
  <si>
    <t>WD113 - Royu 2 Gang Universal Outlet Set 250V 15A</t>
  </si>
  <si>
    <t>WD115 - Royu 3 Gang Universal Outlet Set 250V 15A</t>
  </si>
  <si>
    <t>WD901* - Royu 1 Gang Aircon Outlet Set 250V 20A</t>
  </si>
  <si>
    <t>WD211* - Royu 1 Gang Telephone Modular Jack</t>
  </si>
  <si>
    <t>SWITCHES &amp; OUTLETS - WIDE SERIES (SETS)</t>
  </si>
  <si>
    <t>SWITCHES &amp; OUTLETS - WIDE SERIES (PLATES)</t>
  </si>
  <si>
    <t>RWP1 - Royu 1 Gang Plate</t>
  </si>
  <si>
    <t>RWP2 - Royu 2 Gang Plate</t>
  </si>
  <si>
    <t>RWP3 - Royu 3 Gang Plate</t>
  </si>
  <si>
    <t>RWP8 - Royu 1 Gang Plate for Universal Outlet with Ground</t>
  </si>
  <si>
    <t>RWP4 - Royu Blank Plate</t>
  </si>
  <si>
    <t>RWP6 - Royu Weather-Proof Plate Cover Slim Type</t>
  </si>
  <si>
    <t>SWITCHES &amp; OUTLETS - WIDE SERIES (COMPONENTS)</t>
  </si>
  <si>
    <t>RWS1-A - Royu 1 Way Switch-A 250V 10A</t>
  </si>
  <si>
    <t>RWS3 - Royu 3 Way Switch 250V 10A</t>
  </si>
  <si>
    <t>RWS4 - Royu Doorbell Switch 250V 10A</t>
  </si>
  <si>
    <t>RW01 - Royu Universal Outlet 250V15A</t>
  </si>
  <si>
    <t>RW03 - Royu Flat Pin Outlet 250V 15A</t>
  </si>
  <si>
    <t>SWITCHES &amp; OUTLETS - CLASSIC SERIES (SETS)</t>
  </si>
  <si>
    <t>WH501 - Royu 1 Gang Switch Set 250V 10A</t>
  </si>
  <si>
    <t>WH503 - Royu 2 Gang Switch Set 250V 10A</t>
  </si>
  <si>
    <t>WH505 - Royu 3 Gang Switch Set 250V 10A</t>
  </si>
  <si>
    <t>WH913 - Royu Duplex Universal Outlet with Ground &amp; Shutter Set 250V 15A</t>
  </si>
  <si>
    <t>WH601 - Royu 1 Gang Switch with LED Set 250V 10A</t>
  </si>
  <si>
    <t>WH603 - Royu 2 Switch with LED Set 250V 10A</t>
  </si>
  <si>
    <t>WH605 - Royu 3 Switch with LED Set 250V 10A</t>
  </si>
  <si>
    <t>WH111 - Royu 1 Gang Outlet Set 250V 10A</t>
  </si>
  <si>
    <t>WH902 - Royu 1 Gang Tandem Aircon Outlet Set 250V 10A</t>
  </si>
  <si>
    <t>WH113 - Royu 2 Gang Outlet Set 250V 10A</t>
  </si>
  <si>
    <t>WH115 - Royu 3 Gang Outlet Set 250V 10A</t>
  </si>
  <si>
    <t>WH901* - Royu 1 Gang Aircon Outlet Set 250V 20A</t>
  </si>
  <si>
    <t>SWITCHES &amp; OUTLETS - CLASSIC SERIES (PLATES)</t>
  </si>
  <si>
    <t>RCP1 - Royu 1 Gang Plate</t>
  </si>
  <si>
    <t>RCP2 - Royu 2 Gang Plate</t>
  </si>
  <si>
    <t>RCP3 - Royu 3 Gang Plate</t>
  </si>
  <si>
    <t>RCP4 - Royu Blank Plate</t>
  </si>
  <si>
    <t>SWITCHES &amp; OUTLETS - CLASSIC SERIES (COMPONENTS)</t>
  </si>
  <si>
    <t>RCS1 - Royu 1 Way Switch without LED 250V 10A</t>
  </si>
  <si>
    <t>RCP6 - Royu Weather-Proof Plate Cover Slim Type</t>
  </si>
  <si>
    <t>RCS2 - Royu 1 Way Switch LED 250V 10A</t>
  </si>
  <si>
    <t>RCS3 - Royu 3 Way Switch 250V 10A</t>
  </si>
  <si>
    <t>RCS4* - Royu Doorbell Switch</t>
  </si>
  <si>
    <t>SURFACE TYPE SWITCHES AND OUTLETS</t>
  </si>
  <si>
    <t>REDSW101 - Royu Snap Switch 250V-10A</t>
  </si>
  <si>
    <t>REDOU112 - Royu Surface Tandem Outlet 250V-20A</t>
  </si>
  <si>
    <t>10pcs/ctn</t>
  </si>
  <si>
    <t>SURFACE TYPE OUTLETS</t>
  </si>
  <si>
    <t>REDOU102 - Royu Universal Outlet 250V-10A 2 Gang</t>
  </si>
  <si>
    <t>200/20pcs/ctn</t>
  </si>
  <si>
    <t>REDOU102/B - Royu Universal Outlet 250V-10A 2 Gang</t>
  </si>
  <si>
    <t>REDOU103 - Royu Universal Outlet 250V-10A 3 Gang</t>
  </si>
  <si>
    <t>REDOU103/B - Royu Universal Outlet 250V-10A 3 Gang</t>
  </si>
  <si>
    <t>REDOU104 - Royu Universal Outlet 250V-10A 4 Gang</t>
  </si>
  <si>
    <t>REDOU104/B - Royu Universal Outlet 250V-10A 4 Gang</t>
  </si>
  <si>
    <t>REDOU201 - Royu Outlet 250V-10A 1 Gang</t>
  </si>
  <si>
    <t>REDOU202 - Royu Outlet 250V-10A 2 Gang</t>
  </si>
  <si>
    <t>REDOU203 - Royu Outlet 250V-10A 3 Gang</t>
  </si>
  <si>
    <t>PLUGS</t>
  </si>
  <si>
    <t>REDPL203/B - Royu PVC Plug with Clamp 5A</t>
  </si>
  <si>
    <t>REDPL203/W - Royu PVC Plug with Clamp 5A</t>
  </si>
  <si>
    <t>REDPL203/C - Royu PVC Plug with Clamp 5A</t>
  </si>
  <si>
    <t>REDPL204/B - Royu PVC Plug with Clamp 10A</t>
  </si>
  <si>
    <t>REDPL204/W - Royu PVC Plug with Clamp 10A</t>
  </si>
  <si>
    <t>REDPL204/C - Royu PVC Plug with Clamp 10A</t>
  </si>
  <si>
    <t>PVC ELECTRICAL TAPE</t>
  </si>
  <si>
    <t>RET104/BK - Royu Black 4M</t>
  </si>
  <si>
    <t>250/10pcs/ctn</t>
  </si>
  <si>
    <t>REDPL201 - Royu Regular Rubber Plug 10A</t>
  </si>
  <si>
    <t>REDPL202 - Royu Heavy Duty PVC Plug 15A</t>
  </si>
  <si>
    <t>REDPL205/B - Royu PVC Plug with Ground and Clamp</t>
  </si>
  <si>
    <t>REDPL106 - Royu Regular Plug 3A</t>
  </si>
  <si>
    <t>REDPL101 - Royu Regular Plug 10A</t>
  </si>
  <si>
    <t>REDPL108 - Royu Heavy Duty Plug with Ground 20A</t>
  </si>
  <si>
    <t>REDPL112 - Royu Tandem Ground Plug 20A</t>
  </si>
  <si>
    <t>REDOU601 - Royu  Female Cord Connector 10A</t>
  </si>
  <si>
    <t>REDPL113 - Royu Heavy Duty Plug 15A</t>
  </si>
  <si>
    <t>REDPL110 - Royu Socket Plug 3A</t>
  </si>
  <si>
    <t>RET108/BK - Royu Black 8M</t>
  </si>
  <si>
    <t>RET116/BK - Royu Black 16M</t>
  </si>
  <si>
    <t>120/10pcs/ctn</t>
  </si>
  <si>
    <t>RET104/R - Royu Red 4M</t>
  </si>
  <si>
    <t>RET108/R - Royu Red 8M</t>
  </si>
  <si>
    <t>RET116/R - Royu Red 16M</t>
  </si>
  <si>
    <t>RET104/Y - Royu Yellow 4M</t>
  </si>
  <si>
    <t>RET108/Y - Royu Yellow 8M</t>
  </si>
  <si>
    <t>RET116/Y - Royu Yellow 16M</t>
  </si>
  <si>
    <t>RET104/G - Royu Green 4M</t>
  </si>
  <si>
    <t>RET108/G - Royu Green 8M</t>
  </si>
  <si>
    <t>RET116/G - Royu Green 16M</t>
  </si>
  <si>
    <t>RET104/W - Royu White 4M</t>
  </si>
  <si>
    <t>RET108/W - Royu White 8M</t>
  </si>
  <si>
    <t>RET116/W - Royu White 16M</t>
  </si>
  <si>
    <t>LED A-BULBS</t>
  </si>
  <si>
    <t>FIR-451-001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</si>
</sst>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0"/>
      <color theme="1"/>
      <name val="Century Gothic"/>
      <family val="2"/>
    </font>
    <font>
      <sz val="10"/>
      <color theme="1"/>
      <name val="Century Gothic"/>
      <family val="2"/>
    </font>
    <font>
      <b/>
      <sz val="10"/>
      <name val="Century Gothic"/>
      <family val="2"/>
    </font>
    <font>
      <sz val="10"/>
      <name val="Century Gothic"/>
      <family val="2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43" fontId="5" fillId="0" borderId="0" applyFont="0" applyFill="0" applyBorder="0" applyAlignment="0" applyProtection="0"/>
    <xf numFmtId="0" fontId="10" fillId="0" borderId="0" applyNumberFormat="0" applyFill="0" applyBorder="0" applyAlignment="0" applyProtection="0"/>
  </cellStyleXfs>
  <cellXfs count="43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left" wrapText="1"/>
    </xf>
    <xf numFmtId="0" fontId="4" fillId="0" borderId="1" xfId="0" applyFont="1" applyBorder="1" applyAlignment="1">
      <alignment wrapText="1"/>
    </xf>
    <xf numFmtId="0" fontId="2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1" fillId="0" borderId="0" xfId="0" applyFont="1"/>
    <xf numFmtId="0" fontId="7" fillId="0" borderId="0" xfId="0" applyFont="1"/>
    <xf numFmtId="0" fontId="7" fillId="0" borderId="1" xfId="0" applyFont="1" applyBorder="1"/>
    <xf numFmtId="0" fontId="6" fillId="3" borderId="1" xfId="0" applyFont="1" applyFill="1" applyBorder="1" applyAlignment="1">
      <alignment horizontal="center" vertical="top"/>
    </xf>
    <xf numFmtId="0" fontId="6" fillId="3" borderId="0" xfId="0" applyFont="1" applyFill="1"/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wrapText="1"/>
    </xf>
    <xf numFmtId="9" fontId="7" fillId="0" borderId="1" xfId="0" applyNumberFormat="1" applyFont="1" applyBorder="1"/>
    <xf numFmtId="0" fontId="7" fillId="0" borderId="1" xfId="0" applyFont="1" applyBorder="1" applyAlignment="1">
      <alignment vertical="top"/>
    </xf>
    <xf numFmtId="0" fontId="7" fillId="2" borderId="1" xfId="0" applyFont="1" applyFill="1" applyBorder="1" applyAlignment="1">
      <alignment vertical="top" wrapText="1"/>
    </xf>
    <xf numFmtId="0" fontId="7" fillId="0" borderId="1" xfId="0" quotePrefix="1" applyFont="1" applyBorder="1" applyAlignment="1">
      <alignment wrapText="1"/>
    </xf>
    <xf numFmtId="0" fontId="7" fillId="0" borderId="1" xfId="0" quotePrefix="1" applyFont="1" applyBorder="1"/>
    <xf numFmtId="9" fontId="7" fillId="0" borderId="1" xfId="0" quotePrefix="1" applyNumberFormat="1" applyFont="1" applyBorder="1"/>
    <xf numFmtId="0" fontId="8" fillId="3" borderId="1" xfId="0" quotePrefix="1" applyFont="1" applyFill="1" applyBorder="1" applyAlignment="1">
      <alignment horizontal="center" vertical="top" wrapText="1"/>
    </xf>
    <xf numFmtId="0" fontId="8" fillId="3" borderId="1" xfId="0" applyFont="1" applyFill="1" applyBorder="1" applyAlignment="1">
      <alignment horizontal="center" vertical="top" wrapText="1"/>
    </xf>
    <xf numFmtId="0" fontId="8" fillId="3" borderId="3" xfId="0" applyFont="1" applyFill="1" applyBorder="1" applyAlignment="1">
      <alignment horizontal="center" vertical="top" wrapText="1"/>
    </xf>
    <xf numFmtId="0" fontId="9" fillId="0" borderId="0" xfId="0" applyFont="1" applyAlignment="1">
      <alignment horizontal="left" vertical="top" wrapText="1"/>
    </xf>
    <xf numFmtId="0" fontId="9" fillId="0" borderId="2" xfId="0" applyFont="1" applyBorder="1" applyAlignment="1">
      <alignment horizontal="center" vertical="top" wrapText="1"/>
    </xf>
    <xf numFmtId="43" fontId="9" fillId="0" borderId="2" xfId="1" applyFont="1" applyBorder="1" applyAlignment="1">
      <alignment horizontal="center" vertical="top" wrapText="1"/>
    </xf>
    <xf numFmtId="0" fontId="6" fillId="3" borderId="0" xfId="0" applyFont="1" applyFill="1" applyAlignment="1">
      <alignment wrapText="1"/>
    </xf>
    <xf numFmtId="43" fontId="9" fillId="0" borderId="2" xfId="1" applyFont="1" applyFill="1" applyBorder="1" applyAlignment="1">
      <alignment horizontal="center" vertical="top" wrapText="1"/>
    </xf>
    <xf numFmtId="0" fontId="7" fillId="0" borderId="0" xfId="0" applyFont="1" applyAlignment="1">
      <alignment horizontal="left" vertical="top" wrapText="1"/>
    </xf>
    <xf numFmtId="0" fontId="7" fillId="0" borderId="2" xfId="0" applyFont="1" applyBorder="1" applyAlignment="1">
      <alignment horizontal="center" vertical="top" wrapText="1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4" borderId="0" xfId="0" applyFill="1"/>
    <xf numFmtId="0" fontId="3" fillId="4" borderId="3" xfId="0" applyFont="1" applyFill="1" applyBorder="1" applyAlignment="1">
      <alignment horizontal="left" vertical="center" wrapText="1"/>
    </xf>
    <xf numFmtId="0" fontId="0" fillId="4" borderId="0" xfId="0" applyFill="1" applyAlignment="1">
      <alignment horizontal="left"/>
    </xf>
    <xf numFmtId="0" fontId="10" fillId="4" borderId="0" xfId="2" applyFill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laragon\www\avthardwaretrading\database%20file%20and%20docs\NEW%20PRICE%20LIST.xlsx" TargetMode="External"/><Relationship Id="rId1" Type="http://schemas.openxmlformats.org/officeDocument/2006/relationships/externalLinkPath" Target="NEW%20PRICE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W PRICE LIST"/>
      <sheetName val="NEW PRICE LIST NO PRICE"/>
      <sheetName val="NEW PRICE LIST PROGRAM"/>
      <sheetName val="NEW PRICE LIST PROGRAM (2)"/>
    </sheetNames>
    <sheetDataSet>
      <sheetData sheetId="0">
        <row r="4">
          <cell r="C4" t="str">
            <v>PL22092-1 (LT22011-1) CLEAR HOSE 1/8"*300M</v>
          </cell>
          <cell r="D4" t="str">
            <v>1ROLL</v>
          </cell>
          <cell r="E4">
            <v>460</v>
          </cell>
          <cell r="F4"/>
          <cell r="G4"/>
        </row>
        <row r="5">
          <cell r="C5" t="str">
            <v>PL22092-2 (LT22011-2) CLEAR HOSE 3/16"*300M</v>
          </cell>
          <cell r="D5" t="str">
            <v>1ROLL</v>
          </cell>
          <cell r="E5">
            <v>720</v>
          </cell>
          <cell r="F5"/>
          <cell r="G5"/>
        </row>
        <row r="6">
          <cell r="C6" t="str">
            <v>PL22092-3 (LT22011-3) CLEAR HOSE 1/4"*300M</v>
          </cell>
          <cell r="D6" t="str">
            <v>1ROLL</v>
          </cell>
          <cell r="E6">
            <v>900</v>
          </cell>
          <cell r="F6"/>
          <cell r="G6"/>
        </row>
        <row r="7">
          <cell r="C7" t="str">
            <v>PL22092-4 (LT22011-4) CLEAR HOSE 5/16"*300M</v>
          </cell>
          <cell r="D7" t="str">
            <v>1ROLL</v>
          </cell>
          <cell r="E7">
            <v>1650</v>
          </cell>
          <cell r="F7"/>
          <cell r="G7"/>
        </row>
        <row r="8">
          <cell r="C8" t="str">
            <v>PL22092-5 (LT22011-5) CLEAR HOSE 3/8"*150M</v>
          </cell>
          <cell r="D8" t="str">
            <v>1ROLL</v>
          </cell>
          <cell r="E8">
            <v>1100</v>
          </cell>
          <cell r="F8"/>
          <cell r="G8"/>
        </row>
        <row r="9">
          <cell r="C9" t="str">
            <v>PL22092-6 (LT22011-6) CLEAR HOSE 1/2"*150M</v>
          </cell>
          <cell r="D9" t="str">
            <v>1ROLL</v>
          </cell>
          <cell r="E9">
            <v>1680</v>
          </cell>
          <cell r="F9"/>
          <cell r="G9"/>
        </row>
        <row r="10">
          <cell r="C10" t="str">
            <v>PL22092-7 (LT22011-7) CLEAR HOSE 5/8"*150M</v>
          </cell>
          <cell r="D10" t="str">
            <v>1ROLL</v>
          </cell>
          <cell r="E10">
            <v>2260</v>
          </cell>
          <cell r="F10"/>
          <cell r="G10"/>
        </row>
        <row r="11">
          <cell r="C11"/>
          <cell r="D11"/>
          <cell r="E11"/>
          <cell r="F11"/>
          <cell r="G11"/>
        </row>
        <row r="12">
          <cell r="C12" t="str">
            <v>PL22090-1 (LT22014-G1) GARDEN HOSE GREEN 1/2"*90M</v>
          </cell>
          <cell r="D12" t="str">
            <v>1 ROLL</v>
          </cell>
          <cell r="E12">
            <v>1250</v>
          </cell>
          <cell r="F12"/>
          <cell r="G12"/>
        </row>
        <row r="13">
          <cell r="C13" t="str">
            <v>PL22090-2 (LT22014-G2) GARDEN HOSE GREEN 5/8"*90M</v>
          </cell>
          <cell r="D13" t="str">
            <v>1 ROLL</v>
          </cell>
          <cell r="E13">
            <v>1450</v>
          </cell>
          <cell r="F13"/>
          <cell r="G13"/>
        </row>
        <row r="14">
          <cell r="C14" t="str">
            <v>PL22090-3 (LT22014-G3)GARDEN HOSE GREEN 3/4"*60M</v>
          </cell>
          <cell r="D14" t="str">
            <v>1 ROLL</v>
          </cell>
          <cell r="E14">
            <v>1650</v>
          </cell>
          <cell r="F14"/>
          <cell r="G14"/>
        </row>
        <row r="15">
          <cell r="C15" t="str">
            <v>PL22090-4 (LT22014-G4) GARDEN HOSE GREEN 1"*60M</v>
          </cell>
          <cell r="D15" t="str">
            <v>1 ROLL</v>
          </cell>
          <cell r="E15">
            <v>2250</v>
          </cell>
          <cell r="F15"/>
          <cell r="G15"/>
        </row>
        <row r="16">
          <cell r="C16" t="str">
            <v>PL22090-5 (LT22014-R1)GARDEN HOSE RED 1/2"*90M</v>
          </cell>
          <cell r="D16" t="str">
            <v>1 ROLL</v>
          </cell>
          <cell r="E16">
            <v>1250</v>
          </cell>
          <cell r="F16"/>
          <cell r="G16"/>
        </row>
        <row r="17">
          <cell r="C17" t="str">
            <v>PL22090-6 (LT22014-R2) GARDEN HOSE RED 5/8"*90M</v>
          </cell>
          <cell r="D17" t="str">
            <v>1 ROLL</v>
          </cell>
          <cell r="E17">
            <v>1450</v>
          </cell>
          <cell r="F17"/>
          <cell r="G17"/>
        </row>
        <row r="18">
          <cell r="C18" t="str">
            <v>PL22090-7 (LT22014-R3)GARDEN HOSE RED 3/4"*60M</v>
          </cell>
          <cell r="D18" t="str">
            <v>1 ROLL</v>
          </cell>
          <cell r="E18">
            <v>1650</v>
          </cell>
          <cell r="F18"/>
          <cell r="G18"/>
        </row>
        <row r="19">
          <cell r="C19" t="str">
            <v>PL22090-8 (LT22014-R4) GARDEN HOSE RED 1"*60M</v>
          </cell>
          <cell r="D19" t="str">
            <v>1 ROLL</v>
          </cell>
          <cell r="E19">
            <v>2250</v>
          </cell>
          <cell r="F19"/>
          <cell r="G19"/>
        </row>
        <row r="20">
          <cell r="C20"/>
          <cell r="D20"/>
          <cell r="E20"/>
          <cell r="F20"/>
          <cell r="G20"/>
        </row>
        <row r="21">
          <cell r="C21" t="str">
            <v>PL22091-1 (LT22015-1) EXTRA THICK HOSE 1/4"*150M</v>
          </cell>
          <cell r="D21" t="str">
            <v>1ROLL</v>
          </cell>
          <cell r="E21">
            <v>1350</v>
          </cell>
          <cell r="F21"/>
          <cell r="G21"/>
        </row>
        <row r="22">
          <cell r="C22" t="str">
            <v>PL22091-2 (LT22015-2) EXTRA THICK HOSE 5/16"*150M</v>
          </cell>
          <cell r="D22" t="str">
            <v>1ROLL</v>
          </cell>
          <cell r="E22">
            <v>1750</v>
          </cell>
          <cell r="F22"/>
          <cell r="G22"/>
        </row>
        <row r="23">
          <cell r="C23" t="str">
            <v>PL22091-3 (LT22015-3) EXTRA THICK HOSE 3/8"*150M</v>
          </cell>
          <cell r="D23" t="str">
            <v>1ROLL</v>
          </cell>
          <cell r="E23">
            <v>2160</v>
          </cell>
          <cell r="F23"/>
          <cell r="G23"/>
        </row>
        <row r="24">
          <cell r="C24" t="str">
            <v>PL22091-4 (LT22015-4) EXTRA THICK HOSE 1/2"*150M</v>
          </cell>
          <cell r="D24" t="str">
            <v>1ROLL</v>
          </cell>
          <cell r="E24">
            <v>2870</v>
          </cell>
          <cell r="F24"/>
          <cell r="G24"/>
        </row>
        <row r="25">
          <cell r="C25"/>
          <cell r="D25"/>
          <cell r="E25"/>
          <cell r="F25"/>
          <cell r="G25"/>
        </row>
        <row r="26">
          <cell r="C26"/>
          <cell r="D26"/>
          <cell r="E26"/>
          <cell r="F26"/>
          <cell r="G26"/>
        </row>
        <row r="27">
          <cell r="C27"/>
          <cell r="D27" t="str">
            <v>DESCRIPTION</v>
          </cell>
          <cell r="E27" t="str">
            <v>PRICE</v>
          </cell>
          <cell r="F27" t="str">
            <v>VOLUME LESS</v>
          </cell>
          <cell r="G27" t="str">
            <v>REGULAR
LESS</v>
          </cell>
        </row>
        <row r="28">
          <cell r="C28"/>
          <cell r="D28"/>
          <cell r="E28"/>
          <cell r="F28"/>
          <cell r="G28"/>
        </row>
        <row r="29">
          <cell r="C29" t="str">
            <v>PL22093-00 CHEMICAL HOSE 1/4"*90M</v>
          </cell>
          <cell r="D29" t="str">
            <v>1ROLL</v>
          </cell>
          <cell r="E29">
            <v>1500</v>
          </cell>
          <cell r="F29" t="str">
            <v>LESS 5%</v>
          </cell>
          <cell r="G29"/>
        </row>
        <row r="30">
          <cell r="C30" t="str">
            <v>PL22093-01 CHEMICAL HOSE 5/16"*90M</v>
          </cell>
          <cell r="D30" t="str">
            <v>1ROLL</v>
          </cell>
          <cell r="E30">
            <v>1730</v>
          </cell>
          <cell r="F30"/>
          <cell r="G30"/>
        </row>
        <row r="31">
          <cell r="C31" t="str">
            <v>PL22093-02 CHEMICAL HOSE 3/8"*90M</v>
          </cell>
          <cell r="D31" t="str">
            <v>1ROLL</v>
          </cell>
          <cell r="E31">
            <v>2100</v>
          </cell>
          <cell r="F31"/>
          <cell r="G31"/>
        </row>
        <row r="32">
          <cell r="C32" t="str">
            <v>PL22093-03 CHEMICAL HOSE 1/2"*90M</v>
          </cell>
          <cell r="D32" t="str">
            <v>1ROLL</v>
          </cell>
          <cell r="E32">
            <v>3000</v>
          </cell>
          <cell r="F32"/>
          <cell r="G32"/>
        </row>
        <row r="33">
          <cell r="C33" t="str">
            <v>PL22093-04 CHEMICAL HOSE 5/8"*90M</v>
          </cell>
          <cell r="D33" t="str">
            <v>1ROLL</v>
          </cell>
          <cell r="E33">
            <v>3700</v>
          </cell>
          <cell r="F33"/>
          <cell r="G33"/>
        </row>
        <row r="34">
          <cell r="C34" t="str">
            <v>PL22093-05 CHEMICAL HOSE 3/4"*50M</v>
          </cell>
          <cell r="D34" t="str">
            <v>1ROLL</v>
          </cell>
          <cell r="E34">
            <v>3000</v>
          </cell>
          <cell r="F34"/>
          <cell r="G34"/>
        </row>
        <row r="35">
          <cell r="C35" t="str">
            <v>PL22093-06 CHEMICAL HOSE 1"*50M</v>
          </cell>
          <cell r="D35" t="str">
            <v>1ROLL</v>
          </cell>
          <cell r="E35">
            <v>3900</v>
          </cell>
          <cell r="F35"/>
          <cell r="G35"/>
        </row>
        <row r="36">
          <cell r="C36" t="str">
            <v>PL22093-07 CHEMICAL HOSE 1-1/4"*40M</v>
          </cell>
          <cell r="D36" t="str">
            <v>1ROLL</v>
          </cell>
          <cell r="E36">
            <v>4600</v>
          </cell>
          <cell r="F36"/>
          <cell r="G36"/>
        </row>
        <row r="37">
          <cell r="C37" t="str">
            <v>PL22093-08 CHEMICAL HOSE 1-1/2"*40M</v>
          </cell>
          <cell r="D37" t="str">
            <v>1ROLL</v>
          </cell>
          <cell r="E37">
            <v>6400</v>
          </cell>
          <cell r="F37"/>
          <cell r="G37"/>
        </row>
        <row r="38">
          <cell r="C38" t="str">
            <v>PL22093-09 CHEMICAL HOSE 2"*40M</v>
          </cell>
          <cell r="D38" t="str">
            <v>1ROLL</v>
          </cell>
          <cell r="E38">
            <v>9500</v>
          </cell>
          <cell r="F38"/>
          <cell r="G38"/>
        </row>
        <row r="39">
          <cell r="C39"/>
          <cell r="D39"/>
          <cell r="E39"/>
          <cell r="F39"/>
          <cell r="G39"/>
        </row>
        <row r="40">
          <cell r="C40" t="str">
            <v>PL22250-1 1/2" HOSE COUPLING</v>
          </cell>
          <cell r="D40" t="str">
            <v>12PCS*
20BOXES/CTN</v>
          </cell>
          <cell r="E40">
            <v>35</v>
          </cell>
          <cell r="F40"/>
          <cell r="G40"/>
        </row>
        <row r="41">
          <cell r="C41" t="str">
            <v>PL22250-2 5/8" HOSE COUPLING</v>
          </cell>
          <cell r="D41" t="str">
            <v>12PCS*
20BOXES/CTN</v>
          </cell>
          <cell r="E41">
            <v>38</v>
          </cell>
          <cell r="F41"/>
          <cell r="G41"/>
        </row>
        <row r="42">
          <cell r="C42" t="str">
            <v>PL22250-3 3/4" HOSE COUPLING</v>
          </cell>
          <cell r="D42" t="str">
            <v>12PCS*
20BOXES/CTN</v>
          </cell>
          <cell r="E42">
            <v>39</v>
          </cell>
          <cell r="F42"/>
          <cell r="G42"/>
        </row>
        <row r="43">
          <cell r="C43"/>
          <cell r="D43"/>
          <cell r="E43"/>
          <cell r="F43"/>
          <cell r="G43"/>
        </row>
        <row r="44">
          <cell r="C44" t="str">
            <v>PL22140 (PLMA001) POLOLOCK JETMATIC PUMP</v>
          </cell>
          <cell r="D44" t="str">
            <v>1PC/CTN</v>
          </cell>
          <cell r="E44">
            <v>2500</v>
          </cell>
          <cell r="F44"/>
          <cell r="G44"/>
        </row>
        <row r="45">
          <cell r="C45"/>
          <cell r="D45"/>
          <cell r="E45"/>
          <cell r="F45"/>
          <cell r="G45"/>
        </row>
        <row r="46">
          <cell r="C46" t="str">
            <v>PL22141 POLOLOCK PITCHER PUMP</v>
          </cell>
          <cell r="D46" t="str">
            <v>1PC/SACK</v>
          </cell>
          <cell r="E46">
            <v>1550</v>
          </cell>
          <cell r="F46"/>
          <cell r="G46"/>
        </row>
        <row r="47">
          <cell r="C47"/>
          <cell r="D47"/>
          <cell r="E47"/>
          <cell r="F47"/>
          <cell r="G47"/>
        </row>
        <row r="48">
          <cell r="C48"/>
          <cell r="D48"/>
          <cell r="E48"/>
          <cell r="F48"/>
          <cell r="G48"/>
        </row>
        <row r="49">
          <cell r="C49" t="str">
            <v>NAME ITEM PRODUCT</v>
          </cell>
          <cell r="D49" t="str">
            <v>DESCRIPTION</v>
          </cell>
          <cell r="E49" t="str">
            <v>PRICE</v>
          </cell>
          <cell r="F49" t="str">
            <v>VOLUME LESS</v>
          </cell>
          <cell r="G49" t="str">
            <v>REGULAR
LESS</v>
          </cell>
        </row>
        <row r="50">
          <cell r="C50" t="str">
            <v>PL22120 (LTMA001-0.5HP) 0.5HP QB60 WATER PUMP</v>
          </cell>
          <cell r="D50" t="str">
            <v>4PC/CTN</v>
          </cell>
          <cell r="E50">
            <v>1950</v>
          </cell>
          <cell r="F50"/>
          <cell r="G50"/>
        </row>
        <row r="51">
          <cell r="C51" t="str">
            <v>PL22132 1HP JET100L WATER PUMP</v>
          </cell>
          <cell r="D51" t="str">
            <v>1PC/CTN</v>
          </cell>
          <cell r="E51">
            <v>3300</v>
          </cell>
          <cell r="F51"/>
          <cell r="G51"/>
        </row>
        <row r="52">
          <cell r="C52"/>
          <cell r="D52"/>
          <cell r="E52"/>
          <cell r="F52"/>
          <cell r="G52"/>
        </row>
        <row r="53">
          <cell r="C53" t="str">
            <v>PL22160 POLONET PRESSURE SWITCH</v>
          </cell>
          <cell r="D53" t="str">
            <v>50PCS/CTN</v>
          </cell>
          <cell r="E53">
            <v>230</v>
          </cell>
          <cell r="F53"/>
          <cell r="G53"/>
        </row>
        <row r="54">
          <cell r="C54"/>
          <cell r="D54"/>
          <cell r="E54"/>
          <cell r="F54"/>
          <cell r="G54"/>
        </row>
        <row r="55">
          <cell r="C55" t="str">
            <v>PL22161 F BRASS CONNECT 1/4''</v>
          </cell>
          <cell r="D55" t="str">
            <v>100PCS/CTN</v>
          </cell>
          <cell r="E55">
            <v>230</v>
          </cell>
          <cell r="F55"/>
          <cell r="G55"/>
        </row>
        <row r="56">
          <cell r="C56"/>
          <cell r="D56"/>
          <cell r="E56"/>
          <cell r="F56"/>
          <cell r="G56"/>
        </row>
        <row r="57">
          <cell r="C57" t="str">
            <v>PLCU001 20-32 CUTTER IFAN-322</v>
          </cell>
          <cell r="D57" t="str">
            <v>50PCS/CTN</v>
          </cell>
          <cell r="E57"/>
          <cell r="F57"/>
          <cell r="G57"/>
        </row>
        <row r="58">
          <cell r="C58"/>
          <cell r="D58"/>
          <cell r="E58"/>
          <cell r="F58"/>
          <cell r="G58"/>
        </row>
        <row r="59">
          <cell r="C59" t="str">
            <v>PLWM001 PPR HOT MACHINER FAN A. 20-32 LIGHT - WELDING MACHINE</v>
          </cell>
          <cell r="D59" t="str">
            <v>10BOX/CTN</v>
          </cell>
          <cell r="E59">
            <v>450</v>
          </cell>
          <cell r="F59"/>
          <cell r="G59"/>
        </row>
        <row r="60">
          <cell r="C60"/>
          <cell r="D60"/>
          <cell r="E60"/>
          <cell r="F60"/>
          <cell r="G60"/>
        </row>
        <row r="61">
          <cell r="C61" t="str">
            <v>PL22060-1 CHROME PIPE 1/2"</v>
          </cell>
          <cell r="D61" t="str">
            <v>30PCS/BDL</v>
          </cell>
          <cell r="E61">
            <v>120</v>
          </cell>
          <cell r="F61" t="str">
            <v>LESS 20%</v>
          </cell>
          <cell r="G61"/>
        </row>
        <row r="62">
          <cell r="C62" t="str">
            <v>PL22060-2 CHROME PIPE 3/4"</v>
          </cell>
          <cell r="D62" t="str">
            <v>20PCS/BDL</v>
          </cell>
          <cell r="E62">
            <v>180</v>
          </cell>
          <cell r="F62"/>
          <cell r="G62"/>
        </row>
        <row r="63">
          <cell r="C63" t="str">
            <v>PL22060-3 CHROME PIPE 1"</v>
          </cell>
          <cell r="D63" t="str">
            <v>10PCS/BDL</v>
          </cell>
          <cell r="E63">
            <v>260</v>
          </cell>
          <cell r="F63"/>
          <cell r="G63"/>
        </row>
        <row r="64">
          <cell r="C64"/>
          <cell r="D64"/>
          <cell r="E64"/>
          <cell r="F64"/>
          <cell r="G64"/>
        </row>
        <row r="65">
          <cell r="C65" t="str">
            <v/>
          </cell>
          <cell r="D65" t="str">
            <v>2000PCS/CTN</v>
          </cell>
          <cell r="E65">
            <v>6.5</v>
          </cell>
          <cell r="F65"/>
          <cell r="G65"/>
        </row>
        <row r="66">
          <cell r="C66" t="str">
            <v>PL22010-2 (LTSN002-34) 3/4 POLONET TEFLON TAPE</v>
          </cell>
          <cell r="D66" t="str">
            <v>2000PCS/CTN</v>
          </cell>
          <cell r="E66">
            <v>9</v>
          </cell>
          <cell r="F66"/>
          <cell r="G66"/>
        </row>
        <row r="67">
          <cell r="C67" t="str">
            <v>PL22010-3 (LTSN002-1) 1" POLONET TEFLON TAPE</v>
          </cell>
          <cell r="D67" t="str">
            <v>1000PCS/CTN</v>
          </cell>
          <cell r="E67">
            <v>12</v>
          </cell>
          <cell r="F67"/>
          <cell r="G67"/>
        </row>
        <row r="68">
          <cell r="C68"/>
          <cell r="D68"/>
          <cell r="E68"/>
          <cell r="F68"/>
          <cell r="G68"/>
        </row>
        <row r="69">
          <cell r="C69"/>
          <cell r="D69"/>
          <cell r="E69"/>
          <cell r="F69"/>
          <cell r="G69"/>
        </row>
        <row r="70">
          <cell r="C70"/>
          <cell r="D70"/>
          <cell r="E70"/>
          <cell r="F70"/>
          <cell r="G70"/>
        </row>
        <row r="71">
          <cell r="C71"/>
          <cell r="D71"/>
          <cell r="E71"/>
          <cell r="F71"/>
          <cell r="G71"/>
        </row>
        <row r="72">
          <cell r="C72"/>
          <cell r="D72" t="str">
            <v>DESCRIPTION</v>
          </cell>
          <cell r="E72" t="str">
            <v>PRICE</v>
          </cell>
          <cell r="F72" t="str">
            <v>VOLUME LESS</v>
          </cell>
          <cell r="G72" t="str">
            <v>REGULAR
LESS</v>
          </cell>
        </row>
        <row r="73">
          <cell r="C73"/>
          <cell r="D73" t="str">
            <v>100ROLLS
*8BOXES/CTN</v>
          </cell>
          <cell r="E73"/>
          <cell r="F73"/>
          <cell r="G73"/>
        </row>
        <row r="74">
          <cell r="C74"/>
          <cell r="D74" t="str">
            <v>100ROLLS
*6BOXES/CTN</v>
          </cell>
          <cell r="E74"/>
          <cell r="F74"/>
          <cell r="G74"/>
        </row>
        <row r="75">
          <cell r="C75"/>
          <cell r="D75" t="str">
            <v>100ROLLS
*4BOXES/CTN</v>
          </cell>
          <cell r="E75"/>
          <cell r="F75"/>
          <cell r="G75"/>
        </row>
        <row r="76">
          <cell r="C76"/>
          <cell r="D76"/>
          <cell r="E76"/>
          <cell r="F76"/>
          <cell r="G76"/>
        </row>
        <row r="77">
          <cell r="C77" t="str">
            <v>PL22030-1 (LTSN004-S) SMALL POLONET STAINLESS STEEL PIG DRINKER</v>
          </cell>
          <cell r="D77" t="str">
            <v>240PCS/CTN</v>
          </cell>
          <cell r="E77">
            <v>70</v>
          </cell>
          <cell r="F77"/>
          <cell r="G77"/>
        </row>
        <row r="78">
          <cell r="C78" t="str">
            <v>PL22030-2 (LTSN004-B) BIG POLONET STAINLESS STEEL PIG DRINKER</v>
          </cell>
          <cell r="D78" t="str">
            <v>240PCS/CTN</v>
          </cell>
          <cell r="E78">
            <v>45</v>
          </cell>
          <cell r="F78"/>
          <cell r="G78"/>
        </row>
        <row r="79">
          <cell r="C79"/>
          <cell r="D79"/>
          <cell r="E79"/>
          <cell r="F79"/>
          <cell r="G79"/>
        </row>
        <row r="80">
          <cell r="C80" t="str">
            <v>PL22020-01 BLUE PLASTIC WATER FAUCET PLAIN</v>
          </cell>
          <cell r="D80" t="str">
            <v>50PCS*
6BOXES/CTN</v>
          </cell>
          <cell r="E80">
            <v>23</v>
          </cell>
          <cell r="F80"/>
          <cell r="G80"/>
        </row>
        <row r="81">
          <cell r="C81" t="str">
            <v>PL22020-02 BLUE PLASTIC WATER FAUCET HOSE</v>
          </cell>
          <cell r="D81" t="str">
            <v>50PCS*
6BOXES/CTN</v>
          </cell>
          <cell r="E81">
            <v>23</v>
          </cell>
          <cell r="F81"/>
          <cell r="G81"/>
        </row>
        <row r="82">
          <cell r="C82"/>
          <cell r="D82"/>
          <cell r="E82"/>
          <cell r="F82"/>
          <cell r="G82"/>
        </row>
        <row r="83">
          <cell r="C83" t="str">
            <v>PL22021-1 BRASS FAUCET PB 1/2"-PLAIN</v>
          </cell>
          <cell r="D83" t="str">
            <v>96PCS/CTN</v>
          </cell>
          <cell r="E83">
            <v>185</v>
          </cell>
          <cell r="F83"/>
          <cell r="G83"/>
        </row>
        <row r="84">
          <cell r="C84" t="str">
            <v>PL22021-2 BRASS FAUCET HB 1/2"-HOSE</v>
          </cell>
          <cell r="D84" t="str">
            <v>96PCS/CTN</v>
          </cell>
          <cell r="E84">
            <v>185</v>
          </cell>
          <cell r="F84"/>
          <cell r="G84"/>
        </row>
        <row r="85">
          <cell r="C85" t="str">
            <v/>
          </cell>
          <cell r="D85"/>
          <cell r="E85"/>
          <cell r="F85"/>
          <cell r="G85"/>
        </row>
        <row r="86">
          <cell r="C86"/>
          <cell r="D86"/>
          <cell r="E86"/>
          <cell r="F86"/>
          <cell r="G86"/>
        </row>
        <row r="87">
          <cell r="C87"/>
          <cell r="D87" t="str">
            <v>24SET/CTN</v>
          </cell>
          <cell r="E87">
            <v>650</v>
          </cell>
          <cell r="F87"/>
          <cell r="G87"/>
        </row>
        <row r="88">
          <cell r="C88"/>
          <cell r="D88"/>
          <cell r="E88"/>
          <cell r="F88"/>
          <cell r="G88"/>
        </row>
        <row r="89">
          <cell r="C89"/>
          <cell r="D89"/>
          <cell r="E89"/>
          <cell r="F89"/>
          <cell r="G89"/>
        </row>
        <row r="90">
          <cell r="C90"/>
          <cell r="D90" t="str">
            <v>DESCRIPTION</v>
          </cell>
          <cell r="E90" t="str">
            <v>PRICE</v>
          </cell>
          <cell r="F90" t="str">
            <v>VOLUME LESS</v>
          </cell>
          <cell r="G90" t="str">
            <v>REGULAR
LESS</v>
          </cell>
        </row>
        <row r="91">
          <cell r="C91"/>
          <cell r="D91" t="str">
            <v>24SET/CTN</v>
          </cell>
          <cell r="E91"/>
          <cell r="F91"/>
          <cell r="G91"/>
        </row>
        <row r="92">
          <cell r="C92"/>
          <cell r="D92"/>
          <cell r="E92"/>
          <cell r="F92"/>
          <cell r="G92"/>
        </row>
        <row r="93">
          <cell r="C93" t="str">
            <v>PL22186-01 POLONET TWO WAY FAUCET 290G (CIRCLE HANDLE)</v>
          </cell>
          <cell r="D93" t="str">
            <v>50PCS/CTN</v>
          </cell>
          <cell r="E93">
            <v>250</v>
          </cell>
          <cell r="F93"/>
          <cell r="G93"/>
        </row>
        <row r="94">
          <cell r="C94" t="str">
            <v>PL22186-02 POLONET TWO WAY FAUCIT 263G (CROSS HANDLE)</v>
          </cell>
          <cell r="D94" t="str">
            <v>50PCS/CTN</v>
          </cell>
          <cell r="E94">
            <v>250</v>
          </cell>
          <cell r="F94"/>
          <cell r="G94"/>
        </row>
        <row r="95">
          <cell r="C95"/>
          <cell r="D95"/>
          <cell r="E95"/>
          <cell r="F95"/>
          <cell r="G95"/>
        </row>
        <row r="96">
          <cell r="C96" t="str">
            <v>PL22184-01 POLONET LAVATORY FAUCET 248G</v>
          </cell>
          <cell r="D96" t="str">
            <v>60PCS/CTN</v>
          </cell>
          <cell r="E96">
            <v>250</v>
          </cell>
          <cell r="F96"/>
          <cell r="G96"/>
        </row>
        <row r="97">
          <cell r="C97" t="str">
            <v>PL22184-02 POLONET LAVATORY FAUCET 137G</v>
          </cell>
          <cell r="D97" t="str">
            <v>60PCS/CTN</v>
          </cell>
          <cell r="E97">
            <v>250</v>
          </cell>
          <cell r="F97"/>
          <cell r="G97"/>
        </row>
        <row r="98">
          <cell r="C98" t="str">
            <v>PL22184-03 POLONET LAVATORY FAUCET 308G</v>
          </cell>
          <cell r="D98" t="str">
            <v>60PCS/CTN</v>
          </cell>
          <cell r="E98">
            <v>280</v>
          </cell>
          <cell r="F98"/>
          <cell r="G98"/>
        </row>
        <row r="99">
          <cell r="C99" t="str">
            <v>PL22184-04 POLONET LAVATORY FAUCET 285G</v>
          </cell>
          <cell r="D99" t="str">
            <v>60PCS/CTN</v>
          </cell>
          <cell r="E99">
            <v>280</v>
          </cell>
          <cell r="F99"/>
          <cell r="G99"/>
        </row>
        <row r="100">
          <cell r="C100"/>
          <cell r="D100"/>
          <cell r="E100"/>
          <cell r="F100"/>
          <cell r="G100"/>
        </row>
        <row r="101">
          <cell r="C101" t="str">
            <v>PL22181-01 POLONET MULTIFUNCTION FAUCET SHOWER SET内管三元乙两</v>
          </cell>
          <cell r="D101" t="str">
            <v>24SET/CTN</v>
          </cell>
          <cell r="E101">
            <v>650</v>
          </cell>
          <cell r="F101"/>
          <cell r="G101"/>
        </row>
        <row r="102">
          <cell r="C102" t="str">
            <v>PL22181-02 POLONET MULTIFUNCTION FAUCET SHOWER SET内管PVC</v>
          </cell>
          <cell r="D102" t="str">
            <v>24SET/CTN</v>
          </cell>
          <cell r="E102">
            <v>650</v>
          </cell>
          <cell r="F102"/>
          <cell r="G102"/>
        </row>
        <row r="103">
          <cell r="C103"/>
          <cell r="D103"/>
          <cell r="E103"/>
          <cell r="F103"/>
          <cell r="G103"/>
        </row>
        <row r="104">
          <cell r="C104" t="str">
            <v>PL22186-01 POLONET TWO WAY FAUCET 290G (CIRCLE HANDLE)</v>
          </cell>
          <cell r="D104" t="str">
            <v>50PCS/CTN</v>
          </cell>
          <cell r="E104">
            <v>250</v>
          </cell>
          <cell r="F104"/>
          <cell r="G104"/>
        </row>
        <row r="105">
          <cell r="C105"/>
          <cell r="D105"/>
          <cell r="E105"/>
          <cell r="F105"/>
          <cell r="G105"/>
        </row>
        <row r="106">
          <cell r="C106"/>
          <cell r="D106" t="str">
            <v>DESCRIPTION</v>
          </cell>
          <cell r="E106" t="str">
            <v>PRICE</v>
          </cell>
          <cell r="F106" t="str">
            <v>VOLUME LESS</v>
          </cell>
          <cell r="G106" t="str">
            <v>REGULAR
LESS</v>
          </cell>
        </row>
        <row r="107">
          <cell r="C107" t="str">
            <v>PL22186-02 POLONET TWO WAY FAUCIT 263G (CROSS HANDLE)</v>
          </cell>
          <cell r="D107" t="str">
            <v>50PCS/CTN</v>
          </cell>
          <cell r="E107">
            <v>250</v>
          </cell>
          <cell r="F107"/>
          <cell r="G107"/>
        </row>
        <row r="108">
          <cell r="C108"/>
          <cell r="D108"/>
          <cell r="E108"/>
          <cell r="F108"/>
          <cell r="G108"/>
        </row>
        <row r="109">
          <cell r="C109" t="str">
            <v>PL22183-01 POLONET GOOSENECK FAUCET WALL TYPE 270G</v>
          </cell>
          <cell r="D109" t="str">
            <v>30PCS/CTN</v>
          </cell>
          <cell r="E109">
            <v>265</v>
          </cell>
          <cell r="F109"/>
          <cell r="G109"/>
        </row>
        <row r="110">
          <cell r="C110" t="str">
            <v>PL22183-02 POLONET GOOSENECK FAUCET WALL TYPE 235G</v>
          </cell>
          <cell r="D110" t="str">
            <v>50PCS/CTN</v>
          </cell>
          <cell r="E110">
            <v>240</v>
          </cell>
          <cell r="F110"/>
          <cell r="G110"/>
        </row>
        <row r="111">
          <cell r="C111"/>
          <cell r="D111" t="str">
            <v>30PCS/CTN</v>
          </cell>
          <cell r="E111"/>
          <cell r="F111"/>
          <cell r="G111"/>
        </row>
        <row r="112">
          <cell r="C112"/>
          <cell r="D112" t="str">
            <v>50PCS/CTN</v>
          </cell>
          <cell r="E112"/>
          <cell r="F112"/>
          <cell r="G112"/>
        </row>
        <row r="113">
          <cell r="C113"/>
          <cell r="D113" t="str">
            <v>30PCS/CTN</v>
          </cell>
          <cell r="E113"/>
          <cell r="F113"/>
          <cell r="G113"/>
        </row>
        <row r="114">
          <cell r="C114"/>
          <cell r="D114" t="str">
            <v>30PCS/CTN</v>
          </cell>
          <cell r="E114"/>
          <cell r="F114"/>
          <cell r="G114"/>
        </row>
        <row r="115">
          <cell r="C115"/>
          <cell r="D115" t="str">
            <v>30PCS/CTN</v>
          </cell>
          <cell r="E115"/>
          <cell r="F115"/>
          <cell r="G115"/>
        </row>
        <row r="116">
          <cell r="C116"/>
          <cell r="D116"/>
          <cell r="E116"/>
          <cell r="F116"/>
          <cell r="G116"/>
        </row>
        <row r="117">
          <cell r="C117" t="str">
            <v>PL22050-1 STAINLESS BASKET STRAINER 2-1/2 DUPLEX STRAINER</v>
          </cell>
          <cell r="D117" t="str">
            <v>100PCS/CTN</v>
          </cell>
          <cell r="E117">
            <v>85</v>
          </cell>
          <cell r="F117"/>
          <cell r="G117"/>
        </row>
        <row r="118">
          <cell r="C118" t="str">
            <v>PL22050-2 (LTSN011) STAINLESS BASKET STRAINER 4-1/2</v>
          </cell>
          <cell r="D118" t="str">
            <v>60PCS/CTN</v>
          </cell>
          <cell r="E118">
            <v>150</v>
          </cell>
          <cell r="F118"/>
          <cell r="G118"/>
        </row>
        <row r="119">
          <cell r="C119" t="str">
            <v>PL22150-1 4"*4" POLONET STRAINER</v>
          </cell>
          <cell r="D119" t="str">
            <v>400PCS/CTN</v>
          </cell>
          <cell r="E119"/>
          <cell r="F119"/>
          <cell r="G119"/>
        </row>
        <row r="120">
          <cell r="C120" t="str">
            <v>PL22150-2 4''*4 POLONET STAINLESS STRAINER</v>
          </cell>
          <cell r="D120" t="str">
            <v>72PCS/CTN</v>
          </cell>
          <cell r="E120">
            <v>45</v>
          </cell>
          <cell r="F120"/>
          <cell r="G120"/>
        </row>
        <row r="121">
          <cell r="C121"/>
          <cell r="D121"/>
          <cell r="E121"/>
          <cell r="F121"/>
          <cell r="G121"/>
        </row>
        <row r="122">
          <cell r="C122"/>
          <cell r="D122"/>
          <cell r="E122"/>
          <cell r="F122"/>
          <cell r="G122"/>
        </row>
        <row r="123">
          <cell r="C123"/>
          <cell r="D123" t="str">
            <v>DESCRIPTION</v>
          </cell>
          <cell r="E123" t="str">
            <v>PRICE</v>
          </cell>
          <cell r="F123" t="str">
            <v>VOLUME LESS</v>
          </cell>
          <cell r="G123" t="str">
            <v>REGULAR
LESS</v>
          </cell>
        </row>
        <row r="124">
          <cell r="C124"/>
          <cell r="D124"/>
          <cell r="E124"/>
          <cell r="F124"/>
          <cell r="G124"/>
        </row>
        <row r="125">
          <cell r="C125" t="str">
            <v>PL22040-00 STAINLESS KITCHEN SINK 15"*20</v>
          </cell>
          <cell r="D125" t="str">
            <v>20PCS/CTN</v>
          </cell>
          <cell r="E125">
            <v>340</v>
          </cell>
          <cell r="F125"/>
          <cell r="G125"/>
        </row>
        <row r="126">
          <cell r="C126" t="str">
            <v>PL22040-01 STAINLESS KITCHEN SINK 16"*24"</v>
          </cell>
          <cell r="D126" t="str">
            <v>20PCS/CTN</v>
          </cell>
          <cell r="E126">
            <v>360</v>
          </cell>
          <cell r="F126"/>
          <cell r="G126"/>
        </row>
        <row r="127">
          <cell r="C127" t="str">
            <v>PL22041-00 21"*17"*6.5 PLAIN STAINLESS KITCHEN SINK</v>
          </cell>
          <cell r="D127" t="str">
            <v>10PCS/CTN</v>
          </cell>
          <cell r="E127">
            <v>450</v>
          </cell>
          <cell r="F127"/>
          <cell r="G127"/>
        </row>
        <row r="128">
          <cell r="C128" t="str">
            <v>PL22041-01 30"*16"*5"RIGHT DRAIN STAINLESS KITCHEN SINK</v>
          </cell>
          <cell r="D128" t="str">
            <v>10PCS/CTN</v>
          </cell>
          <cell r="E128">
            <v>590</v>
          </cell>
          <cell r="F128"/>
          <cell r="G128"/>
        </row>
        <row r="129">
          <cell r="C129" t="str">
            <v>PL22041-02 30"*16"*5"-LEFT DRAIN STAINLESS KITCHEN SINK</v>
          </cell>
          <cell r="D129" t="str">
            <v>10PCS/CTN</v>
          </cell>
          <cell r="E129">
            <v>590</v>
          </cell>
          <cell r="F129"/>
          <cell r="G129"/>
        </row>
        <row r="130">
          <cell r="C130" t="str">
            <v>PL22041-03 30"*18"*7" RIGHT DRAIN STAINLESS KITCHEN SINK</v>
          </cell>
          <cell r="D130" t="str">
            <v>10PCS/CTN</v>
          </cell>
          <cell r="E130">
            <v>890</v>
          </cell>
          <cell r="F130"/>
          <cell r="G130"/>
        </row>
        <row r="131">
          <cell r="C131" t="str">
            <v>PL22041-04 30"*18"*7"-LEFT DRAIN STAINLESS KITCHEN SINK</v>
          </cell>
          <cell r="D131" t="str">
            <v>10PCS/CTN</v>
          </cell>
          <cell r="E131">
            <v>890</v>
          </cell>
          <cell r="F131"/>
          <cell r="G131"/>
        </row>
        <row r="132">
          <cell r="C132" t="str">
            <v>PL22041-05 31"*17"*6.5" DOUBLE BOWL STAINLESS KITCHEN SINK</v>
          </cell>
          <cell r="D132" t="str">
            <v>5PCS/CTN</v>
          </cell>
          <cell r="E132">
            <v>1050</v>
          </cell>
          <cell r="F132"/>
          <cell r="G132"/>
        </row>
        <row r="133">
          <cell r="C133" t="str">
            <v>PL22041-06 40"*20"*6" RIGHT DRAIN STAINLESS KITCHEN SINK</v>
          </cell>
          <cell r="D133" t="str">
            <v>10PCS/CTN</v>
          </cell>
          <cell r="E133">
            <v>950</v>
          </cell>
          <cell r="F133"/>
          <cell r="G133"/>
        </row>
        <row r="134">
          <cell r="C134" t="str">
            <v>PL22041-07 40"*20"*6"-LEFT DRAIN STAINLESS KITCHEN SINK</v>
          </cell>
          <cell r="D134" t="str">
            <v>10PCS/CTN</v>
          </cell>
          <cell r="E134">
            <v>950</v>
          </cell>
          <cell r="F134"/>
          <cell r="G134"/>
        </row>
        <row r="135">
          <cell r="C135" t="str">
            <v>PL22041-08 POLONET STAINLESS KITCHEN SINK 15"*15"*6</v>
          </cell>
          <cell r="D135" t="str">
            <v>10PCS/CTN</v>
          </cell>
          <cell r="E135">
            <v>350</v>
          </cell>
          <cell r="F135"/>
          <cell r="G135"/>
        </row>
        <row r="136">
          <cell r="C136" t="str">
            <v>PL22041-09 19"*19"*6.5" STAINLESS KITCHEN SINK</v>
          </cell>
          <cell r="D136" t="str">
            <v>10PCS/CTN</v>
          </cell>
          <cell r="E136">
            <v>590</v>
          </cell>
          <cell r="F136"/>
          <cell r="G136"/>
        </row>
        <row r="137">
          <cell r="C137"/>
          <cell r="D137"/>
          <cell r="E137"/>
          <cell r="F137"/>
          <cell r="G137"/>
        </row>
        <row r="138">
          <cell r="C138"/>
          <cell r="D138"/>
          <cell r="E138"/>
          <cell r="F138"/>
          <cell r="G138"/>
        </row>
        <row r="139">
          <cell r="C139"/>
          <cell r="D139" t="str">
            <v>DESCRIPTION</v>
          </cell>
          <cell r="E139" t="str">
            <v>PRICE</v>
          </cell>
          <cell r="F139" t="str">
            <v>VOLUME LESS</v>
          </cell>
          <cell r="G139" t="str">
            <v>REGULAR
LESS</v>
          </cell>
        </row>
        <row r="140">
          <cell r="C140" t="str">
            <v>PL22041-10 48"*20"*7.5"-DOUBLE BOWL RIGHT DRAIN STAINLESS KITCHEN SINK</v>
          </cell>
          <cell r="D140" t="str">
            <v>5PCS/CTN</v>
          </cell>
          <cell r="E140">
            <v>2200</v>
          </cell>
          <cell r="F140"/>
          <cell r="G140"/>
        </row>
        <row r="141">
          <cell r="C141" t="str">
            <v>PL22041-11 48"*20"*7.5"-DOUBLE BOWL LEFT DRAIN STAINLESS KITCHEN SINK</v>
          </cell>
          <cell r="D141" t="str">
            <v>5PCS/CTN</v>
          </cell>
          <cell r="E141">
            <v>2200</v>
          </cell>
          <cell r="F141"/>
          <cell r="G141"/>
        </row>
        <row r="142">
          <cell r="C142" t="str">
            <v>PL22042-01 22"*18"*8.5" SINGLE STAINLESS STEEL HAND SINK SATIN</v>
          </cell>
          <cell r="D142" t="str">
            <v>1PC/CTN</v>
          </cell>
          <cell r="E142">
            <v>2500</v>
          </cell>
          <cell r="F142"/>
          <cell r="G142"/>
        </row>
        <row r="143">
          <cell r="C143" t="str">
            <v>PL22042-02 22"*18"*8.5" SINGLE SINK STAINLESS STEEL HAND SINK BLACK</v>
          </cell>
          <cell r="D143" t="str">
            <v>1PC/CTN</v>
          </cell>
          <cell r="E143">
            <v>3100</v>
          </cell>
          <cell r="F143"/>
          <cell r="G143"/>
        </row>
        <row r="144">
          <cell r="C144" t="str">
            <v>PL22042-03 24"*18"*8.5" SINGLE SINK STAINLESS STEEL HAND SINK SATIN</v>
          </cell>
          <cell r="D144" t="str">
            <v>1PC/CTN</v>
          </cell>
          <cell r="E144">
            <v>2700</v>
          </cell>
          <cell r="F144"/>
          <cell r="G144"/>
        </row>
        <row r="145">
          <cell r="C145" t="str">
            <v>PL22042-04 24"*18"*8.5" SINGLE SINK STAINLESS STEEL HAND SINK BLACK</v>
          </cell>
          <cell r="D145" t="str">
            <v>1PC/CTN</v>
          </cell>
          <cell r="E145">
            <v>3300</v>
          </cell>
          <cell r="F145"/>
          <cell r="G145"/>
        </row>
        <row r="146">
          <cell r="C146" t="str">
            <v>PL22042-05 26"*18"*8.5" SINGLE SINK STAINLESS STEEL HAND SINK SATIN</v>
          </cell>
          <cell r="D146" t="str">
            <v>1PC/CTN</v>
          </cell>
          <cell r="E146">
            <v>2800</v>
          </cell>
          <cell r="F146"/>
          <cell r="G146"/>
        </row>
        <row r="147">
          <cell r="C147" t="str">
            <v>PL22042-06 26"*18"*8.5" SINGLE SINK STAINLESS STEEL HAND SINK BLACK</v>
          </cell>
          <cell r="D147" t="str">
            <v>1PC/CTN</v>
          </cell>
          <cell r="E147">
            <v>3500</v>
          </cell>
          <cell r="F147"/>
          <cell r="G147"/>
        </row>
        <row r="148">
          <cell r="C148" t="str">
            <v>PL22042-07 31"*17"*8.5" DOUBLE SINK STAINLESS STEEL HAND SINK SATIN</v>
          </cell>
          <cell r="D148" t="str">
            <v>1PC/CTN</v>
          </cell>
          <cell r="E148">
            <v>3500</v>
          </cell>
          <cell r="F148"/>
          <cell r="G148"/>
        </row>
        <row r="149">
          <cell r="C149" t="str">
            <v>PL22042-08 31"*17"*8.5" DOUBLE SINK STAINLESS STEEL HAND SINK BLACK</v>
          </cell>
          <cell r="D149" t="str">
            <v>1PC/CTN</v>
          </cell>
          <cell r="E149">
            <v>4500</v>
          </cell>
          <cell r="F149"/>
          <cell r="G149"/>
        </row>
        <row r="150">
          <cell r="C150" t="str">
            <v>PL22042-09 33"*18"*8.5" DOUBLE SINK STAINLESS STEEL HAND SINK SATIN</v>
          </cell>
          <cell r="D150" t="str">
            <v>1PC/CTN</v>
          </cell>
          <cell r="E150">
            <v>4000</v>
          </cell>
          <cell r="F150"/>
          <cell r="G150"/>
        </row>
        <row r="151">
          <cell r="C151" t="str">
            <v>PL22042-10 33"*18"*8.5" DOUBLE SINK STAINLESS STEEL HAND SINK BLACK</v>
          </cell>
          <cell r="D151" t="str">
            <v>1PC/CTN</v>
          </cell>
          <cell r="E151">
            <v>4500</v>
          </cell>
          <cell r="F151"/>
          <cell r="G151"/>
        </row>
        <row r="152">
          <cell r="C152"/>
          <cell r="D152"/>
          <cell r="E152"/>
          <cell r="F152"/>
          <cell r="G152"/>
        </row>
        <row r="153">
          <cell r="C153" t="str">
            <v>PL22043-01 304 STAINLESS STEEL KITCHEN SINK 18”*18”*8”45*45*20CM</v>
          </cell>
          <cell r="D153" t="str">
            <v>1 SET/CTN</v>
          </cell>
          <cell r="E153">
            <v>5500</v>
          </cell>
          <cell r="F153"/>
          <cell r="G153"/>
        </row>
        <row r="154">
          <cell r="C154" t="str">
            <v>PL22043-02 304 STAINLESS STEEL KITCHEN SINK 30"*18"*8"*76"*45*20CM</v>
          </cell>
          <cell r="D154" t="str">
            <v>1 SET/CTN</v>
          </cell>
          <cell r="E154">
            <v>7000</v>
          </cell>
          <cell r="F154"/>
          <cell r="G154"/>
        </row>
        <row r="155">
          <cell r="C155"/>
          <cell r="D155"/>
          <cell r="E155"/>
          <cell r="F155"/>
          <cell r="G155"/>
        </row>
        <row r="156">
          <cell r="C156"/>
          <cell r="D156" t="str">
            <v>DESCRIPTION</v>
          </cell>
          <cell r="E156" t="str">
            <v>PRICE</v>
          </cell>
          <cell r="F156" t="str">
            <v>VOLUME LESS</v>
          </cell>
          <cell r="G156" t="str">
            <v>REGULAR
LESS</v>
          </cell>
        </row>
        <row r="157">
          <cell r="C157" t="str">
            <v>PL22043-1 304 STAINLESS STEEL KITCHEN SINK 32"*18"*8"82"*45*20CM</v>
          </cell>
          <cell r="D157" t="str">
            <v>1 SET/CTN</v>
          </cell>
          <cell r="E157">
            <v>8000</v>
          </cell>
          <cell r="F157"/>
          <cell r="G157"/>
        </row>
        <row r="158">
          <cell r="C158"/>
          <cell r="D158"/>
          <cell r="E158"/>
          <cell r="F158"/>
          <cell r="G158"/>
        </row>
        <row r="159">
          <cell r="C159" t="str">
            <v>PL22051-1 DOWNPIPE SET FOR SINGLE BOWL (SINGLE LAUNCH)</v>
          </cell>
          <cell r="D159" t="str">
            <v>100SET/CTN</v>
          </cell>
          <cell r="E159">
            <v>60</v>
          </cell>
          <cell r="F159"/>
          <cell r="G159"/>
        </row>
        <row r="160">
          <cell r="C160" t="str">
            <v>PL22051-2 DOWNPIPE SET FOR DOUBLE BOWL (DOUBLE LAUNCH)</v>
          </cell>
          <cell r="D160" t="str">
            <v>50SET/CTN</v>
          </cell>
          <cell r="E160">
            <v>190</v>
          </cell>
          <cell r="F160"/>
          <cell r="G160"/>
        </row>
        <row r="161">
          <cell r="C161"/>
          <cell r="D161"/>
          <cell r="E161"/>
          <cell r="F161"/>
          <cell r="G161"/>
        </row>
        <row r="162">
          <cell r="C162" t="str">
            <v>PL22185-01 POLONET FAUCET WALL TYPE 1/2''*2'' SINGLE HANDLE</v>
          </cell>
          <cell r="D162" t="str">
            <v>60PCS/CTN</v>
          </cell>
          <cell r="E162">
            <v>90</v>
          </cell>
          <cell r="F162"/>
          <cell r="G162"/>
        </row>
        <row r="163">
          <cell r="C163" t="str">
            <v>PL22185-02 POLONET FAUCET WALL TYPE 1/2''*4'' SINGLE HANDLE</v>
          </cell>
          <cell r="D163" t="str">
            <v>60PCS/CTN</v>
          </cell>
          <cell r="E163">
            <v>110</v>
          </cell>
          <cell r="F163"/>
          <cell r="G163"/>
        </row>
        <row r="164">
          <cell r="C164" t="str">
            <v>PL22185-03 POLONET FAUCET WALL TYPE 1/2''*6'' SINGLE HANDLE</v>
          </cell>
          <cell r="D164" t="str">
            <v>60PCS/CTN</v>
          </cell>
          <cell r="E164">
            <v>120</v>
          </cell>
          <cell r="F164"/>
          <cell r="G164"/>
        </row>
        <row r="165">
          <cell r="C165" t="str">
            <v>PL22185-04 POLONET FAUCET WALL TYPE 1/2''*2''(57MM) CROSS HANDLE</v>
          </cell>
          <cell r="D165" t="str">
            <v>60PCS/CTN</v>
          </cell>
          <cell r="E165">
            <v>125</v>
          </cell>
          <cell r="F165"/>
          <cell r="G165"/>
        </row>
        <row r="166">
          <cell r="C166" t="str">
            <v>PL22185-05POLONET FAUCET WALL TYPE 1/2''*4''(84MM) CROSS HANDLE</v>
          </cell>
          <cell r="D166" t="str">
            <v>60PCS/CTN</v>
          </cell>
          <cell r="E166">
            <v>140</v>
          </cell>
          <cell r="F166"/>
          <cell r="G166"/>
        </row>
        <row r="167">
          <cell r="C167" t="str">
            <v>PL22185-06 POLONET FAUCET WALL TYPE 1/2''*6''(130MM) CROSS HANDLE</v>
          </cell>
          <cell r="D167" t="str">
            <v>60PCS/CTN</v>
          </cell>
          <cell r="E167">
            <v>190</v>
          </cell>
          <cell r="F167"/>
          <cell r="G167"/>
        </row>
        <row r="168">
          <cell r="C168"/>
          <cell r="D168"/>
          <cell r="E168"/>
          <cell r="F168"/>
          <cell r="G168"/>
        </row>
        <row r="169">
          <cell r="C169" t="str">
            <v>PL22182-01 POLONET ABS BIDET SET</v>
          </cell>
          <cell r="D169" t="str">
            <v>60SET/CTN</v>
          </cell>
          <cell r="E169">
            <v>215</v>
          </cell>
          <cell r="F169"/>
          <cell r="G169"/>
        </row>
        <row r="170">
          <cell r="C170" t="str">
            <v>PL22182-02 POLONET ABS BIDET SET</v>
          </cell>
          <cell r="D170" t="str">
            <v>60SET/CTN</v>
          </cell>
          <cell r="E170">
            <v>260</v>
          </cell>
          <cell r="F170"/>
          <cell r="G170"/>
        </row>
        <row r="171">
          <cell r="C171" t="str">
            <v>PL22182-03 POLONET 304 STAINLESS BIDET SET</v>
          </cell>
          <cell r="D171" t="str">
            <v>60SET/CTN</v>
          </cell>
          <cell r="E171">
            <v>350</v>
          </cell>
          <cell r="F171"/>
          <cell r="G171"/>
        </row>
        <row r="172">
          <cell r="C172"/>
          <cell r="D172"/>
          <cell r="E172"/>
          <cell r="F172"/>
          <cell r="G172"/>
        </row>
        <row r="173">
          <cell r="C173"/>
          <cell r="D173"/>
          <cell r="E173"/>
          <cell r="F173"/>
          <cell r="G173"/>
        </row>
        <row r="174">
          <cell r="C174"/>
          <cell r="D174" t="str">
            <v>DESCRIPTION</v>
          </cell>
          <cell r="E174" t="str">
            <v>PRICE</v>
          </cell>
          <cell r="F174" t="str">
            <v>VOLUME LESS</v>
          </cell>
          <cell r="G174" t="str">
            <v>REGULAR
LESS</v>
          </cell>
        </row>
        <row r="175">
          <cell r="C175"/>
          <cell r="D175"/>
          <cell r="E175"/>
          <cell r="F175"/>
          <cell r="G175"/>
        </row>
        <row r="176">
          <cell r="C176" t="str">
            <v>PL22180-01 STAINLESS FLEXIBLE HOSE FOR BIDET 1/2"*120CM</v>
          </cell>
          <cell r="D176" t="str">
            <v>60PCS/CTN</v>
          </cell>
          <cell r="E176">
            <v>160</v>
          </cell>
          <cell r="F176"/>
          <cell r="G176"/>
        </row>
        <row r="177">
          <cell r="C177" t="str">
            <v>PL22180-02 STAINLESS FLEXIBLE HOSE FOR SHOWER 1/2"*150CM</v>
          </cell>
          <cell r="D177" t="str">
            <v>60PCS/CTN</v>
          </cell>
          <cell r="E177">
            <v>170</v>
          </cell>
          <cell r="F177"/>
          <cell r="G177"/>
        </row>
        <row r="178">
          <cell r="C178"/>
          <cell r="D178"/>
          <cell r="E178"/>
          <cell r="F178"/>
          <cell r="G178"/>
        </row>
        <row r="179">
          <cell r="C179" t="str">
            <v>PL22151-1 HI-GRADE STAINLESS FLOOR STRAINER 4"*4"</v>
          </cell>
          <cell r="D179" t="str">
            <v>96PCS/CTN</v>
          </cell>
          <cell r="E179"/>
          <cell r="F179"/>
          <cell r="G179"/>
        </row>
        <row r="180">
          <cell r="C180" t="str">
            <v>PL22151-2 HI-GRADE STAINLESS FLOOR STRAINER 6"*6"</v>
          </cell>
          <cell r="D180" t="str">
            <v>36PCS/CTN</v>
          </cell>
          <cell r="E180"/>
          <cell r="F180"/>
          <cell r="G180"/>
        </row>
        <row r="181">
          <cell r="C181"/>
          <cell r="D181"/>
          <cell r="E181"/>
          <cell r="F181"/>
          <cell r="G181"/>
        </row>
        <row r="182">
          <cell r="C182" t="str">
            <v>PL22187-01 ANGLE VALVE 1/2"*1/2"</v>
          </cell>
          <cell r="D182" t="str">
            <v>60PCS/CTN</v>
          </cell>
          <cell r="E182">
            <v>110</v>
          </cell>
          <cell r="F182"/>
          <cell r="G182"/>
        </row>
        <row r="183">
          <cell r="C183" t="str">
            <v>PL22187-02 ANGLE VALVE 1/2"*1/2"*1/2"</v>
          </cell>
          <cell r="D183" t="str">
            <v>60PCS/CTN</v>
          </cell>
          <cell r="E183">
            <v>160</v>
          </cell>
          <cell r="F183"/>
          <cell r="G183"/>
        </row>
        <row r="184">
          <cell r="C184" t="str">
            <v>PL22187-03 ANGLE VALVE 1/2"*1/2"*1/2" 90°</v>
          </cell>
          <cell r="D184" t="str">
            <v>60PCS/CTN</v>
          </cell>
          <cell r="E184"/>
          <cell r="F184"/>
          <cell r="G184"/>
        </row>
        <row r="185">
          <cell r="C185"/>
          <cell r="D185"/>
          <cell r="E185"/>
          <cell r="F185"/>
          <cell r="G185"/>
        </row>
        <row r="186">
          <cell r="C186" t="str">
            <v>PL22170-1 304 STAINLESS FLEXIBLE HOSE WITH HANDLE 1/2"*1/2"*12"</v>
          </cell>
          <cell r="D186" t="str">
            <v>160PCS/CTN</v>
          </cell>
          <cell r="E186">
            <v>85</v>
          </cell>
          <cell r="F186"/>
          <cell r="G186"/>
        </row>
        <row r="187">
          <cell r="C187" t="str">
            <v>PL22170-2 304 STAINLESS FLEXIBLE HOSE WITH HANDLE 1/2"*1/2"*14"</v>
          </cell>
          <cell r="D187" t="str">
            <v>160PCS/CTN</v>
          </cell>
          <cell r="E187">
            <v>90</v>
          </cell>
          <cell r="F187"/>
          <cell r="G187"/>
        </row>
        <row r="188">
          <cell r="C188" t="str">
            <v>PL22170-3 304 STAINLESS FLEXIBLE HOSE WITH HANDLE 1/2"*1/2"*16"</v>
          </cell>
          <cell r="D188" t="str">
            <v>160PCS/CTN</v>
          </cell>
          <cell r="E188">
            <v>100</v>
          </cell>
          <cell r="F188"/>
          <cell r="G188"/>
        </row>
        <row r="189">
          <cell r="C189" t="str">
            <v>PL22170-4 304 STAINLESS FLEXIBLE HOSE WITH HANDLE 1/2"*1/2"*18"</v>
          </cell>
          <cell r="D189" t="str">
            <v>160PCS/CTN</v>
          </cell>
          <cell r="E189">
            <v>100</v>
          </cell>
          <cell r="F189"/>
          <cell r="G189"/>
        </row>
        <row r="190">
          <cell r="C190" t="str">
            <v>PL22170-5 304 STAINLESS FLEXIBLE HOSE WITH HANDLE 1/2"*1/2"*20"</v>
          </cell>
          <cell r="D190" t="str">
            <v>160PCS/CTN</v>
          </cell>
          <cell r="E190">
            <v>120</v>
          </cell>
          <cell r="F190"/>
          <cell r="G190"/>
        </row>
        <row r="191">
          <cell r="C191" t="str">
            <v>PL22170-6 304 STAINLESS FLEXIBLE HOSE WITH HANDLE 1/2"*1/2"*22"</v>
          </cell>
          <cell r="D191" t="str">
            <v>160PCS/CTN</v>
          </cell>
          <cell r="E191">
            <v>120</v>
          </cell>
          <cell r="F191"/>
          <cell r="G191"/>
        </row>
        <row r="192">
          <cell r="C192"/>
          <cell r="D192"/>
          <cell r="E192"/>
          <cell r="F192"/>
          <cell r="G192"/>
        </row>
        <row r="193">
          <cell r="C193"/>
          <cell r="D193" t="str">
            <v>DESCRIPTION</v>
          </cell>
          <cell r="E193" t="str">
            <v>PRICE</v>
          </cell>
          <cell r="F193" t="str">
            <v>VOLUME LESS</v>
          </cell>
          <cell r="G193" t="str">
            <v>REGULAR
LESS</v>
          </cell>
        </row>
        <row r="194">
          <cell r="C194" t="str">
            <v>PL22170-7 304 STAINLESS FLEXIBLE HOSE WITH HANDLE 1/2"*1/2"*24"</v>
          </cell>
          <cell r="D194" t="str">
            <v>160PCS/CTN</v>
          </cell>
          <cell r="E194">
            <v>120</v>
          </cell>
          <cell r="F194"/>
          <cell r="G194"/>
        </row>
        <row r="195">
          <cell r="C195"/>
          <cell r="D195"/>
          <cell r="E195"/>
          <cell r="F195"/>
          <cell r="G195"/>
        </row>
        <row r="196">
          <cell r="C196" t="str">
            <v>PL22200 POWER SPRAYER</v>
          </cell>
          <cell r="D196" t="str">
            <v>1SET/CTN</v>
          </cell>
          <cell r="E196">
            <v>3500</v>
          </cell>
          <cell r="F196"/>
          <cell r="G196"/>
        </row>
        <row r="197">
          <cell r="C197" t="str">
            <v>PL22200-FRAME POWER SPRAYER FRAME</v>
          </cell>
          <cell r="D197" t="str">
            <v>10SET/CTN</v>
          </cell>
          <cell r="E197">
            <v>3500</v>
          </cell>
          <cell r="F197"/>
          <cell r="G197"/>
        </row>
        <row r="198">
          <cell r="C198" t="str">
            <v>PL22200-SPRAY GUN POWER SPRAYER GUN</v>
          </cell>
          <cell r="D198" t="str">
            <v>50PCS/CTN</v>
          </cell>
          <cell r="E198">
            <v>3500</v>
          </cell>
          <cell r="F198"/>
          <cell r="G198"/>
        </row>
        <row r="199">
          <cell r="C199"/>
          <cell r="D199"/>
          <cell r="E199"/>
          <cell r="F199"/>
          <cell r="G199"/>
        </row>
        <row r="200">
          <cell r="C200" t="str">
            <v>PL22210-1 POWER SPRAYER HOSE 10m-ORANGE</v>
          </cell>
          <cell r="D200" t="str">
            <v>5ROLLS/CTN</v>
          </cell>
          <cell r="E200">
            <v>330</v>
          </cell>
          <cell r="F200"/>
          <cell r="G200"/>
        </row>
        <row r="201">
          <cell r="C201" t="str">
            <v>PL22210-2 POWER SPRAYER HOSE 15m-ORANGE</v>
          </cell>
          <cell r="D201" t="str">
            <v>5ROLLS/CTN</v>
          </cell>
          <cell r="E201">
            <v>460</v>
          </cell>
          <cell r="F201"/>
          <cell r="G201"/>
        </row>
        <row r="202">
          <cell r="C202" t="str">
            <v>PL22210-3 POWER SPRAYER HOSE 20m-ORANGE</v>
          </cell>
          <cell r="D202" t="str">
            <v>5ROLLS/CTN</v>
          </cell>
          <cell r="E202">
            <v>590</v>
          </cell>
          <cell r="F202"/>
          <cell r="G202"/>
        </row>
        <row r="203">
          <cell r="C203" t="str">
            <v>PL22210-4 POWER SPRAYER HOSE 30m-ORANGE</v>
          </cell>
          <cell r="D203" t="str">
            <v>2ROLLS/CTN</v>
          </cell>
          <cell r="E203">
            <v>750</v>
          </cell>
          <cell r="F203"/>
          <cell r="G203"/>
        </row>
        <row r="204">
          <cell r="C204" t="str">
            <v>PL22210-5 POWER SPRAYER HOSE 50m-ORANGE</v>
          </cell>
          <cell r="D204" t="str">
            <v>1ROLLS/CTN</v>
          </cell>
          <cell r="E204">
            <v>1160</v>
          </cell>
          <cell r="F204"/>
          <cell r="G204"/>
        </row>
        <row r="205">
          <cell r="C205" t="str">
            <v>PL22210- 6 POWER SPRAYER HOSE 100m-ORANGE</v>
          </cell>
          <cell r="D205" t="str">
            <v>1ROLLS/CTN</v>
          </cell>
          <cell r="E205">
            <v>2300</v>
          </cell>
          <cell r="F205"/>
          <cell r="G205"/>
        </row>
        <row r="206">
          <cell r="C206"/>
          <cell r="D206"/>
          <cell r="E206"/>
          <cell r="F206"/>
          <cell r="G206"/>
        </row>
        <row r="207">
          <cell r="C207"/>
          <cell r="D207"/>
          <cell r="E207"/>
          <cell r="F207"/>
          <cell r="G207"/>
        </row>
        <row r="208">
          <cell r="C208"/>
          <cell r="D208"/>
          <cell r="E208"/>
          <cell r="F208"/>
          <cell r="G208"/>
        </row>
        <row r="209">
          <cell r="C209"/>
          <cell r="D209" t="str">
            <v>DESCRIPTION</v>
          </cell>
          <cell r="E209" t="str">
            <v>PRICE</v>
          </cell>
          <cell r="F209" t="str">
            <v>VOLUME LESS</v>
          </cell>
          <cell r="G209" t="str">
            <v>REGULAR
LESS</v>
          </cell>
        </row>
        <row r="210">
          <cell r="C210"/>
          <cell r="D210"/>
          <cell r="E210"/>
          <cell r="F210"/>
          <cell r="G210"/>
        </row>
        <row r="211">
          <cell r="C211" t="str">
            <v>PL22211-1 POWER SPRAYER HOSE 10m-BLACK</v>
          </cell>
          <cell r="D211" t="str">
            <v>5ROLLS/CTN</v>
          </cell>
          <cell r="E211">
            <v>330</v>
          </cell>
          <cell r="F211"/>
          <cell r="G211"/>
        </row>
        <row r="212">
          <cell r="C212" t="str">
            <v>PL22211-2 POWER SPRAYER HOSE 15m-BLACK</v>
          </cell>
          <cell r="D212" t="str">
            <v>5ROLLS/CTN</v>
          </cell>
          <cell r="E212">
            <v>460</v>
          </cell>
          <cell r="F212"/>
          <cell r="G212"/>
        </row>
        <row r="213">
          <cell r="C213" t="str">
            <v>PL22211-3 POWER SPRAYER HOSE 20m-BLACK</v>
          </cell>
          <cell r="D213" t="str">
            <v>5ROLLS/CTN</v>
          </cell>
          <cell r="E213">
            <v>590</v>
          </cell>
          <cell r="F213"/>
          <cell r="G213"/>
        </row>
        <row r="214">
          <cell r="C214" t="str">
            <v>PL22211-4 POWER SPRAYER HOSE 30m-BLACK</v>
          </cell>
          <cell r="D214" t="str">
            <v>2ROLLS/CTN</v>
          </cell>
          <cell r="E214">
            <v>750</v>
          </cell>
          <cell r="F214"/>
          <cell r="G214"/>
        </row>
        <row r="215">
          <cell r="C215" t="str">
            <v>PL22211-5 POWER SPRAYER HOSE 50m-BLACK</v>
          </cell>
          <cell r="D215" t="str">
            <v>1ROLLS/CTN</v>
          </cell>
          <cell r="E215">
            <v>1160</v>
          </cell>
          <cell r="F215"/>
          <cell r="G215"/>
        </row>
        <row r="216">
          <cell r="C216" t="str">
            <v>PL22211-6 POWER SPRAYER HOSE 100m-BLACK</v>
          </cell>
          <cell r="D216" t="str">
            <v>1ROLLS/CTN</v>
          </cell>
          <cell r="E216">
            <v>2300</v>
          </cell>
          <cell r="F216"/>
          <cell r="G216"/>
        </row>
        <row r="217">
          <cell r="C217"/>
          <cell r="D217"/>
          <cell r="E217"/>
          <cell r="F217"/>
          <cell r="G217"/>
        </row>
        <row r="218">
          <cell r="C218"/>
          <cell r="D218"/>
          <cell r="E218"/>
          <cell r="F218"/>
          <cell r="G218"/>
        </row>
        <row r="219">
          <cell r="C219" t="str">
            <v>PL220800-00 1/2 PVC ELBOW</v>
          </cell>
          <cell r="D219" t="str">
            <v>1400PCS/CTN</v>
          </cell>
          <cell r="E219">
            <v>5.9</v>
          </cell>
          <cell r="F219" t="str">
            <v>Less 25%</v>
          </cell>
          <cell r="G219"/>
        </row>
        <row r="220">
          <cell r="C220" t="str">
            <v>PL220800-01 3/4 PVC ELBOW</v>
          </cell>
          <cell r="D220" t="str">
            <v>800PCS/CTN</v>
          </cell>
          <cell r="E220">
            <v>9</v>
          </cell>
          <cell r="F220"/>
          <cell r="G220"/>
        </row>
        <row r="221">
          <cell r="C221" t="str">
            <v>PL220800-02 1" PVC ELBOW</v>
          </cell>
          <cell r="D221" t="str">
            <v>550PCS/CTN</v>
          </cell>
          <cell r="E221">
            <v>13</v>
          </cell>
          <cell r="F221"/>
          <cell r="G221"/>
        </row>
        <row r="222">
          <cell r="C222" t="str">
            <v>PL220800-03 1-1/4" PVC ELBOW</v>
          </cell>
          <cell r="D222" t="str">
            <v>230PCS/CTN</v>
          </cell>
          <cell r="E222">
            <v>21</v>
          </cell>
          <cell r="F222"/>
          <cell r="G222"/>
        </row>
        <row r="223">
          <cell r="C223" t="str">
            <v>PL220800-04 1-1/2" PVC ELBOW</v>
          </cell>
          <cell r="D223" t="str">
            <v>200PCS/CTN</v>
          </cell>
          <cell r="E223">
            <v>33</v>
          </cell>
          <cell r="F223"/>
          <cell r="G223"/>
        </row>
        <row r="224">
          <cell r="C224" t="str">
            <v>PL220800-05 2" PVC ELBOW</v>
          </cell>
          <cell r="D224" t="str">
            <v>110PCS/CTN</v>
          </cell>
          <cell r="E224">
            <v>50</v>
          </cell>
          <cell r="F224"/>
          <cell r="G224"/>
        </row>
        <row r="225">
          <cell r="C225"/>
          <cell r="D225"/>
          <cell r="E225"/>
          <cell r="F225"/>
          <cell r="G225"/>
        </row>
        <row r="226">
          <cell r="C226" t="str">
            <v>PL220801-00 3/4*1/2 PVC ELBOW REDUCER</v>
          </cell>
          <cell r="D226" t="str">
            <v>1000PCS/CTN</v>
          </cell>
          <cell r="E226">
            <v>10.55</v>
          </cell>
          <cell r="F226" t="str">
            <v>Less 25%</v>
          </cell>
          <cell r="G226"/>
        </row>
        <row r="227">
          <cell r="C227" t="str">
            <v>PL220801-01 1*1/2 PVC ELBOW REDUCER</v>
          </cell>
          <cell r="D227" t="str">
            <v>700PCS/CTN</v>
          </cell>
          <cell r="E227">
            <v>20.7</v>
          </cell>
          <cell r="F227"/>
          <cell r="G227"/>
        </row>
        <row r="228">
          <cell r="C228" t="str">
            <v>PL220801-02 1*3/4 PVC ELBOW REDUCER</v>
          </cell>
          <cell r="D228" t="str">
            <v>550PCS/CTN</v>
          </cell>
          <cell r="E228">
            <v>18.75</v>
          </cell>
          <cell r="F228"/>
          <cell r="G228"/>
        </row>
        <row r="229">
          <cell r="C229"/>
          <cell r="D229"/>
          <cell r="E229"/>
          <cell r="F229"/>
          <cell r="G229"/>
        </row>
        <row r="230">
          <cell r="C230" t="str">
            <v>PL220802-00 1/2 PVC TEE</v>
          </cell>
          <cell r="D230" t="str">
            <v>900PCS/CTN</v>
          </cell>
          <cell r="E230">
            <v>9</v>
          </cell>
          <cell r="F230" t="str">
            <v>Less 25%</v>
          </cell>
          <cell r="G230"/>
        </row>
        <row r="231">
          <cell r="C231" t="str">
            <v>PL220802-01 (LTSN007-8) 3/4 PVC TEE</v>
          </cell>
          <cell r="D231" t="str">
            <v>500PCS/CTN</v>
          </cell>
          <cell r="E231">
            <v>12.5</v>
          </cell>
          <cell r="F231"/>
          <cell r="G231"/>
        </row>
        <row r="232">
          <cell r="C232" t="str">
            <v>PL220802-02 1" PVC TEE</v>
          </cell>
          <cell r="D232" t="str">
            <v>300PCS/CTN</v>
          </cell>
          <cell r="E232">
            <v>22.5</v>
          </cell>
          <cell r="F232"/>
          <cell r="G232"/>
        </row>
        <row r="233">
          <cell r="C233" t="str">
            <v>PL220802-03 1-1/4" PVC TEE</v>
          </cell>
          <cell r="D233" t="str">
            <v>160PCS/CTN</v>
          </cell>
          <cell r="E233">
            <v>32.5</v>
          </cell>
          <cell r="F233"/>
          <cell r="G233"/>
        </row>
        <row r="234">
          <cell r="C234" t="str">
            <v>PL220802-04 1-1/2" PVC TEE</v>
          </cell>
          <cell r="D234" t="str">
            <v>100PCS/CTN</v>
          </cell>
          <cell r="E234">
            <v>47.5</v>
          </cell>
          <cell r="F234"/>
          <cell r="G234"/>
        </row>
        <row r="235">
          <cell r="C235" t="str">
            <v>PL220802-05 2" PVC TEE</v>
          </cell>
          <cell r="D235" t="str">
            <v>80PCS/CTN</v>
          </cell>
          <cell r="E235">
            <v>82.5</v>
          </cell>
          <cell r="F235"/>
          <cell r="G235"/>
        </row>
        <row r="236">
          <cell r="C236"/>
          <cell r="D236"/>
          <cell r="E236"/>
          <cell r="F236"/>
          <cell r="G236"/>
        </row>
        <row r="237">
          <cell r="C237" t="str">
            <v>PL220803-00 (LTSN007-8) 3/4x1/2 PVC TEE REDUCER</v>
          </cell>
          <cell r="D237" t="str">
            <v>650PCS/CTN</v>
          </cell>
          <cell r="E237">
            <v>17</v>
          </cell>
          <cell r="F237" t="str">
            <v>Less 25%</v>
          </cell>
          <cell r="G237"/>
        </row>
        <row r="238">
          <cell r="C238" t="str">
            <v>PL220803-01 1x1/2 PVC TEE REDUCER</v>
          </cell>
          <cell r="D238" t="str">
            <v>450PCS/CTN</v>
          </cell>
          <cell r="E238">
            <v>25.9</v>
          </cell>
          <cell r="F238"/>
          <cell r="G238"/>
        </row>
        <row r="239">
          <cell r="C239" t="str">
            <v>PL220803-02 1x3/4 PVC TEE REDUCER</v>
          </cell>
          <cell r="D239" t="str">
            <v>400PCS/CTN</v>
          </cell>
          <cell r="E239">
            <v>25.9</v>
          </cell>
          <cell r="F239"/>
          <cell r="G239"/>
        </row>
        <row r="240">
          <cell r="C240"/>
          <cell r="D240"/>
          <cell r="E240"/>
          <cell r="F240"/>
          <cell r="G240"/>
        </row>
        <row r="241">
          <cell r="C241" t="str">
            <v>PL220804-00 1/2 PVC COUPLING</v>
          </cell>
          <cell r="D241" t="str">
            <v>2000PCS/CTN</v>
          </cell>
          <cell r="E241">
            <v>4</v>
          </cell>
          <cell r="F241" t="str">
            <v>Less 25%</v>
          </cell>
          <cell r="G241"/>
        </row>
        <row r="242">
          <cell r="C242" t="str">
            <v>PL220804-01 3/4 PVC COUPLING</v>
          </cell>
          <cell r="D242" t="str">
            <v>1100PCS/CTN</v>
          </cell>
          <cell r="E242">
            <v>6</v>
          </cell>
          <cell r="F242"/>
          <cell r="G242"/>
        </row>
        <row r="243">
          <cell r="C243" t="str">
            <v>PL220804-02 1" PVC COUPLING</v>
          </cell>
          <cell r="D243" t="str">
            <v>650PCS/CTN</v>
          </cell>
          <cell r="E243">
            <v>8</v>
          </cell>
          <cell r="F243"/>
          <cell r="G243"/>
        </row>
        <row r="244">
          <cell r="C244"/>
          <cell r="D244"/>
          <cell r="E244"/>
          <cell r="F244"/>
          <cell r="G244"/>
        </row>
        <row r="245">
          <cell r="C245"/>
          <cell r="D245"/>
          <cell r="E245"/>
          <cell r="F245"/>
          <cell r="G245"/>
        </row>
        <row r="246">
          <cell r="C246"/>
          <cell r="D246" t="str">
            <v>DESCRIPTION</v>
          </cell>
          <cell r="E246" t="str">
            <v>PRICE</v>
          </cell>
          <cell r="F246" t="str">
            <v>VOLUME LESS</v>
          </cell>
          <cell r="G246" t="str">
            <v>REGULAR
LESS</v>
          </cell>
        </row>
        <row r="247">
          <cell r="C247" t="str">
            <v>PL220804-03 1-1/4" PVC COUPLING</v>
          </cell>
          <cell r="D247" t="str">
            <v>400PCS/CTN</v>
          </cell>
          <cell r="E247">
            <v>12</v>
          </cell>
          <cell r="F247" t="str">
            <v>Less 25%</v>
          </cell>
          <cell r="G247"/>
        </row>
        <row r="248">
          <cell r="C248" t="str">
            <v>PL220804-04 1-1/2" PVC COUPLING</v>
          </cell>
          <cell r="D248" t="str">
            <v>270PCS/CTN</v>
          </cell>
          <cell r="E248">
            <v>18</v>
          </cell>
          <cell r="F248"/>
          <cell r="G248"/>
        </row>
        <row r="249">
          <cell r="C249" t="str">
            <v>PL220804-05 2" PVC COUPLING</v>
          </cell>
          <cell r="D249" t="str">
            <v>210PCS/CTN</v>
          </cell>
          <cell r="E249">
            <v>30</v>
          </cell>
          <cell r="F249"/>
          <cell r="G249"/>
        </row>
        <row r="250">
          <cell r="C250"/>
          <cell r="D250"/>
          <cell r="E250"/>
          <cell r="F250"/>
          <cell r="G250"/>
        </row>
        <row r="251">
          <cell r="C251" t="str">
            <v>PL220805-00 3/4*1/2 PVC COUPLING REDUCER</v>
          </cell>
          <cell r="D251" t="str">
            <v>1500PCS/CTN</v>
          </cell>
          <cell r="E251">
            <v>7.1</v>
          </cell>
          <cell r="F251" t="str">
            <v>Less 25%</v>
          </cell>
          <cell r="G251"/>
        </row>
        <row r="252">
          <cell r="C252" t="str">
            <v>PL220805-01 (LTSN007-17) 1*1/2 PVC COUPLING REDUCER</v>
          </cell>
          <cell r="D252" t="str">
            <v>1000PCS/CTN</v>
          </cell>
          <cell r="E252">
            <v>10.6</v>
          </cell>
          <cell r="F252"/>
          <cell r="G252"/>
        </row>
        <row r="253">
          <cell r="C253" t="str">
            <v>PL220805-02 1*3/4 PVC COUPLING REDUCER</v>
          </cell>
          <cell r="D253" t="str">
            <v>800PCS/CTN</v>
          </cell>
          <cell r="E253">
            <v>11.5</v>
          </cell>
          <cell r="F253"/>
          <cell r="G253"/>
        </row>
        <row r="254">
          <cell r="C254"/>
          <cell r="D254"/>
          <cell r="E254"/>
          <cell r="F254"/>
          <cell r="G254"/>
        </row>
        <row r="255">
          <cell r="C255" t="str">
            <v>PL220806-00 1/2 PVC FEMALE ADAPTER</v>
          </cell>
          <cell r="D255" t="str">
            <v>2000PCS/CTN</v>
          </cell>
          <cell r="E255">
            <v>7.1</v>
          </cell>
          <cell r="F255" t="str">
            <v>Less 25%</v>
          </cell>
          <cell r="G255"/>
        </row>
        <row r="256">
          <cell r="C256" t="str">
            <v>PL220806-01 3/4 PVC FEMALE ADAPTER</v>
          </cell>
          <cell r="D256" t="str">
            <v>1200PCS/CTN</v>
          </cell>
          <cell r="E256">
            <v>8.1999999999999993</v>
          </cell>
          <cell r="F256"/>
          <cell r="G256"/>
        </row>
        <row r="257">
          <cell r="C257" t="str">
            <v>PL220806-02 1" PVC FEMALE ADAPTER</v>
          </cell>
          <cell r="D257" t="str">
            <v>700PCS/CTN</v>
          </cell>
          <cell r="E257">
            <v>13</v>
          </cell>
          <cell r="F257"/>
          <cell r="G257"/>
        </row>
        <row r="258">
          <cell r="C258" t="str">
            <v>PL220806-03 1-1/4" PVC FEMALE ADAPTER</v>
          </cell>
          <cell r="D258" t="str">
            <v>2000PCS/CTN</v>
          </cell>
          <cell r="E258">
            <v>18.8</v>
          </cell>
          <cell r="F258"/>
          <cell r="G258"/>
        </row>
        <row r="259">
          <cell r="C259" t="str">
            <v>PL220806-04 1-1/2" PVC FEMALE ADAPTER</v>
          </cell>
          <cell r="D259" t="str">
            <v>1200PCS/CTN</v>
          </cell>
          <cell r="E259">
            <v>27</v>
          </cell>
          <cell r="F259"/>
          <cell r="G259"/>
        </row>
        <row r="260">
          <cell r="C260" t="str">
            <v>PL220806-05 2" PVC FEMALE ADAPTER</v>
          </cell>
          <cell r="D260" t="str">
            <v>700PCS/CTN</v>
          </cell>
          <cell r="E260">
            <v>48.7</v>
          </cell>
          <cell r="F260"/>
          <cell r="G260"/>
        </row>
        <row r="261">
          <cell r="C261"/>
          <cell r="D261"/>
          <cell r="E261"/>
          <cell r="F261"/>
          <cell r="G261"/>
        </row>
        <row r="262">
          <cell r="C262" t="str">
            <v>PL220807-00 (LTSN007-22) 1/2 PVC MALE ADAPTER</v>
          </cell>
          <cell r="D262" t="str">
            <v>2100PCS/CTN</v>
          </cell>
          <cell r="E262">
            <v>7.1</v>
          </cell>
          <cell r="F262" t="str">
            <v>Less 25%</v>
          </cell>
          <cell r="G262"/>
        </row>
        <row r="263">
          <cell r="C263" t="str">
            <v>PL220807-01 (LTSN007-23) 3/4 PVC MALE ADAPTER</v>
          </cell>
          <cell r="D263" t="str">
            <v>1300PCS/CTN</v>
          </cell>
          <cell r="E263">
            <v>8.1999999999999993</v>
          </cell>
          <cell r="F263"/>
          <cell r="G263"/>
        </row>
        <row r="264">
          <cell r="C264" t="str">
            <v>PL220807--02 1" PVC MALE ADAPTER</v>
          </cell>
          <cell r="D264" t="str">
            <v>750PCS/CTN</v>
          </cell>
          <cell r="E264">
            <v>13</v>
          </cell>
          <cell r="F264"/>
          <cell r="G264"/>
        </row>
        <row r="265">
          <cell r="C265" t="str">
            <v>PL220807-03 1-1/4" PVC MALE ADAPTER</v>
          </cell>
          <cell r="D265" t="str">
            <v>480PCS/CTN</v>
          </cell>
          <cell r="E265">
            <v>18.8</v>
          </cell>
          <cell r="F265"/>
          <cell r="G265"/>
        </row>
        <row r="266">
          <cell r="C266" t="str">
            <v>PL220807-04 1-1/2" PVC MALE ADAPTER</v>
          </cell>
          <cell r="D266" t="str">
            <v>380PCS/CTN</v>
          </cell>
          <cell r="E266">
            <v>27</v>
          </cell>
          <cell r="F266"/>
          <cell r="G266"/>
        </row>
        <row r="267">
          <cell r="C267" t="str">
            <v>PL220807--05 2" PVC MALE ADAPTER</v>
          </cell>
          <cell r="D267" t="str">
            <v>210PCS/CTN</v>
          </cell>
          <cell r="E267">
            <v>48.7</v>
          </cell>
          <cell r="F267"/>
          <cell r="G267"/>
        </row>
        <row r="268">
          <cell r="C268"/>
          <cell r="D268"/>
          <cell r="E268"/>
          <cell r="F268"/>
          <cell r="G268"/>
        </row>
        <row r="269">
          <cell r="C269" t="str">
            <v>PL220808-00 1/2 PVC FEMALE THREAD ELBOW</v>
          </cell>
          <cell r="D269" t="str">
            <v>1200PCS/CTN</v>
          </cell>
          <cell r="E269">
            <v>9.6</v>
          </cell>
          <cell r="F269" t="str">
            <v>Less 25%</v>
          </cell>
          <cell r="G269"/>
        </row>
        <row r="270">
          <cell r="C270" t="str">
            <v>PL220808- 3/4 PVC FEMALE THREAD ELBOW</v>
          </cell>
          <cell r="D270" t="str">
            <v>700PCS/CTN</v>
          </cell>
          <cell r="E270">
            <v>11.8</v>
          </cell>
          <cell r="F270"/>
          <cell r="G270"/>
        </row>
        <row r="271">
          <cell r="C271" t="str">
            <v>PL220808-02 1" PVC FEMALE THREAD ELBOW</v>
          </cell>
          <cell r="D271" t="str">
            <v>400PCS/CTN</v>
          </cell>
          <cell r="E271">
            <v>15.3</v>
          </cell>
          <cell r="F271"/>
          <cell r="G271"/>
        </row>
        <row r="272">
          <cell r="C272"/>
          <cell r="D272"/>
          <cell r="E272"/>
          <cell r="F272"/>
          <cell r="G272"/>
        </row>
        <row r="273">
          <cell r="C273" t="str">
            <v>PL220809-00 1/2 PVC FEMALE THREAD TEE</v>
          </cell>
          <cell r="D273" t="str">
            <v>800PCS/CTN</v>
          </cell>
          <cell r="E273">
            <v>9.9</v>
          </cell>
          <cell r="F273" t="str">
            <v>Less 25%</v>
          </cell>
          <cell r="G273"/>
        </row>
        <row r="274">
          <cell r="C274" t="str">
            <v>PL220809-01 3/4 PVC FEMALE THREAD TEE</v>
          </cell>
          <cell r="D274" t="str">
            <v>450PCS/CTN</v>
          </cell>
          <cell r="E274">
            <v>14.1</v>
          </cell>
          <cell r="F274"/>
          <cell r="G274"/>
        </row>
        <row r="275">
          <cell r="C275" t="str">
            <v>PL220809-02 (LTSN007-30) 1" PVC FEMALE THREAD TEE</v>
          </cell>
          <cell r="D275" t="str">
            <v>300PCS/CTN</v>
          </cell>
          <cell r="E275">
            <v>25</v>
          </cell>
          <cell r="F275"/>
          <cell r="G275"/>
        </row>
        <row r="276">
          <cell r="C276"/>
          <cell r="D276"/>
          <cell r="E276"/>
          <cell r="F276"/>
          <cell r="G276"/>
        </row>
        <row r="277">
          <cell r="C277" t="str">
            <v>PL220810-00 1/2 PVC PLUG</v>
          </cell>
          <cell r="D277" t="str">
            <v>3800PCS/CTN</v>
          </cell>
          <cell r="E277">
            <v>8</v>
          </cell>
          <cell r="F277" t="str">
            <v>Less 25%</v>
          </cell>
          <cell r="G277"/>
        </row>
        <row r="278">
          <cell r="C278" t="str">
            <v>PL220810-01 (LTSN007-32) 3/4 PVC PLUG</v>
          </cell>
          <cell r="D278" t="str">
            <v>2000PCS/CTN</v>
          </cell>
          <cell r="E278">
            <v>8.5</v>
          </cell>
          <cell r="F278"/>
          <cell r="G278"/>
        </row>
        <row r="279">
          <cell r="C279" t="str">
            <v>PL220810-02 (LTSN007-33) 1" PVC PLUG</v>
          </cell>
          <cell r="D279" t="str">
            <v>1500PCS/CTN</v>
          </cell>
          <cell r="E279">
            <v>15</v>
          </cell>
          <cell r="F279"/>
          <cell r="G279"/>
        </row>
        <row r="280">
          <cell r="C280"/>
          <cell r="D280"/>
          <cell r="E280"/>
          <cell r="F280"/>
          <cell r="G280"/>
        </row>
        <row r="281">
          <cell r="C281" t="str">
            <v>PL220811-00 1/2 PVC END CAP</v>
          </cell>
          <cell r="D281" t="str">
            <v>4000PCS/CTN</v>
          </cell>
          <cell r="E281">
            <v>5</v>
          </cell>
          <cell r="F281" t="str">
            <v>Less 25%</v>
          </cell>
          <cell r="G281"/>
        </row>
        <row r="282">
          <cell r="C282" t="str">
            <v>PL220811-01 3/4 PVC END CAP</v>
          </cell>
          <cell r="D282" t="str">
            <v>2000PCS/CTN</v>
          </cell>
          <cell r="E282">
            <v>7.5</v>
          </cell>
          <cell r="F282"/>
          <cell r="G282"/>
        </row>
        <row r="283">
          <cell r="C283" t="str">
            <v>PL220811-02 (LTSN007-36) 1" PVC END CAP</v>
          </cell>
          <cell r="D283" t="str">
            <v>1200PCS/CTN</v>
          </cell>
          <cell r="E283">
            <v>11</v>
          </cell>
          <cell r="F283"/>
          <cell r="G283"/>
        </row>
        <row r="284">
          <cell r="C284" t="str">
            <v>PL220811-03 1-1/4" PVC END CAP</v>
          </cell>
          <cell r="D284" t="str">
            <v>750PCS/CTN</v>
          </cell>
          <cell r="E284">
            <v>13.5</v>
          </cell>
          <cell r="F284"/>
          <cell r="G284"/>
        </row>
        <row r="285">
          <cell r="C285" t="str">
            <v>PL220811-04 1-1/2" PVC END CAP</v>
          </cell>
          <cell r="D285" t="str">
            <v>440PCS/CTN</v>
          </cell>
          <cell r="E285">
            <v>16</v>
          </cell>
          <cell r="F285"/>
          <cell r="G285"/>
        </row>
        <row r="286">
          <cell r="C286"/>
          <cell r="D286"/>
          <cell r="E286"/>
          <cell r="F286"/>
          <cell r="G286"/>
        </row>
        <row r="287">
          <cell r="C287"/>
          <cell r="D287" t="str">
            <v>DESCRIPTION</v>
          </cell>
          <cell r="E287" t="str">
            <v>PRICE</v>
          </cell>
          <cell r="F287" t="str">
            <v>VOLUME LESS</v>
          </cell>
          <cell r="G287" t="str">
            <v>REGULAR
LESS</v>
          </cell>
        </row>
        <row r="288">
          <cell r="C288" t="str">
            <v>PL220811-05 2" PVC END CAP</v>
          </cell>
          <cell r="D288" t="str">
            <v>270PCS/CTN</v>
          </cell>
          <cell r="E288">
            <v>25</v>
          </cell>
          <cell r="F288"/>
          <cell r="G288"/>
        </row>
        <row r="289">
          <cell r="C289"/>
          <cell r="D289"/>
          <cell r="E289"/>
          <cell r="F289"/>
          <cell r="G289"/>
        </row>
        <row r="290">
          <cell r="C290" t="str">
            <v>PL220812-00 1/2 PVC UNION PATENTE</v>
          </cell>
          <cell r="D290" t="str">
            <v>300PCS/CTN</v>
          </cell>
          <cell r="E290">
            <v>30</v>
          </cell>
          <cell r="F290"/>
          <cell r="G290" t="str">
            <v>Less 25%</v>
          </cell>
        </row>
        <row r="291">
          <cell r="C291" t="str">
            <v>PL220812-01 3/4 PVC UNION PATENTE</v>
          </cell>
          <cell r="D291" t="str">
            <v>200PCS/CTN</v>
          </cell>
          <cell r="E291">
            <v>42</v>
          </cell>
          <cell r="F291"/>
          <cell r="G291"/>
        </row>
        <row r="292">
          <cell r="C292" t="str">
            <v>PL220812-02 1" PVC UNION PATENTE</v>
          </cell>
          <cell r="D292" t="str">
            <v>100PCS/CTN</v>
          </cell>
          <cell r="E292">
            <v>58</v>
          </cell>
          <cell r="F292"/>
          <cell r="G292"/>
        </row>
        <row r="293">
          <cell r="C293" t="str">
            <v>PL220812-03 1-1/4" PVC UNION PATENTE</v>
          </cell>
          <cell r="D293" t="str">
            <v>170PCS/CTN</v>
          </cell>
          <cell r="E293">
            <v>100</v>
          </cell>
          <cell r="F293"/>
          <cell r="G293"/>
        </row>
        <row r="294">
          <cell r="C294" t="str">
            <v>PL220812-04 1-1/2" PVC UNION PATENTE</v>
          </cell>
          <cell r="D294" t="str">
            <v>110PCS/CTN</v>
          </cell>
          <cell r="E294">
            <v>140</v>
          </cell>
          <cell r="F294"/>
          <cell r="G294"/>
        </row>
        <row r="295">
          <cell r="C295" t="str">
            <v>PL220812-05 2" PVC UNION PATENTE</v>
          </cell>
          <cell r="D295" t="str">
            <v>100PCS/CTN</v>
          </cell>
          <cell r="E295">
            <v>250</v>
          </cell>
          <cell r="F295"/>
          <cell r="G295"/>
        </row>
        <row r="296">
          <cell r="C296"/>
          <cell r="D296"/>
          <cell r="E296"/>
          <cell r="F296"/>
          <cell r="G296"/>
        </row>
        <row r="297">
          <cell r="C297" t="str">
            <v>PLPP201 PPR PIPE PN20 20×2.8 (1/2)</v>
          </cell>
          <cell r="D297" t="str">
            <v>50PCS/SACK</v>
          </cell>
          <cell r="E297">
            <v>179</v>
          </cell>
          <cell r="F297"/>
          <cell r="G297" t="str">
            <v>Less 20%</v>
          </cell>
        </row>
        <row r="298">
          <cell r="C298" t="str">
            <v>PLPP202 PPR PIPE PN20 25×3.5 (3/4)</v>
          </cell>
          <cell r="D298" t="str">
            <v>35PCS/SACK</v>
          </cell>
          <cell r="E298">
            <v>268</v>
          </cell>
          <cell r="F298"/>
          <cell r="G298"/>
        </row>
        <row r="299">
          <cell r="C299" t="str">
            <v>PLPP203 PPR PIPE PN20 32×4.4 (1")</v>
          </cell>
          <cell r="D299" t="str">
            <v>20PCS/SACK</v>
          </cell>
          <cell r="E299">
            <v>459</v>
          </cell>
          <cell r="F299"/>
          <cell r="G299"/>
        </row>
        <row r="300">
          <cell r="C300" t="str">
            <v>PLPP204 PPR PIPE PN20 40×5.5 (1"1/4)</v>
          </cell>
          <cell r="D300" t="str">
            <v>15PCS/SACK</v>
          </cell>
          <cell r="E300">
            <v>660</v>
          </cell>
          <cell r="F300"/>
          <cell r="G300"/>
        </row>
        <row r="301">
          <cell r="C301" t="str">
            <v>PLPP205 PPR PIPE PN20 50×6.9 (1"1/2)</v>
          </cell>
          <cell r="D301" t="str">
            <v>10PCS/SACK</v>
          </cell>
          <cell r="E301">
            <v>1036</v>
          </cell>
          <cell r="F301"/>
          <cell r="G301"/>
        </row>
        <row r="302">
          <cell r="C302" t="str">
            <v>PLPP206 PPR PIPE PN20 63×8.6 (2")</v>
          </cell>
          <cell r="D302" t="str">
            <v>6PCS/SACK</v>
          </cell>
          <cell r="E302">
            <v>1635</v>
          </cell>
          <cell r="F302"/>
          <cell r="G302"/>
        </row>
        <row r="303">
          <cell r="C303" t="str">
            <v>PLPP301PPR PIPE PN 25 20×3.4 (1/2)</v>
          </cell>
          <cell r="D303" t="str">
            <v>50PCS/SACK</v>
          </cell>
          <cell r="E303">
            <v>212</v>
          </cell>
          <cell r="F303"/>
          <cell r="G303"/>
        </row>
        <row r="304">
          <cell r="C304" t="str">
            <v>PLPP302 PPR PIPE PN 25 25×4.2 (3/4)</v>
          </cell>
          <cell r="D304" t="str">
            <v>35PCS/SACK</v>
          </cell>
          <cell r="E304">
            <v>313</v>
          </cell>
          <cell r="F304"/>
          <cell r="G304"/>
        </row>
        <row r="305">
          <cell r="C305" t="str">
            <v>PLPP303 PPR PIPE PN 25 32×5.4 (1")</v>
          </cell>
          <cell r="D305" t="str">
            <v>20PCS/SACK</v>
          </cell>
          <cell r="E305">
            <v>537</v>
          </cell>
          <cell r="F305"/>
          <cell r="G305"/>
        </row>
        <row r="306">
          <cell r="C306"/>
          <cell r="D306"/>
          <cell r="E306"/>
          <cell r="F306"/>
          <cell r="G306"/>
        </row>
        <row r="307">
          <cell r="C307" t="str">
            <v>PLPP401 PPR PIPES PN20 20*2.8 (30M)</v>
          </cell>
          <cell r="D307" t="str">
            <v>30M/ROLL</v>
          </cell>
          <cell r="E307">
            <v>1360</v>
          </cell>
          <cell r="F307"/>
          <cell r="G307" t="str">
            <v>Less 20%</v>
          </cell>
        </row>
        <row r="308">
          <cell r="C308" t="str">
            <v>PLPP402 PPR PIPES PN20 20*2.8 (50M)</v>
          </cell>
          <cell r="D308" t="str">
            <v>50M/ROLL</v>
          </cell>
          <cell r="E308">
            <v>2237.5</v>
          </cell>
          <cell r="F308"/>
          <cell r="G308"/>
        </row>
        <row r="309">
          <cell r="C309" t="str">
            <v>PLPP403 PPR PIPES PN20 20*2.8 (100M)</v>
          </cell>
          <cell r="D309" t="str">
            <v>100M/ROLL</v>
          </cell>
          <cell r="E309">
            <v>4475</v>
          </cell>
          <cell r="F309"/>
          <cell r="G309"/>
        </row>
        <row r="310">
          <cell r="C310" t="str">
            <v>PLPP404 PPR PIPES PN20 25*3.5 (30M)</v>
          </cell>
          <cell r="D310" t="str">
            <v>30M/ROLL</v>
          </cell>
          <cell r="E310">
            <v>1980</v>
          </cell>
          <cell r="F310"/>
          <cell r="G310"/>
        </row>
        <row r="311">
          <cell r="C311" t="str">
            <v>PLPP405 PPR PIPES PN20 25*3.5 (50M)</v>
          </cell>
          <cell r="D311" t="str">
            <v>50M/ROLL</v>
          </cell>
          <cell r="E311">
            <v>3350</v>
          </cell>
          <cell r="F311"/>
          <cell r="G311"/>
        </row>
        <row r="312">
          <cell r="C312" t="str">
            <v>PLPP406 PPR PIPES PN20 25*3.5 (100M)</v>
          </cell>
          <cell r="D312" t="str">
            <v>100M/ROLL</v>
          </cell>
          <cell r="E312">
            <v>6700</v>
          </cell>
          <cell r="F312"/>
          <cell r="G312"/>
        </row>
        <row r="313">
          <cell r="C313"/>
          <cell r="D313"/>
          <cell r="E313"/>
          <cell r="F313"/>
          <cell r="G313"/>
        </row>
        <row r="314">
          <cell r="C314"/>
          <cell r="D314"/>
          <cell r="E314"/>
          <cell r="F314"/>
          <cell r="G314"/>
        </row>
        <row r="315">
          <cell r="C315" t="str">
            <v>PLC001 FEMALE THREAD SOCKET 1/2 X 1/2</v>
          </cell>
          <cell r="D315" t="str">
            <v>400PCS/CTN</v>
          </cell>
          <cell r="E315">
            <v>51.5</v>
          </cell>
          <cell r="F315"/>
          <cell r="G315" t="str">
            <v>Less 20%</v>
          </cell>
        </row>
        <row r="316">
          <cell r="C316" t="str">
            <v>PLC002 FEMALE THREAD SOCKET 1/2 X 3/4</v>
          </cell>
          <cell r="D316" t="str">
            <v>325PCS/CTN</v>
          </cell>
          <cell r="E316">
            <v>75.25</v>
          </cell>
          <cell r="F316"/>
          <cell r="G316"/>
        </row>
        <row r="317">
          <cell r="C317" t="str">
            <v>PLC003 FEMALE THREAD SOCKET 3/4 X 1/2</v>
          </cell>
          <cell r="D317" t="str">
            <v>325PCS/CTN</v>
          </cell>
          <cell r="E317">
            <v>67.25</v>
          </cell>
          <cell r="F317"/>
          <cell r="G317"/>
        </row>
        <row r="318">
          <cell r="C318" t="str">
            <v>PLC004 FEMALE THREAD SOCKET 3/4 X3/4</v>
          </cell>
          <cell r="D318" t="str">
            <v>250PCS/CTN</v>
          </cell>
          <cell r="E318">
            <v>78.5</v>
          </cell>
          <cell r="F318"/>
          <cell r="G318"/>
        </row>
        <row r="319">
          <cell r="C319"/>
          <cell r="D319"/>
          <cell r="E319"/>
          <cell r="F319"/>
          <cell r="G319"/>
        </row>
        <row r="320">
          <cell r="C320" t="str">
            <v>NAME ITEM PRODUCT</v>
          </cell>
          <cell r="D320" t="str">
            <v>DESCRIPTION</v>
          </cell>
          <cell r="E320" t="str">
            <v>PRICE</v>
          </cell>
          <cell r="F320" t="str">
            <v>VOLUME LESS</v>
          </cell>
          <cell r="G320" t="str">
            <v>REGULAR
LESS</v>
          </cell>
        </row>
        <row r="321">
          <cell r="C321" t="str">
            <v>PLC005 FEMALE THREAD SOCKET 3/4 X 1"</v>
          </cell>
          <cell r="D321" t="str">
            <v>140PCS/CTN</v>
          </cell>
          <cell r="E321">
            <v>76.25</v>
          </cell>
          <cell r="F321"/>
          <cell r="G321" t="str">
            <v>Less 20%</v>
          </cell>
        </row>
        <row r="322">
          <cell r="C322" t="str">
            <v>PLC006 FEMALE THREAD SOCKET 1"X 1 1/2</v>
          </cell>
          <cell r="D322" t="str">
            <v>240PCS/CTN</v>
          </cell>
          <cell r="E322">
            <v>128</v>
          </cell>
          <cell r="F322"/>
          <cell r="G322"/>
        </row>
        <row r="323">
          <cell r="C323" t="str">
            <v>PLC007 FEMALE THREAD SOCKET 1"X 1/2</v>
          </cell>
          <cell r="D323"/>
          <cell r="E323"/>
          <cell r="F323"/>
          <cell r="G323"/>
        </row>
        <row r="324">
          <cell r="C324" t="str">
            <v>PLC008 FEMALE THREAD SOCKET S32 x 1"</v>
          </cell>
          <cell r="D324" t="str">
            <v>150PCS/CTN</v>
          </cell>
          <cell r="E324">
            <v>200</v>
          </cell>
          <cell r="F324"/>
          <cell r="G324"/>
        </row>
        <row r="325">
          <cell r="C325"/>
          <cell r="D325"/>
          <cell r="E325"/>
          <cell r="F325"/>
          <cell r="G325"/>
        </row>
        <row r="326">
          <cell r="C326" t="str">
            <v>PLC101 MALE THREAD SOCKET 1/2</v>
          </cell>
          <cell r="D326" t="str">
            <v>360PCS/CTN</v>
          </cell>
          <cell r="E326">
            <v>69.5</v>
          </cell>
          <cell r="F326"/>
          <cell r="G326" t="str">
            <v>Less 20%</v>
          </cell>
        </row>
        <row r="327">
          <cell r="C327" t="str">
            <v>PLC102 MALE THREAD SOCKET 1/2 X 3/4</v>
          </cell>
          <cell r="D327" t="str">
            <v>250PCS/CTN</v>
          </cell>
          <cell r="E327">
            <v>75</v>
          </cell>
          <cell r="F327"/>
          <cell r="G327"/>
        </row>
        <row r="328">
          <cell r="C328" t="str">
            <v>PLC103 MALE THREAD SOCKET 3/4 X 1/2</v>
          </cell>
          <cell r="D328" t="str">
            <v>300PCS/CTN</v>
          </cell>
          <cell r="E328">
            <v>78.5</v>
          </cell>
          <cell r="F328"/>
          <cell r="G328"/>
        </row>
        <row r="329">
          <cell r="C329" t="str">
            <v>PLC104 MALE THREAD SOCKET 3/4 X 3/4</v>
          </cell>
          <cell r="D329" t="str">
            <v>180PCS/CTN</v>
          </cell>
          <cell r="E329">
            <v>96.25</v>
          </cell>
          <cell r="F329"/>
          <cell r="G329"/>
        </row>
        <row r="330">
          <cell r="C330" t="str">
            <v>PLC106 MALE THREAD SOCKET 1" X 3/4</v>
          </cell>
          <cell r="D330" t="str">
            <v>180PCS/CTN</v>
          </cell>
          <cell r="E330">
            <v>143</v>
          </cell>
          <cell r="F330"/>
          <cell r="G330"/>
        </row>
        <row r="331">
          <cell r="C331" t="str">
            <v>PLC107 MALE THREAD SOCKET 1" X 1"</v>
          </cell>
          <cell r="D331" t="str">
            <v>100PCS/CTN</v>
          </cell>
          <cell r="E331">
            <v>252</v>
          </cell>
          <cell r="F331"/>
          <cell r="G331"/>
        </row>
        <row r="332">
          <cell r="C332" t="str">
            <v>PLC114 MALE SOCKET S25 x 1</v>
          </cell>
          <cell r="D332" t="str">
            <v>120PCS/CTN</v>
          </cell>
          <cell r="E332">
            <v>175</v>
          </cell>
          <cell r="F332"/>
          <cell r="G332"/>
        </row>
        <row r="333">
          <cell r="C333"/>
          <cell r="D333"/>
          <cell r="E333"/>
          <cell r="F333"/>
          <cell r="G333"/>
        </row>
        <row r="334">
          <cell r="C334" t="str">
            <v>PLC201 COUPLING 1/2</v>
          </cell>
          <cell r="D334" t="str">
            <v>1400PCS/CTN</v>
          </cell>
          <cell r="E334">
            <v>5.5</v>
          </cell>
          <cell r="F334"/>
          <cell r="G334" t="str">
            <v>Less 20%</v>
          </cell>
        </row>
        <row r="335">
          <cell r="C335" t="str">
            <v>PLC202 COUPLING 3/4</v>
          </cell>
          <cell r="D335" t="str">
            <v>900PCS/CTN</v>
          </cell>
          <cell r="E335">
            <v>6.75</v>
          </cell>
          <cell r="F335"/>
          <cell r="G335"/>
        </row>
        <row r="336">
          <cell r="C336" t="str">
            <v>PLC203 COUPLING 1"</v>
          </cell>
          <cell r="D336" t="str">
            <v>500PCS/CTN</v>
          </cell>
          <cell r="E336">
            <v>10.75</v>
          </cell>
          <cell r="F336"/>
          <cell r="G336"/>
        </row>
        <row r="337">
          <cell r="C337" t="str">
            <v>PLC204 COUPLING 1"1/4</v>
          </cell>
          <cell r="D337" t="str">
            <v>300PCS/CTN</v>
          </cell>
          <cell r="E337">
            <v>20.25</v>
          </cell>
          <cell r="F337"/>
          <cell r="G337"/>
        </row>
        <row r="338">
          <cell r="C338" t="str">
            <v>PLC205 COUPLING 1"1/2</v>
          </cell>
          <cell r="D338" t="str">
            <v>180PCS/CTN</v>
          </cell>
          <cell r="E338">
            <v>34.35</v>
          </cell>
          <cell r="F338"/>
          <cell r="G338"/>
        </row>
        <row r="339">
          <cell r="C339" t="str">
            <v>PLC206 COUPLING 2"</v>
          </cell>
          <cell r="D339" t="str">
            <v>100PCS/CTN</v>
          </cell>
          <cell r="E339">
            <v>56</v>
          </cell>
          <cell r="F339"/>
          <cell r="G339"/>
        </row>
        <row r="340">
          <cell r="C340"/>
          <cell r="D340"/>
          <cell r="E340"/>
          <cell r="F340"/>
          <cell r="G340"/>
        </row>
        <row r="341">
          <cell r="C341" t="str">
            <v>PLC301 COUPLING REDUCER 3/4 X 1/2</v>
          </cell>
          <cell r="D341" t="str">
            <v>1000PCS/CTN</v>
          </cell>
          <cell r="E341">
            <v>6.5</v>
          </cell>
          <cell r="F341"/>
          <cell r="G341" t="str">
            <v>Less 20%</v>
          </cell>
        </row>
        <row r="342">
          <cell r="C342" t="str">
            <v>PLC302 COUPLING REDUCER 1 X 1/2</v>
          </cell>
          <cell r="D342" t="str">
            <v>700PCS/CTN</v>
          </cell>
          <cell r="E342">
            <v>8.5</v>
          </cell>
          <cell r="F342"/>
          <cell r="G342"/>
        </row>
        <row r="343">
          <cell r="C343" t="str">
            <v>PLC303 COUPLING REDUCER 1 X 3/4</v>
          </cell>
          <cell r="D343" t="str">
            <v>600PCS/CTN</v>
          </cell>
          <cell r="E343">
            <v>9.75</v>
          </cell>
          <cell r="F343"/>
          <cell r="G343"/>
        </row>
        <row r="344">
          <cell r="C344"/>
          <cell r="D344"/>
          <cell r="E344"/>
          <cell r="F344"/>
          <cell r="G344"/>
        </row>
        <row r="345">
          <cell r="C345" t="str">
            <v>PLD001 END CAP 1/2</v>
          </cell>
          <cell r="D345" t="str">
            <v>2500PCS/CTN</v>
          </cell>
          <cell r="E345">
            <v>4.25</v>
          </cell>
          <cell r="F345"/>
          <cell r="G345" t="str">
            <v>Less 20%</v>
          </cell>
        </row>
        <row r="346">
          <cell r="C346" t="str">
            <v>PLD002 END CAP 3/4</v>
          </cell>
          <cell r="D346" t="str">
            <v>1400PCS/CTN</v>
          </cell>
          <cell r="E346">
            <v>5.5</v>
          </cell>
          <cell r="F346"/>
          <cell r="G346"/>
        </row>
        <row r="347">
          <cell r="C347" t="str">
            <v>PLD003 END CAP 1"</v>
          </cell>
          <cell r="D347" t="str">
            <v>1000PCS/CTN</v>
          </cell>
          <cell r="E347">
            <v>9.75</v>
          </cell>
          <cell r="F347"/>
          <cell r="G347"/>
        </row>
        <row r="348">
          <cell r="C348"/>
          <cell r="D348"/>
          <cell r="E348"/>
          <cell r="F348"/>
          <cell r="G348"/>
        </row>
        <row r="349">
          <cell r="C349" t="str">
            <v>PLD101 PIPE PLUG 1/2</v>
          </cell>
          <cell r="D349" t="str">
            <v>3600PCS/CTN</v>
          </cell>
          <cell r="E349">
            <v>3</v>
          </cell>
          <cell r="F349"/>
          <cell r="G349" t="str">
            <v>Less 20%</v>
          </cell>
        </row>
        <row r="350">
          <cell r="C350" t="str">
            <v>PLD102 PIPE PLUG 3/4</v>
          </cell>
          <cell r="D350" t="str">
            <v>2000PCS/CTN</v>
          </cell>
          <cell r="E350">
            <v>4</v>
          </cell>
          <cell r="F350"/>
          <cell r="G350"/>
        </row>
        <row r="351">
          <cell r="C351"/>
          <cell r="D351"/>
          <cell r="E351"/>
          <cell r="F351"/>
          <cell r="G351"/>
        </row>
        <row r="352">
          <cell r="C352"/>
          <cell r="D352" t="str">
            <v>DESCRIPTION</v>
          </cell>
          <cell r="E352" t="str">
            <v>PRICE</v>
          </cell>
          <cell r="F352" t="str">
            <v>VOLUME LESS</v>
          </cell>
          <cell r="G352" t="str">
            <v>REGULAR
LESS</v>
          </cell>
        </row>
        <row r="353">
          <cell r="C353" t="str">
            <v>PLD103 PIPE PLUG 1"</v>
          </cell>
          <cell r="D353" t="str">
            <v>1500PCS/CTN</v>
          </cell>
          <cell r="E353">
            <v>6.5</v>
          </cell>
          <cell r="F353"/>
          <cell r="G353"/>
        </row>
        <row r="354">
          <cell r="C354"/>
          <cell r="D354"/>
          <cell r="E354"/>
          <cell r="F354"/>
          <cell r="G354" t="str">
            <v>Less 20%</v>
          </cell>
        </row>
        <row r="355">
          <cell r="C355" t="str">
            <v>PLL001 FEMALE THREAD ELBOW 1/2 X 1/2</v>
          </cell>
          <cell r="D355" t="str">
            <v>250PCS/CTN</v>
          </cell>
          <cell r="E355">
            <v>54.75</v>
          </cell>
          <cell r="F355"/>
          <cell r="G355"/>
        </row>
        <row r="356">
          <cell r="C356" t="str">
            <v>PLL002 FEMALE THREAD ELBOW 1/2 X 3/4</v>
          </cell>
          <cell r="D356" t="str">
            <v>200PCS/CTN</v>
          </cell>
          <cell r="E356">
            <v>69.5</v>
          </cell>
          <cell r="F356"/>
          <cell r="G356"/>
        </row>
        <row r="357">
          <cell r="C357" t="str">
            <v>PLL003 FEMALE THREAD ELBOW 3/4 X 1/2</v>
          </cell>
          <cell r="D357" t="str">
            <v>200PCS/CTN</v>
          </cell>
          <cell r="E357">
            <v>71.5</v>
          </cell>
          <cell r="F357"/>
          <cell r="G357"/>
        </row>
        <row r="358">
          <cell r="C358" t="str">
            <v>PLL004 FEMALE THREAD ELBOW 3/4 X 3/4</v>
          </cell>
          <cell r="D358" t="str">
            <v>160PCS/CTN</v>
          </cell>
          <cell r="E358">
            <v>84</v>
          </cell>
          <cell r="F358"/>
          <cell r="G358"/>
        </row>
        <row r="359">
          <cell r="C359" t="str">
            <v>PLL005 FEMALE THREAD ELBOW 1" X 1/2</v>
          </cell>
          <cell r="D359" t="str">
            <v>130PCS/CTN</v>
          </cell>
          <cell r="E359">
            <v>89.5</v>
          </cell>
          <cell r="F359"/>
          <cell r="G359"/>
        </row>
        <row r="360">
          <cell r="C360" t="str">
            <v>PLL006 FEMALE THREAD ELBOW 1" X 3/4</v>
          </cell>
          <cell r="D360" t="str">
            <v>120PCS/CTN</v>
          </cell>
          <cell r="E360">
            <v>143</v>
          </cell>
          <cell r="F360"/>
          <cell r="G360"/>
        </row>
        <row r="361">
          <cell r="C361" t="str">
            <v>PLL007 FEMALE THREAD ELBOW 1"</v>
          </cell>
          <cell r="D361" t="str">
            <v>80PCS/CTN</v>
          </cell>
          <cell r="E361">
            <v>196</v>
          </cell>
          <cell r="F361"/>
          <cell r="G361"/>
        </row>
        <row r="362">
          <cell r="C362"/>
          <cell r="D362"/>
          <cell r="E362"/>
          <cell r="F362"/>
          <cell r="G362"/>
        </row>
        <row r="363">
          <cell r="C363" t="str">
            <v>PLL101 MALE THEAD ELBOW 1/2 X 1/2</v>
          </cell>
          <cell r="D363" t="str">
            <v>240PCS/CTN</v>
          </cell>
          <cell r="E363">
            <v>70.5</v>
          </cell>
          <cell r="F363"/>
          <cell r="G363"/>
        </row>
        <row r="364">
          <cell r="C364" t="str">
            <v>PLL102 MALE THREAD ELBOW 1/2 X 3/4</v>
          </cell>
          <cell r="D364" t="str">
            <v>200PCS/CTN</v>
          </cell>
          <cell r="E364">
            <v>95.25</v>
          </cell>
          <cell r="F364"/>
          <cell r="G364"/>
        </row>
        <row r="365">
          <cell r="C365" t="str">
            <v>PLL103 MALE THREAD ELBOW 3/4 X 1/2</v>
          </cell>
          <cell r="D365" t="str">
            <v>180PCS/CTN</v>
          </cell>
          <cell r="E365">
            <v>81.75</v>
          </cell>
          <cell r="F365"/>
          <cell r="G365"/>
        </row>
        <row r="366">
          <cell r="C366" t="str">
            <v>PLL104 MALE THREAD ELBOW 3/4 X 3/4</v>
          </cell>
          <cell r="D366" t="str">
            <v>140PCS/CTN</v>
          </cell>
          <cell r="E366">
            <v>104</v>
          </cell>
          <cell r="F366"/>
          <cell r="G366"/>
        </row>
        <row r="367">
          <cell r="C367" t="str">
            <v>PLL105 MALE THREAD ELBOW 1" X 1/2</v>
          </cell>
          <cell r="D367" t="str">
            <v>120PCS/CTN</v>
          </cell>
          <cell r="E367">
            <v>95</v>
          </cell>
          <cell r="F367"/>
          <cell r="G367"/>
        </row>
        <row r="368">
          <cell r="C368" t="str">
            <v>PLL106 MALE THREAD ELBOW 1" X 3/4</v>
          </cell>
          <cell r="D368" t="str">
            <v>100PCS/CTN</v>
          </cell>
          <cell r="E368">
            <v>162</v>
          </cell>
          <cell r="F368"/>
          <cell r="G368"/>
        </row>
        <row r="369">
          <cell r="C369" t="str">
            <v>PLL107 MALE THREAD ELBOW 1"</v>
          </cell>
          <cell r="D369" t="str">
            <v>80PCS/CTN
90PCS/CTN</v>
          </cell>
          <cell r="E369">
            <v>246</v>
          </cell>
          <cell r="F369"/>
          <cell r="G369"/>
        </row>
        <row r="370">
          <cell r="C370"/>
          <cell r="D370"/>
          <cell r="E370"/>
          <cell r="F370"/>
          <cell r="G370"/>
        </row>
        <row r="371">
          <cell r="C371" t="str">
            <v>PLL401 POLOLOCK PPR ELBOW 90° 1/2</v>
          </cell>
          <cell r="D371" t="str">
            <v>1100PCS/CTN</v>
          </cell>
          <cell r="E371">
            <v>7.25</v>
          </cell>
          <cell r="F371"/>
          <cell r="G371"/>
        </row>
        <row r="372">
          <cell r="C372" t="str">
            <v>PLL402 POLOLOCK PPR ELBOW 90° 3/4</v>
          </cell>
          <cell r="D372" t="str">
            <v>600PCS/CTN</v>
          </cell>
          <cell r="E372">
            <v>11.25</v>
          </cell>
          <cell r="F372"/>
          <cell r="G372"/>
        </row>
        <row r="373">
          <cell r="C373" t="str">
            <v>PLL403 PPR ELBOW 90° 1"</v>
          </cell>
          <cell r="D373" t="str">
            <v>320PCS/CTN</v>
          </cell>
          <cell r="E373">
            <v>20.75</v>
          </cell>
          <cell r="F373"/>
          <cell r="G373"/>
        </row>
        <row r="374">
          <cell r="C374" t="str">
            <v>PLL404 POLOLOCK PPR ELBOW 90° 1"1/4</v>
          </cell>
          <cell r="D374" t="str">
            <v>180PCS/CTN</v>
          </cell>
          <cell r="E374">
            <v>33</v>
          </cell>
          <cell r="F374"/>
          <cell r="G374"/>
        </row>
        <row r="375">
          <cell r="C375" t="str">
            <v>PLL405 POLOLOCK PPR ELBOW 90° 1"1/2</v>
          </cell>
          <cell r="D375" t="str">
            <v>100PCS/CTN</v>
          </cell>
          <cell r="E375">
            <v>61.5</v>
          </cell>
          <cell r="F375"/>
          <cell r="G375"/>
        </row>
        <row r="376">
          <cell r="C376" t="str">
            <v>PLL406 POLOLOCK PPR ELBOW 90° 2"</v>
          </cell>
          <cell r="D376" t="str">
            <v>60PCS/CTN</v>
          </cell>
          <cell r="E376">
            <v>116</v>
          </cell>
          <cell r="F376"/>
          <cell r="G376"/>
        </row>
        <row r="377">
          <cell r="C377"/>
          <cell r="D377"/>
          <cell r="E377"/>
          <cell r="F377"/>
          <cell r="G377"/>
        </row>
        <row r="378">
          <cell r="C378" t="str">
            <v>PLL601 ELBOW REDUCER 3/4X1/2</v>
          </cell>
          <cell r="D378" t="str">
            <v>650PCS/CTN</v>
          </cell>
          <cell r="E378">
            <v>12.25</v>
          </cell>
          <cell r="F378"/>
          <cell r="G378"/>
        </row>
        <row r="379">
          <cell r="C379" t="str">
            <v>PLL602 ELBOW REDUCER 1X1/2</v>
          </cell>
          <cell r="D379" t="str">
            <v>450PCS/CTN</v>
          </cell>
          <cell r="E379">
            <v>15.75</v>
          </cell>
          <cell r="F379"/>
          <cell r="G379"/>
        </row>
        <row r="380">
          <cell r="C380" t="str">
            <v>PLL603 ELBOW REDUCER 1X3/4</v>
          </cell>
          <cell r="D380" t="str">
            <v>375PCS/CTN</v>
          </cell>
          <cell r="E380">
            <v>20.75</v>
          </cell>
          <cell r="F380"/>
          <cell r="G380"/>
        </row>
        <row r="381">
          <cell r="C381"/>
          <cell r="D381"/>
          <cell r="E381"/>
          <cell r="F381"/>
          <cell r="G381"/>
        </row>
        <row r="382">
          <cell r="C382" t="str">
            <v>PLP101 PIPE CLIP 1/2</v>
          </cell>
          <cell r="D382" t="str">
            <v>2200PCS/CTN</v>
          </cell>
          <cell r="E382">
            <v>3.75</v>
          </cell>
          <cell r="F382"/>
          <cell r="G382"/>
        </row>
        <row r="383">
          <cell r="C383" t="str">
            <v>PLP102 PIPE CLIP 3/4</v>
          </cell>
          <cell r="D383" t="str">
            <v>1500PCS/CTN</v>
          </cell>
          <cell r="E383">
            <v>4.5</v>
          </cell>
          <cell r="F383"/>
          <cell r="G383"/>
        </row>
        <row r="384">
          <cell r="C384" t="str">
            <v>PLP103 PIPE CLIP 1"</v>
          </cell>
          <cell r="D384" t="str">
            <v>1000PCS/CTN</v>
          </cell>
          <cell r="E384">
            <v>6</v>
          </cell>
          <cell r="F384"/>
          <cell r="G384"/>
        </row>
        <row r="385">
          <cell r="C385"/>
          <cell r="D385"/>
          <cell r="E385"/>
          <cell r="F385"/>
          <cell r="G385"/>
        </row>
        <row r="386">
          <cell r="C386" t="str">
            <v>PLS001 STOP VALVE 1/2</v>
          </cell>
          <cell r="D386" t="str">
            <v>100PCS/CTN</v>
          </cell>
          <cell r="E386">
            <v>229</v>
          </cell>
          <cell r="F386"/>
          <cell r="G386"/>
        </row>
        <row r="387">
          <cell r="C387" t="str">
            <v>PLS002 STOP VALVE 3/4</v>
          </cell>
          <cell r="D387" t="str">
            <v>70PCS/CTN</v>
          </cell>
          <cell r="E387">
            <v>308</v>
          </cell>
          <cell r="F387"/>
          <cell r="G387"/>
        </row>
        <row r="388">
          <cell r="C388" t="str">
            <v>PLS003 STOP VALVE 1"</v>
          </cell>
          <cell r="D388" t="str">
            <v>55PCS/CTN</v>
          </cell>
          <cell r="E388">
            <v>532</v>
          </cell>
          <cell r="F388"/>
          <cell r="G388"/>
        </row>
        <row r="389">
          <cell r="C389" t="str">
            <v>PLS004 STOP VALVE 1" 1/4</v>
          </cell>
          <cell r="D389" t="str">
            <v>35PCS/CTN</v>
          </cell>
          <cell r="E389">
            <v>599</v>
          </cell>
          <cell r="F389"/>
          <cell r="G389"/>
        </row>
        <row r="390">
          <cell r="C390" t="str">
            <v>PLS005 STOP VALVE 1"1/2</v>
          </cell>
          <cell r="D390" t="str">
            <v>20PCS/CTN</v>
          </cell>
          <cell r="E390">
            <v>884</v>
          </cell>
          <cell r="F390"/>
          <cell r="G390"/>
        </row>
        <row r="391">
          <cell r="C391" t="str">
            <v>PLS006 STOP VALVE 2"</v>
          </cell>
          <cell r="D391" t="str">
            <v>14PCS/CTN</v>
          </cell>
          <cell r="E391">
            <v>1344</v>
          </cell>
          <cell r="F391"/>
          <cell r="G391"/>
        </row>
        <row r="392">
          <cell r="C392"/>
          <cell r="D392"/>
          <cell r="E392"/>
          <cell r="F392"/>
          <cell r="G392"/>
        </row>
        <row r="393">
          <cell r="C393"/>
          <cell r="D393"/>
          <cell r="E393"/>
          <cell r="F393"/>
          <cell r="G393"/>
        </row>
        <row r="394">
          <cell r="C394"/>
          <cell r="D394"/>
          <cell r="E394"/>
          <cell r="F394"/>
          <cell r="G394"/>
        </row>
        <row r="395">
          <cell r="C395"/>
          <cell r="D395" t="str">
            <v>DESCRIPTION</v>
          </cell>
          <cell r="E395" t="str">
            <v>PRICE</v>
          </cell>
          <cell r="F395" t="str">
            <v>VOLUME LESS</v>
          </cell>
          <cell r="G395" t="str">
            <v>REGULAR
LESS</v>
          </cell>
        </row>
        <row r="396">
          <cell r="C396"/>
          <cell r="D396"/>
          <cell r="E396"/>
          <cell r="F396"/>
          <cell r="G396" t="str">
            <v>Less 20%</v>
          </cell>
        </row>
        <row r="397">
          <cell r="C397" t="str">
            <v>PLT001 FEMALE THREAD TEE 1/2 X 1/2</v>
          </cell>
          <cell r="D397" t="str">
            <v>200PCS/CTN</v>
          </cell>
          <cell r="E397">
            <v>59.5</v>
          </cell>
          <cell r="F397"/>
          <cell r="G397"/>
        </row>
        <row r="398">
          <cell r="C398" t="str">
            <v>PLT002 FEMALE THREAD TEE 1/2 X 3/4</v>
          </cell>
          <cell r="D398" t="str">
            <v>160PCS/CTN</v>
          </cell>
          <cell r="E398">
            <v>82.25</v>
          </cell>
          <cell r="F398"/>
          <cell r="G398"/>
        </row>
        <row r="399">
          <cell r="C399" t="str">
            <v>PLT003 FEMALE THREAD TEE 3/4 X 1/2</v>
          </cell>
          <cell r="D399" t="str">
            <v>180PCS/CTN</v>
          </cell>
          <cell r="E399">
            <v>82.25</v>
          </cell>
          <cell r="F399"/>
          <cell r="G399"/>
        </row>
        <row r="400">
          <cell r="C400" t="str">
            <v>PLT004 FEMALE THREAD TEE 3/4 X 3/4</v>
          </cell>
          <cell r="D400" t="str">
            <v>120PCS/CTN</v>
          </cell>
          <cell r="E400">
            <v>84</v>
          </cell>
          <cell r="F400"/>
          <cell r="G400"/>
        </row>
        <row r="401">
          <cell r="C401" t="str">
            <v>PLT005 FEMALE THREAD TEE 1" X 1/2</v>
          </cell>
          <cell r="D401" t="str">
            <v>100PCS/CTN</v>
          </cell>
          <cell r="E401">
            <v>89.5</v>
          </cell>
          <cell r="F401"/>
          <cell r="G401"/>
        </row>
        <row r="402">
          <cell r="C402" t="str">
            <v>PLT006 FEMALE THREAD TEE 1" X 3/4</v>
          </cell>
          <cell r="D402" t="str">
            <v>100PCS/CTN</v>
          </cell>
          <cell r="E402">
            <v>109</v>
          </cell>
          <cell r="F402"/>
          <cell r="G402"/>
        </row>
        <row r="403">
          <cell r="C403" t="str">
            <v>PLT007 FEMALE THREAD TEE 1" X 1"</v>
          </cell>
          <cell r="D403" t="str">
            <v>70PCS/CTN</v>
          </cell>
          <cell r="E403">
            <v>207</v>
          </cell>
          <cell r="F403"/>
          <cell r="G403"/>
        </row>
        <row r="404">
          <cell r="C404"/>
          <cell r="D404"/>
          <cell r="E404"/>
          <cell r="F404"/>
          <cell r="G404"/>
        </row>
        <row r="405">
          <cell r="C405" t="str">
            <v>PLT101 MALE THREAD TEE 1/2 X 1/2</v>
          </cell>
          <cell r="D405" t="str">
            <v>180PCS/CTN</v>
          </cell>
          <cell r="E405">
            <v>76.25</v>
          </cell>
          <cell r="F405"/>
          <cell r="G405"/>
        </row>
        <row r="406">
          <cell r="C406" t="str">
            <v>PLT102 MALE THREAD TEE 1/2 X 3/4</v>
          </cell>
          <cell r="D406" t="str">
            <v>120PCS/CTN</v>
          </cell>
          <cell r="E406">
            <v>98.5</v>
          </cell>
          <cell r="F406"/>
          <cell r="G406"/>
        </row>
        <row r="407">
          <cell r="C407" t="str">
            <v>PLT103 MALE THREAD TEE 3/4 X 1/2</v>
          </cell>
          <cell r="D407" t="str">
            <v>160PCS/CTN</v>
          </cell>
          <cell r="E407">
            <v>95.25</v>
          </cell>
          <cell r="F407"/>
          <cell r="G407"/>
        </row>
        <row r="408">
          <cell r="C408" t="str">
            <v>PLT104 MALE THREAD TEE 3/4 X 3/4</v>
          </cell>
          <cell r="D408" t="str">
            <v>120PCS/CTN</v>
          </cell>
          <cell r="E408">
            <v>105</v>
          </cell>
          <cell r="F408"/>
          <cell r="G408"/>
        </row>
        <row r="409">
          <cell r="C409" t="str">
            <v>PLT105 MALE THREAD TEE 1" X 1/2</v>
          </cell>
          <cell r="D409" t="str">
            <v>90PCS/CTN</v>
          </cell>
          <cell r="E409">
            <v>100</v>
          </cell>
          <cell r="F409"/>
          <cell r="G409"/>
        </row>
        <row r="410">
          <cell r="C410" t="str">
            <v>PLT106 MALE THREAD TEE 1 X 3/4</v>
          </cell>
          <cell r="D410" t="str">
            <v>70PCS/CTN</v>
          </cell>
          <cell r="E410">
            <v>168</v>
          </cell>
          <cell r="F410"/>
          <cell r="G410"/>
        </row>
        <row r="411">
          <cell r="C411" t="str">
            <v>PLT107 MALE THREAD TEE 1"</v>
          </cell>
          <cell r="D411" t="str">
            <v>60PCS/CTN</v>
          </cell>
          <cell r="E411">
            <v>265</v>
          </cell>
          <cell r="F411"/>
          <cell r="G411"/>
        </row>
        <row r="412">
          <cell r="C412"/>
          <cell r="D412"/>
          <cell r="E412"/>
          <cell r="F412"/>
          <cell r="G412"/>
        </row>
        <row r="413">
          <cell r="C413" t="str">
            <v>PLT201 EQUAL TEE 1/2</v>
          </cell>
          <cell r="D413" t="str">
            <v>700PCS/CTN</v>
          </cell>
          <cell r="E413">
            <v>9</v>
          </cell>
          <cell r="F413"/>
          <cell r="G413"/>
        </row>
        <row r="414">
          <cell r="C414" t="str">
            <v>PLT202 EQUAL TEE 3/4</v>
          </cell>
          <cell r="D414" t="str">
            <v>450PCS/CTN</v>
          </cell>
          <cell r="E414">
            <v>12.25</v>
          </cell>
          <cell r="F414"/>
          <cell r="G414"/>
        </row>
        <row r="415">
          <cell r="C415" t="str">
            <v>PLT203 EQUAL TEE 1"</v>
          </cell>
          <cell r="D415" t="str">
            <v>240PCS/CTN</v>
          </cell>
          <cell r="E415">
            <v>24.25</v>
          </cell>
          <cell r="F415"/>
          <cell r="G415"/>
        </row>
        <row r="416">
          <cell r="C416" t="str">
            <v>PLT204 EQUAL TEE 1" 1/4</v>
          </cell>
          <cell r="D416" t="str">
            <v>130PCS/CTN</v>
          </cell>
          <cell r="E416">
            <v>43.25</v>
          </cell>
          <cell r="F416"/>
          <cell r="G416"/>
        </row>
        <row r="417">
          <cell r="C417" t="str">
            <v>PLT205 EQUAL TEE 1"1/2</v>
          </cell>
          <cell r="D417" t="str">
            <v>80PCS/CTN</v>
          </cell>
          <cell r="E417">
            <v>73.5</v>
          </cell>
          <cell r="F417"/>
          <cell r="G417"/>
        </row>
        <row r="418">
          <cell r="C418" t="str">
            <v>PLT206 EQUAL TEE 2"</v>
          </cell>
          <cell r="D418" t="str">
            <v>50PCS/CTN</v>
          </cell>
          <cell r="E418">
            <v>123</v>
          </cell>
          <cell r="F418"/>
          <cell r="G418"/>
        </row>
        <row r="419">
          <cell r="C419"/>
          <cell r="D419"/>
          <cell r="E419"/>
          <cell r="F419"/>
          <cell r="G419"/>
        </row>
        <row r="420">
          <cell r="C420" t="str">
            <v>PLT301 TEE REDUCER 3/4 X 1/2</v>
          </cell>
          <cell r="D420" t="str">
            <v>500PCS/CTN</v>
          </cell>
          <cell r="E420">
            <v>10.75</v>
          </cell>
          <cell r="F420"/>
          <cell r="G420"/>
        </row>
        <row r="421">
          <cell r="C421" t="str">
            <v>PLT302 TEE REDUCER 1 X 1/2</v>
          </cell>
          <cell r="D421" t="str">
            <v>320PCS/CTN</v>
          </cell>
          <cell r="E421">
            <v>17.5</v>
          </cell>
          <cell r="F421"/>
          <cell r="G421"/>
        </row>
        <row r="422">
          <cell r="C422" t="str">
            <v>PLT303 TEE REDUCER 1"X 3/4</v>
          </cell>
          <cell r="D422" t="str">
            <v>280PCS/CTN</v>
          </cell>
          <cell r="E422">
            <v>19.5</v>
          </cell>
          <cell r="F422"/>
          <cell r="G422"/>
        </row>
        <row r="423">
          <cell r="C423"/>
          <cell r="D423"/>
          <cell r="E423"/>
          <cell r="F423"/>
          <cell r="G423"/>
        </row>
        <row r="424">
          <cell r="C424" t="str">
            <v>PLU001 FEMALE THREAD UNION 1/2 x 1/2</v>
          </cell>
          <cell r="D424" t="str">
            <v>425PCS/CTN
400PCS/CTN</v>
          </cell>
          <cell r="E424">
            <v>222</v>
          </cell>
          <cell r="F424"/>
          <cell r="G424"/>
        </row>
        <row r="425">
          <cell r="C425" t="str">
            <v>PLU002 FEMALE THREAD UNION 3/4 x 3/4</v>
          </cell>
          <cell r="D425" t="str">
            <v>240PCS/CTN</v>
          </cell>
          <cell r="E425">
            <v>311</v>
          </cell>
          <cell r="F425"/>
          <cell r="G425"/>
        </row>
        <row r="426">
          <cell r="C426" t="str">
            <v>PLU003 FEMALE THREAD UNION 1" X 1"</v>
          </cell>
          <cell r="D426" t="str">
            <v>160PCS/CTN</v>
          </cell>
          <cell r="E426">
            <v>436</v>
          </cell>
          <cell r="F426"/>
          <cell r="G426"/>
        </row>
        <row r="427">
          <cell r="C427" t="str">
            <v>PLU007 FEMALE THREAD UNION 1/2 X 3/4</v>
          </cell>
          <cell r="D427" t="str">
            <v>360PCS/CTN</v>
          </cell>
          <cell r="E427">
            <v>265</v>
          </cell>
          <cell r="F427"/>
          <cell r="G427"/>
        </row>
        <row r="428">
          <cell r="C428"/>
          <cell r="D428"/>
          <cell r="E428"/>
          <cell r="F428"/>
          <cell r="G428"/>
        </row>
        <row r="429">
          <cell r="C429" t="str">
            <v>PLU101 MALE THREAD UNION 1/2 x 1/2</v>
          </cell>
          <cell r="D429" t="str">
            <v>440PCS/CTN
400PCS/CTN</v>
          </cell>
          <cell r="E429">
            <v>222</v>
          </cell>
          <cell r="F429"/>
          <cell r="G429"/>
        </row>
        <row r="430">
          <cell r="C430" t="str">
            <v>PLU102 MALE THREAD UNION 3/4 x 3/4</v>
          </cell>
          <cell r="D430" t="str">
            <v>220PCS/CTN</v>
          </cell>
          <cell r="E430">
            <v>311</v>
          </cell>
          <cell r="F430"/>
          <cell r="G430"/>
        </row>
        <row r="431">
          <cell r="C431" t="str">
            <v>PLU103 MALE THREAD UNION 1" X 1"</v>
          </cell>
          <cell r="D431" t="str">
            <v>160PCS/CTN</v>
          </cell>
          <cell r="E431">
            <v>436</v>
          </cell>
          <cell r="F431"/>
          <cell r="G431"/>
        </row>
        <row r="432">
          <cell r="C432"/>
          <cell r="D432"/>
          <cell r="E432"/>
          <cell r="F432"/>
          <cell r="G432"/>
        </row>
        <row r="433">
          <cell r="C433"/>
          <cell r="D433"/>
          <cell r="E433"/>
          <cell r="F433"/>
          <cell r="G433"/>
        </row>
        <row r="434">
          <cell r="C434"/>
          <cell r="D434"/>
          <cell r="E434"/>
          <cell r="F434"/>
          <cell r="G434"/>
        </row>
        <row r="435">
          <cell r="C435"/>
          <cell r="D435"/>
          <cell r="E435"/>
          <cell r="F435"/>
          <cell r="G435"/>
        </row>
        <row r="436">
          <cell r="C436"/>
          <cell r="D436" t="str">
            <v>DESCRIPTION</v>
          </cell>
          <cell r="E436" t="str">
            <v>PRICE</v>
          </cell>
          <cell r="F436" t="str">
            <v>VOLUME LESS</v>
          </cell>
          <cell r="G436" t="str">
            <v>REGULAR
LESS</v>
          </cell>
        </row>
        <row r="437">
          <cell r="C437"/>
          <cell r="D437"/>
          <cell r="E437"/>
          <cell r="F437"/>
          <cell r="G437" t="str">
            <v>Less 20%</v>
          </cell>
        </row>
        <row r="438">
          <cell r="C438" t="str">
            <v>PLU301 PLASTIC UNION PATENTE 1/2</v>
          </cell>
          <cell r="D438" t="str">
            <v>600PCS/CTN</v>
          </cell>
          <cell r="E438">
            <v>18.75</v>
          </cell>
          <cell r="F438"/>
          <cell r="G438"/>
        </row>
        <row r="439">
          <cell r="C439" t="str">
            <v>PLU302 PLASTIC UNION PATENTE 3/4</v>
          </cell>
          <cell r="D439" t="str">
            <v>340PCS/CTN</v>
          </cell>
          <cell r="E439">
            <v>26.5</v>
          </cell>
          <cell r="F439"/>
          <cell r="G439"/>
        </row>
        <row r="440">
          <cell r="C440" t="str">
            <v>PLU303 PLASTIC UNION PATENTE 1"</v>
          </cell>
          <cell r="D440" t="str">
            <v>240PCS/CTN</v>
          </cell>
          <cell r="E440">
            <v>38.5</v>
          </cell>
          <cell r="F440"/>
          <cell r="G440"/>
        </row>
        <row r="441">
          <cell r="C441"/>
          <cell r="D441"/>
          <cell r="E441"/>
          <cell r="F441"/>
          <cell r="G441"/>
        </row>
        <row r="442">
          <cell r="C442" t="str">
            <v>PLV101 PLASTIC BALL VALVE 1/2</v>
          </cell>
          <cell r="D442" t="str">
            <v>350PCS/CTN</v>
          </cell>
          <cell r="E442">
            <v>38</v>
          </cell>
          <cell r="F442"/>
          <cell r="G442"/>
        </row>
        <row r="443">
          <cell r="C443" t="str">
            <v>PLV102 PLASTIC BALL VALVE 3/4</v>
          </cell>
          <cell r="D443" t="str">
            <v>200PCS/CTN</v>
          </cell>
          <cell r="E443">
            <v>58</v>
          </cell>
          <cell r="F443"/>
          <cell r="G443"/>
        </row>
        <row r="444">
          <cell r="C444" t="str">
            <v>PLV103 PLASTIC BALL VALVE 1"</v>
          </cell>
          <cell r="D444" t="str">
            <v>100PCS/CTN</v>
          </cell>
          <cell r="E444">
            <v>98</v>
          </cell>
          <cell r="F444"/>
          <cell r="G444"/>
        </row>
        <row r="445">
          <cell r="C445" t="str">
            <v>PLV104 PLASTIC BALL VALVE 1"1/4</v>
          </cell>
          <cell r="D445" t="str">
            <v>80PCS/CTN</v>
          </cell>
          <cell r="E445">
            <v>168</v>
          </cell>
          <cell r="F445"/>
          <cell r="G445"/>
        </row>
        <row r="446">
          <cell r="C446" t="str">
            <v>PLV105 PLASTIC BALL VALVE1"1/2</v>
          </cell>
          <cell r="D446" t="str">
            <v>50PCS/CTN</v>
          </cell>
          <cell r="E446">
            <v>228</v>
          </cell>
          <cell r="F446"/>
          <cell r="G446"/>
        </row>
        <row r="447">
          <cell r="C447" t="str">
            <v>PLV106 PLASTIC BALL VALVE 2"</v>
          </cell>
          <cell r="D447" t="str">
            <v>30PCS/CTN</v>
          </cell>
          <cell r="E447">
            <v>408</v>
          </cell>
          <cell r="F447"/>
          <cell r="G447"/>
        </row>
        <row r="448">
          <cell r="C448"/>
          <cell r="D448"/>
          <cell r="E448"/>
          <cell r="F448"/>
          <cell r="G448"/>
        </row>
        <row r="449">
          <cell r="C449" t="str">
            <v>PLV201 BRASS BALL VALVE 1/2</v>
          </cell>
          <cell r="D449" t="str">
            <v>100PCS/CTN</v>
          </cell>
          <cell r="E449">
            <v>96</v>
          </cell>
          <cell r="F449"/>
          <cell r="G449"/>
        </row>
        <row r="450">
          <cell r="C450" t="str">
            <v>PLV202 BRASS BALL VALVE 3/4</v>
          </cell>
          <cell r="D450" t="str">
            <v>90PCS/CTN</v>
          </cell>
          <cell r="E450">
            <v>136</v>
          </cell>
          <cell r="F450"/>
          <cell r="G450"/>
        </row>
        <row r="451">
          <cell r="C451" t="str">
            <v>PLV203 BRASS BALL VALVE1"</v>
          </cell>
          <cell r="D451" t="str">
            <v>60PCS/CTN</v>
          </cell>
          <cell r="E451">
            <v>226</v>
          </cell>
          <cell r="F451"/>
          <cell r="G451"/>
        </row>
        <row r="452">
          <cell r="C452"/>
          <cell r="D452"/>
          <cell r="E452"/>
          <cell r="F452"/>
          <cell r="G452"/>
        </row>
        <row r="453">
          <cell r="C453" t="str">
            <v>PL22000-1 PHILWATER PVC BALL VALVE 1/2</v>
          </cell>
          <cell r="D453" t="str">
            <v>192PCS/CTN</v>
          </cell>
          <cell r="E453">
            <v>28</v>
          </cell>
          <cell r="F453"/>
          <cell r="G453"/>
        </row>
        <row r="454">
          <cell r="C454" t="str">
            <v>PL22000-2 PHILWATER PVC BALL VALVE 3/4</v>
          </cell>
          <cell r="D454" t="str">
            <v>144PCS/CTN</v>
          </cell>
          <cell r="E454">
            <v>40</v>
          </cell>
          <cell r="F454"/>
          <cell r="G454"/>
        </row>
        <row r="455">
          <cell r="C455" t="str">
            <v>PL22000-3 PHILWATER PVC BALL VALVE 1"</v>
          </cell>
          <cell r="D455" t="str">
            <v>96PCS/CTN</v>
          </cell>
          <cell r="E455">
            <v>65</v>
          </cell>
          <cell r="F455"/>
          <cell r="G455"/>
        </row>
        <row r="456">
          <cell r="C456" t="str">
            <v>PL22000-4 PHILWATER PVC BALL VALVE 1"1/4</v>
          </cell>
          <cell r="D456" t="str">
            <v>48PCS/CTN</v>
          </cell>
          <cell r="E456">
            <v>92</v>
          </cell>
          <cell r="F456"/>
          <cell r="G456"/>
        </row>
        <row r="457">
          <cell r="C457" t="str">
            <v>PL22000-5 PHILWATER PVC BALL VALVE 1"1/2</v>
          </cell>
          <cell r="D457" t="str">
            <v>48PCS/CTN</v>
          </cell>
          <cell r="E457">
            <v>110</v>
          </cell>
          <cell r="F457"/>
          <cell r="G457"/>
        </row>
        <row r="458">
          <cell r="C458" t="str">
            <v>PL22000-6 PHILWATER PVC BALL VALVE 2"</v>
          </cell>
          <cell r="D458" t="str">
            <v>36PCS/CTN</v>
          </cell>
          <cell r="E458">
            <v>160</v>
          </cell>
          <cell r="F458"/>
          <cell r="G458"/>
        </row>
        <row r="459">
          <cell r="C459" t="str">
            <v>PL22001-1 PHILWATER PVC BALL VALVE THREADED 1/2</v>
          </cell>
          <cell r="D459" t="str">
            <v>192PCS/CTN</v>
          </cell>
          <cell r="E459">
            <v>28</v>
          </cell>
          <cell r="F459"/>
          <cell r="G459"/>
        </row>
        <row r="460">
          <cell r="C460" t="str">
            <v>PL22001-2 PHILWATER PVC BALL VALVE THREADED 3/4</v>
          </cell>
          <cell r="D460" t="str">
            <v>144PCS/CTN</v>
          </cell>
          <cell r="E460">
            <v>40</v>
          </cell>
          <cell r="F460"/>
          <cell r="G460"/>
        </row>
        <row r="461">
          <cell r="C461" t="str">
            <v>PL22001-3 (B4473) PHILWATER PVC BALL VALVE THREADED 1"</v>
          </cell>
          <cell r="D461" t="str">
            <v>96PCS/CTN</v>
          </cell>
          <cell r="E461">
            <v>65</v>
          </cell>
          <cell r="F461"/>
          <cell r="G461"/>
        </row>
        <row r="462">
          <cell r="C462"/>
          <cell r="D462"/>
          <cell r="E462"/>
          <cell r="F462"/>
          <cell r="G462"/>
        </row>
        <row r="463">
          <cell r="C463"/>
          <cell r="D463"/>
          <cell r="E463"/>
          <cell r="F463"/>
          <cell r="G463"/>
        </row>
        <row r="464">
          <cell r="C464"/>
          <cell r="D464"/>
          <cell r="E464"/>
          <cell r="F464"/>
          <cell r="G464"/>
        </row>
        <row r="465">
          <cell r="C465"/>
          <cell r="D465"/>
          <cell r="E465"/>
          <cell r="F465"/>
          <cell r="G465"/>
        </row>
        <row r="466">
          <cell r="C466"/>
          <cell r="D466" t="str">
            <v>DESCRIPTION</v>
          </cell>
          <cell r="E466" t="str">
            <v>PRICE</v>
          </cell>
          <cell r="F466" t="str">
            <v>VOLUME LESS</v>
          </cell>
          <cell r="G466" t="str">
            <v>REGULAR
LESS</v>
          </cell>
        </row>
        <row r="467">
          <cell r="C467"/>
          <cell r="D467"/>
          <cell r="E467"/>
          <cell r="F467"/>
          <cell r="G467"/>
        </row>
        <row r="468">
          <cell r="C468"/>
          <cell r="D468"/>
          <cell r="E468"/>
          <cell r="F468"/>
          <cell r="G468"/>
        </row>
        <row r="469">
          <cell r="C469" t="str">
            <v>PL101002 -POLOLOCK PE COUPLER 1/2</v>
          </cell>
          <cell r="D469" t="str">
            <v>300PCS/CTN</v>
          </cell>
          <cell r="E469">
            <v>72</v>
          </cell>
          <cell r="F469"/>
          <cell r="G469" t="str">
            <v>LESS 30%</v>
          </cell>
        </row>
        <row r="470">
          <cell r="C470" t="str">
            <v>PL101003- POLOLOCK PE COUPLER 3/4</v>
          </cell>
          <cell r="D470" t="str">
            <v>200PCS/CTN</v>
          </cell>
          <cell r="E470">
            <v>90</v>
          </cell>
          <cell r="F470"/>
          <cell r="G470"/>
        </row>
        <row r="471">
          <cell r="C471" t="str">
            <v>PL101004-POLOLOCK PE COUPLER 1</v>
          </cell>
          <cell r="D471" t="str">
            <v>120PCS/CTN</v>
          </cell>
          <cell r="E471">
            <v>102</v>
          </cell>
          <cell r="F471"/>
          <cell r="G471"/>
        </row>
        <row r="472">
          <cell r="C472"/>
          <cell r="D472"/>
          <cell r="E472"/>
          <cell r="F472"/>
          <cell r="G472"/>
        </row>
        <row r="473">
          <cell r="C473" t="str">
            <v>PL102003-POLOLOCK PE REDUCING COUPLER 3/4X1/2</v>
          </cell>
          <cell r="D473" t="str">
            <v>250PCS/CTN</v>
          </cell>
          <cell r="E473">
            <v>92</v>
          </cell>
          <cell r="F473"/>
          <cell r="G473" t="str">
            <v>LESS 30%</v>
          </cell>
        </row>
        <row r="474">
          <cell r="C474" t="str">
            <v>PL102004-POLOLOCK PE REDUCING COUPLER 1X1/2</v>
          </cell>
          <cell r="D474" t="str">
            <v>175PCS/CTN</v>
          </cell>
          <cell r="E474">
            <v>132</v>
          </cell>
          <cell r="F474"/>
          <cell r="G474"/>
        </row>
        <row r="475">
          <cell r="C475" t="str">
            <v>PL102005-POLOLOCK PE REDUCING COUPLER 1X3/4</v>
          </cell>
          <cell r="D475" t="str">
            <v>160PCS/CTN</v>
          </cell>
          <cell r="E475">
            <v>132</v>
          </cell>
          <cell r="F475"/>
          <cell r="G475"/>
        </row>
        <row r="476">
          <cell r="C476"/>
          <cell r="D476"/>
          <cell r="E476"/>
          <cell r="F476"/>
          <cell r="G476"/>
        </row>
        <row r="477">
          <cell r="C477" t="str">
            <v>PL103002-POLOLOCK PE ELBOW 1/2</v>
          </cell>
          <cell r="D477" t="str">
            <v>260PCS/CTN</v>
          </cell>
          <cell r="E477">
            <v>84</v>
          </cell>
          <cell r="F477"/>
          <cell r="G477" t="str">
            <v>LESS 30%</v>
          </cell>
        </row>
        <row r="478">
          <cell r="C478" t="str">
            <v>PL103003-POLOLOCK PE ELBOW 3/4</v>
          </cell>
          <cell r="D478" t="str">
            <v>160PCS/CTN</v>
          </cell>
          <cell r="E478">
            <v>96</v>
          </cell>
          <cell r="F478"/>
          <cell r="G478"/>
        </row>
        <row r="479">
          <cell r="C479" t="str">
            <v>PL103004-POLOLOCK PE ELBOW 1</v>
          </cell>
          <cell r="D479" t="str">
            <v>100PCS/CTN</v>
          </cell>
          <cell r="E479">
            <v>124</v>
          </cell>
          <cell r="F479"/>
          <cell r="G479"/>
        </row>
        <row r="480">
          <cell r="C480"/>
          <cell r="D480"/>
          <cell r="E480"/>
          <cell r="F480"/>
          <cell r="G480"/>
        </row>
        <row r="481">
          <cell r="C481" t="str">
            <v>PL104002-POLOLOCK PE MALE ELBOW 1/2X1/2</v>
          </cell>
          <cell r="D481" t="str">
            <v>380PCS/CTN</v>
          </cell>
          <cell r="E481"/>
          <cell r="F481"/>
          <cell r="G481" t="str">
            <v>LESS 30%</v>
          </cell>
        </row>
        <row r="482">
          <cell r="C482" t="str">
            <v>PL104004-POLOLOCK PE MALE ELBOW 3/4X1/2</v>
          </cell>
          <cell r="D482" t="str">
            <v>260PCS/CTN</v>
          </cell>
          <cell r="E482">
            <v>92</v>
          </cell>
          <cell r="F482"/>
          <cell r="G482"/>
        </row>
        <row r="483">
          <cell r="C483"/>
          <cell r="D483"/>
          <cell r="E483"/>
          <cell r="F483"/>
          <cell r="G483"/>
        </row>
        <row r="484">
          <cell r="C484"/>
          <cell r="D484" t="str">
            <v>DESCRIPTION</v>
          </cell>
          <cell r="E484" t="str">
            <v>PRICE</v>
          </cell>
          <cell r="F484"/>
          <cell r="G484"/>
        </row>
        <row r="485">
          <cell r="C485" t="str">
            <v>PL104005-POLOLOCK PE MALE ELBOW 3/4X3/4</v>
          </cell>
          <cell r="D485" t="str">
            <v>250PCS/CTN</v>
          </cell>
          <cell r="E485"/>
          <cell r="F485"/>
          <cell r="G485" t="str">
            <v>LESS 30%</v>
          </cell>
        </row>
        <row r="486">
          <cell r="C486"/>
          <cell r="D486"/>
          <cell r="E486"/>
          <cell r="F486"/>
          <cell r="G486"/>
        </row>
        <row r="487">
          <cell r="C487" t="str">
            <v>PL105002-POLOLOCK PE FEMALE ELBOW 1/2</v>
          </cell>
          <cell r="D487" t="str">
            <v>380PCS/CTN</v>
          </cell>
          <cell r="E487">
            <v>84</v>
          </cell>
          <cell r="F487"/>
          <cell r="G487" t="str">
            <v>LESS 30%</v>
          </cell>
        </row>
        <row r="488">
          <cell r="C488" t="str">
            <v>PL105005-POLOLOCK PE FEMALE ELBOW 3/4</v>
          </cell>
          <cell r="D488" t="str">
            <v>240PCS/CTN</v>
          </cell>
          <cell r="E488">
            <v>96</v>
          </cell>
          <cell r="F488"/>
          <cell r="G488"/>
        </row>
        <row r="489">
          <cell r="C489" t="str">
            <v>PL105008-POLOLOCK PE FEMALE ELBOW 1X1"</v>
          </cell>
          <cell r="D489" t="str">
            <v>125PCS/CTN</v>
          </cell>
          <cell r="E489">
            <v>124</v>
          </cell>
          <cell r="F489"/>
          <cell r="G489"/>
        </row>
        <row r="490">
          <cell r="C490"/>
          <cell r="D490"/>
          <cell r="E490"/>
          <cell r="F490"/>
          <cell r="G490"/>
        </row>
        <row r="491">
          <cell r="C491" t="str">
            <v>PL106002-POLOLOCK END CAP 1/2"</v>
          </cell>
          <cell r="D491" t="str">
            <v>500PCS/CTN</v>
          </cell>
          <cell r="E491"/>
          <cell r="F491"/>
          <cell r="G491" t="str">
            <v>LESS 30%</v>
          </cell>
        </row>
        <row r="492">
          <cell r="C492" t="str">
            <v>PL106003-POLOLOCK END CAP 3/4"</v>
          </cell>
          <cell r="D492" t="str">
            <v>300PCS/CTN</v>
          </cell>
          <cell r="E492"/>
          <cell r="F492"/>
          <cell r="G492"/>
        </row>
        <row r="493">
          <cell r="C493" t="str">
            <v>PL106004-POLOLOCK END CAP 1"</v>
          </cell>
          <cell r="D493" t="str">
            <v>200PCS/CTN</v>
          </cell>
          <cell r="E493"/>
          <cell r="F493"/>
          <cell r="G493"/>
        </row>
        <row r="494">
          <cell r="C494"/>
          <cell r="D494"/>
          <cell r="E494"/>
          <cell r="F494"/>
          <cell r="G494"/>
        </row>
        <row r="495">
          <cell r="C495" t="str">
            <v>PL107003-POLOLOCK PE MALE ADAPTOR 1/2X1/2</v>
          </cell>
          <cell r="D495" t="str">
            <v>500PCS/CTN</v>
          </cell>
          <cell r="E495"/>
          <cell r="F495"/>
          <cell r="G495" t="str">
            <v>LESS 30%</v>
          </cell>
        </row>
        <row r="496">
          <cell r="C496" t="str">
            <v>PL107005-POLOLOCK PE MALE ADAPTOR 3/4X1/2</v>
          </cell>
          <cell r="D496" t="str">
            <v>300PCS/CTN</v>
          </cell>
          <cell r="E496"/>
          <cell r="F496"/>
          <cell r="G496"/>
        </row>
        <row r="497">
          <cell r="C497" t="str">
            <v>PL107006-POLOLOCK PE MALE ADAPTOR 3/4X3/4</v>
          </cell>
          <cell r="D497" t="str">
            <v>300PCS/CTN</v>
          </cell>
          <cell r="E497"/>
          <cell r="F497"/>
          <cell r="G497"/>
        </row>
        <row r="498">
          <cell r="C498" t="str">
            <v>PL107009-POLOLOCK PE MALE ADAPTOR 1X1</v>
          </cell>
          <cell r="D498" t="str">
            <v>200PCS/CTN</v>
          </cell>
          <cell r="E498"/>
          <cell r="F498"/>
          <cell r="G498"/>
        </row>
        <row r="499">
          <cell r="C499"/>
          <cell r="D499"/>
          <cell r="E499"/>
          <cell r="F499"/>
          <cell r="G499"/>
        </row>
        <row r="500">
          <cell r="C500"/>
          <cell r="D500"/>
          <cell r="E500"/>
          <cell r="F500"/>
          <cell r="G500"/>
        </row>
        <row r="501">
          <cell r="C501"/>
          <cell r="D501" t="str">
            <v>DESCRIPTION</v>
          </cell>
          <cell r="E501" t="str">
            <v>PRICE</v>
          </cell>
          <cell r="F501" t="str">
            <v>VOLUME LESS</v>
          </cell>
          <cell r="G501" t="str">
            <v>REGULAR
LESS</v>
          </cell>
        </row>
        <row r="502">
          <cell r="C502"/>
          <cell r="D502"/>
          <cell r="E502"/>
          <cell r="F502"/>
          <cell r="G502"/>
        </row>
        <row r="503">
          <cell r="C503" t="str">
            <v>PL108003- POLOLOCK PE FEMALE ADAPTOR 1/2X1/2</v>
          </cell>
          <cell r="D503" t="str">
            <v>500PCS/CTN</v>
          </cell>
          <cell r="E503">
            <v>52</v>
          </cell>
          <cell r="F503"/>
          <cell r="G503" t="str">
            <v>LESS 30%</v>
          </cell>
        </row>
        <row r="504">
          <cell r="C504" t="str">
            <v>PL108006-POLOLOCK PE FEMALE ADAPTOR 3/4X3/4</v>
          </cell>
          <cell r="D504" t="str">
            <v>300PCS/CTN</v>
          </cell>
          <cell r="E504">
            <v>58</v>
          </cell>
          <cell r="F504"/>
          <cell r="G504"/>
        </row>
        <row r="505">
          <cell r="C505" t="str">
            <v>PL108009-POLOLOCK PE FEMALE ADAPTOR 1X1</v>
          </cell>
          <cell r="D505" t="str">
            <v>200PCS/CTN</v>
          </cell>
          <cell r="E505">
            <v>92</v>
          </cell>
          <cell r="F505"/>
          <cell r="G505"/>
        </row>
        <row r="506">
          <cell r="C506"/>
          <cell r="D506"/>
          <cell r="E506"/>
          <cell r="F506"/>
          <cell r="G506"/>
        </row>
        <row r="507">
          <cell r="C507" t="str">
            <v>PL109002- POLOLOCK PE TEE 1/2</v>
          </cell>
          <cell r="D507" t="str">
            <v>160PCS/CTN</v>
          </cell>
          <cell r="E507">
            <v>92</v>
          </cell>
          <cell r="F507"/>
          <cell r="G507" t="str">
            <v>LESS 30%</v>
          </cell>
        </row>
        <row r="508">
          <cell r="C508" t="str">
            <v>PL109003- POLOLOCK PE TEE 3/4</v>
          </cell>
          <cell r="D508" t="str">
            <v>100PCS/CTN</v>
          </cell>
          <cell r="E508">
            <v>132</v>
          </cell>
          <cell r="F508"/>
          <cell r="G508"/>
        </row>
        <row r="509">
          <cell r="C509" t="str">
            <v>PL109004-POLOLOCK PE TEE 1"</v>
          </cell>
          <cell r="D509" t="str">
            <v>65PCS/CTN</v>
          </cell>
          <cell r="E509">
            <v>160</v>
          </cell>
          <cell r="F509"/>
          <cell r="G509"/>
        </row>
        <row r="510">
          <cell r="C510"/>
          <cell r="D510"/>
          <cell r="E510"/>
          <cell r="F510"/>
          <cell r="G510"/>
        </row>
        <row r="511">
          <cell r="C511" t="str">
            <v>PL1010001 POLOLOCK PE REDUCING TEE 3/4X1/2</v>
          </cell>
          <cell r="D511" t="str">
            <v>120PCS/CTN</v>
          </cell>
          <cell r="E511">
            <v>142</v>
          </cell>
          <cell r="F511"/>
          <cell r="G511" t="str">
            <v>LESS 30%</v>
          </cell>
        </row>
        <row r="512">
          <cell r="C512" t="str">
            <v>PL1010002 POLOLOCK PE REDUCING TEE 1X3/4</v>
          </cell>
          <cell r="D512" t="str">
            <v>72PCS/CTN</v>
          </cell>
          <cell r="E512">
            <v>168</v>
          </cell>
          <cell r="F512"/>
          <cell r="G512"/>
        </row>
        <row r="513">
          <cell r="C513"/>
          <cell r="D513"/>
          <cell r="E513"/>
          <cell r="F513"/>
          <cell r="G513"/>
        </row>
        <row r="514">
          <cell r="C514" t="str">
            <v>PL101103- POLOLOCK PE FEMALE TEE 1/2X1/2</v>
          </cell>
          <cell r="D514" t="str">
            <v>200PCS/CTN</v>
          </cell>
          <cell r="E514">
            <v>94</v>
          </cell>
          <cell r="F514"/>
          <cell r="G514" t="str">
            <v>LESS 30%</v>
          </cell>
        </row>
        <row r="515">
          <cell r="C515" t="str">
            <v>PL101105- POLOLOCK PE FEMALE TEE 3/4X1/2</v>
          </cell>
          <cell r="D515" t="str">
            <v>120PCS/CTN</v>
          </cell>
          <cell r="E515">
            <v>125</v>
          </cell>
          <cell r="F515"/>
          <cell r="G515"/>
        </row>
        <row r="516">
          <cell r="C516" t="str">
            <v>PL1011006-POLOLOCK PE FEMALE TEE 3/4X3/4</v>
          </cell>
          <cell r="D516" t="str">
            <v>100PCS/CTN</v>
          </cell>
          <cell r="E516">
            <v>135</v>
          </cell>
          <cell r="F516" t="str">
            <v xml:space="preserve"> </v>
          </cell>
          <cell r="G516"/>
        </row>
        <row r="517">
          <cell r="C517"/>
          <cell r="D517"/>
          <cell r="E517"/>
          <cell r="F517"/>
          <cell r="G517"/>
        </row>
        <row r="518">
          <cell r="C518"/>
          <cell r="D518" t="str">
            <v>DESCRIPTION</v>
          </cell>
          <cell r="E518" t="str">
            <v>PRICE</v>
          </cell>
          <cell r="F518" t="str">
            <v>VOLUME LESS</v>
          </cell>
          <cell r="G518" t="str">
            <v>REGULAR
LESS</v>
          </cell>
        </row>
        <row r="519">
          <cell r="C519" t="str">
            <v>PL1011009-POLOLOCK PE FEMALE TEE 1X1</v>
          </cell>
          <cell r="D519" t="str">
            <v>72PCS/CTN</v>
          </cell>
          <cell r="E519"/>
          <cell r="F519"/>
          <cell r="G519"/>
        </row>
        <row r="520">
          <cell r="C520"/>
          <cell r="D520"/>
          <cell r="E520"/>
          <cell r="F520"/>
          <cell r="G520"/>
        </row>
        <row r="521">
          <cell r="C521"/>
          <cell r="D521"/>
          <cell r="E521"/>
          <cell r="F521"/>
          <cell r="G521" t="str">
            <v>LESS 30%</v>
          </cell>
        </row>
        <row r="522">
          <cell r="C522" t="str">
            <v>PL222301-01 1/2" (Φ20) PE COMPRESSION COUPLING ALL BLACK</v>
          </cell>
          <cell r="D522" t="str">
            <v>250PCS/CTN</v>
          </cell>
          <cell r="E522">
            <v>72</v>
          </cell>
          <cell r="F522"/>
          <cell r="G522"/>
        </row>
        <row r="523">
          <cell r="C523" t="str">
            <v>PL222301-02 3/4" (Φ25) PE COMPRESSION COUPLING ALL BLACK</v>
          </cell>
          <cell r="D523" t="str">
            <v>180PCS/CTN</v>
          </cell>
          <cell r="E523">
            <v>90</v>
          </cell>
          <cell r="F523"/>
          <cell r="G523"/>
        </row>
        <row r="524">
          <cell r="C524" t="str">
            <v>PL222301-03 1" (Φ32) PE COMPRESSION COUPLING ALL BLACK</v>
          </cell>
          <cell r="D524" t="str">
            <v>100PCS/CTN</v>
          </cell>
          <cell r="E524">
            <v>102</v>
          </cell>
          <cell r="F524"/>
          <cell r="G524"/>
        </row>
        <row r="525">
          <cell r="C525" t="str">
            <v>PL222301-04 1-1/4" (Φ40) PE COMPRESSION COUPLING ALL BLACK</v>
          </cell>
          <cell r="D525" t="str">
            <v>60PCS/CTN</v>
          </cell>
          <cell r="E525">
            <v>244</v>
          </cell>
          <cell r="F525"/>
          <cell r="G525"/>
        </row>
        <row r="526">
          <cell r="C526" t="str">
            <v>PL222301-05 1-1/2" (Φ50) PE COMPRESSION COUPLING ALL BLACK</v>
          </cell>
          <cell r="D526" t="str">
            <v>48PCS/CTN</v>
          </cell>
          <cell r="E526">
            <v>292</v>
          </cell>
          <cell r="F526"/>
          <cell r="G526"/>
        </row>
        <row r="527">
          <cell r="C527" t="str">
            <v>PL222301-06 2" (Φ63) PE COMPRESSION COUPLING ALL BLACK</v>
          </cell>
          <cell r="D527" t="str">
            <v>24PCS/CTN</v>
          </cell>
          <cell r="E527">
            <v>410</v>
          </cell>
          <cell r="F527"/>
          <cell r="G527"/>
        </row>
        <row r="528">
          <cell r="C528" t="str">
            <v>PL222301-07 3" (Φ90) PE COMPRESSION COUPLING ALL BLACK</v>
          </cell>
          <cell r="D528" t="str">
            <v>6PCS/CTN</v>
          </cell>
          <cell r="E528"/>
          <cell r="F528"/>
          <cell r="G528"/>
        </row>
        <row r="529">
          <cell r="C529"/>
          <cell r="D529"/>
          <cell r="E529"/>
          <cell r="F529"/>
          <cell r="G529"/>
        </row>
        <row r="530">
          <cell r="C530" t="str">
            <v>PL222302-01 1/2" (Φ20) PE COMPRESSION ELBOW ALL BLACK</v>
          </cell>
          <cell r="D530" t="str">
            <v>225PCS/CTN</v>
          </cell>
          <cell r="E530">
            <v>84</v>
          </cell>
          <cell r="F530"/>
          <cell r="G530" t="str">
            <v>LESS 30%</v>
          </cell>
        </row>
        <row r="531">
          <cell r="C531" t="str">
            <v>PL222302-02 3/4" (Φ25) PE COMPRESSION ELBOW ALL BLACK</v>
          </cell>
          <cell r="D531" t="str">
            <v>150PCS/CTN</v>
          </cell>
          <cell r="E531">
            <v>96</v>
          </cell>
          <cell r="F531"/>
          <cell r="G531"/>
        </row>
        <row r="532">
          <cell r="C532" t="str">
            <v>PL222302-03 1" (Φ32) PE COMPRESSION ELBOW ALL BLACK</v>
          </cell>
          <cell r="D532" t="str">
            <v>80PCS/CTN</v>
          </cell>
          <cell r="E532">
            <v>124</v>
          </cell>
          <cell r="F532"/>
          <cell r="G532"/>
        </row>
        <row r="533">
          <cell r="C533" t="str">
            <v>PL222302-04 1-1/4" (Φ40) PE COMPRESSION ELBOW ALL BLACK</v>
          </cell>
          <cell r="D533" t="str">
            <v>45PCS/CTN</v>
          </cell>
          <cell r="E533">
            <v>400</v>
          </cell>
          <cell r="F533"/>
          <cell r="G533"/>
        </row>
        <row r="534">
          <cell r="C534" t="str">
            <v>PL222302-05 1-1/2" (Φ50) PE COMPRESSION ELBOW ALL BLACK</v>
          </cell>
          <cell r="D534" t="str">
            <v>30PCS/CTN</v>
          </cell>
          <cell r="E534">
            <v>440</v>
          </cell>
          <cell r="F534"/>
          <cell r="G534"/>
        </row>
        <row r="535">
          <cell r="C535" t="str">
            <v>PL222302-06 2" (Φ63) PE COMPRESSION ELBOW ALL BLACK</v>
          </cell>
          <cell r="D535" t="str">
            <v>20PCS/CTN</v>
          </cell>
          <cell r="E535">
            <v>616</v>
          </cell>
          <cell r="F535"/>
          <cell r="G535"/>
        </row>
        <row r="536">
          <cell r="C536" t="str">
            <v>PL222302-07 3" (Φ90) PE COMPRESSION ELBOW ALL BLACK</v>
          </cell>
          <cell r="D536" t="str">
            <v>8PCS/CTN</v>
          </cell>
          <cell r="E536"/>
          <cell r="F536"/>
          <cell r="G536"/>
        </row>
        <row r="537">
          <cell r="C537"/>
          <cell r="D537"/>
          <cell r="E537"/>
          <cell r="F537"/>
          <cell r="G537"/>
        </row>
        <row r="538">
          <cell r="C538" t="str">
            <v>PL222303-01 1/2" (Φ20) PE COMPRESSION TEE ALL BLACK</v>
          </cell>
          <cell r="D538" t="str">
            <v>140PCS/CTN</v>
          </cell>
          <cell r="E538">
            <v>92</v>
          </cell>
          <cell r="F538"/>
          <cell r="G538" t="str">
            <v>LESS 30%</v>
          </cell>
        </row>
        <row r="539">
          <cell r="C539" t="str">
            <v>PL222303-02 3/4" (Φ25) PE COMPRESSION TEE ALL BLACK</v>
          </cell>
          <cell r="D539" t="str">
            <v>80PCS/CTN</v>
          </cell>
          <cell r="E539">
            <v>132</v>
          </cell>
          <cell r="F539"/>
          <cell r="G539"/>
        </row>
        <row r="540">
          <cell r="C540" t="str">
            <v>PL222303-03 1" (Φ32) PE COMPRESSION TEE ALL BLACK</v>
          </cell>
          <cell r="D540" t="str">
            <v>54PCS/CTN</v>
          </cell>
          <cell r="E540">
            <v>160</v>
          </cell>
          <cell r="F540"/>
          <cell r="G540"/>
        </row>
        <row r="541">
          <cell r="C541" t="str">
            <v>PL222303-04 1-1/4" (Φ40) PE COMPRESSION TEE ALL BLACK</v>
          </cell>
          <cell r="D541" t="str">
            <v>30PCS/CTN</v>
          </cell>
          <cell r="E541">
            <v>420</v>
          </cell>
          <cell r="F541"/>
          <cell r="G541"/>
        </row>
        <row r="542">
          <cell r="C542" t="str">
            <v>PL222303-05 1-1/2" (Φ50) PE COMPRESSION TEE ALL BLACK</v>
          </cell>
          <cell r="D542" t="str">
            <v>22PCS/CTN</v>
          </cell>
          <cell r="E542">
            <v>476</v>
          </cell>
          <cell r="F542"/>
          <cell r="G542"/>
        </row>
        <row r="543">
          <cell r="C543"/>
          <cell r="D543"/>
          <cell r="E543"/>
          <cell r="F543"/>
          <cell r="G543"/>
        </row>
        <row r="544">
          <cell r="C544"/>
          <cell r="D544" t="str">
            <v>DESCRIPTION</v>
          </cell>
          <cell r="E544" t="str">
            <v>PRICE</v>
          </cell>
          <cell r="F544" t="str">
            <v>VOLUME LESS</v>
          </cell>
          <cell r="G544" t="str">
            <v>REGULAR
LESS</v>
          </cell>
        </row>
        <row r="545">
          <cell r="C545" t="str">
            <v>PL222303-06 2" (Φ63) PE COMPRESSION TEE ALL BLACK</v>
          </cell>
          <cell r="D545" t="str">
            <v>12PCS/CTN</v>
          </cell>
          <cell r="E545">
            <v>800</v>
          </cell>
          <cell r="F545"/>
          <cell r="G545" t="str">
            <v>LESS 30%</v>
          </cell>
        </row>
        <row r="546">
          <cell r="C546"/>
          <cell r="D546"/>
          <cell r="E546"/>
          <cell r="F546"/>
          <cell r="G546"/>
        </row>
        <row r="547">
          <cell r="C547" t="str">
            <v>PL222304-01 3/4"*1/2"（Φ25*20）PE COMPRESSION COUPLING REDUCER ALL BLACK</v>
          </cell>
          <cell r="D547" t="str">
            <v>200PCS/CTN</v>
          </cell>
          <cell r="E547">
            <v>92</v>
          </cell>
          <cell r="F547"/>
          <cell r="G547" t="str">
            <v>LESS 30%</v>
          </cell>
        </row>
        <row r="548">
          <cell r="C548" t="str">
            <v>PL222304-02 1"*1/2"（Φ32*20）PE COMPRESSION COUPLING REDUCER ALL BLACK</v>
          </cell>
          <cell r="D548" t="str">
            <v>140PCS/CTN</v>
          </cell>
          <cell r="E548">
            <v>132</v>
          </cell>
          <cell r="F548"/>
          <cell r="G548"/>
        </row>
        <row r="549">
          <cell r="C549" t="str">
            <v>PL222304-03 1"*3/4"（Φ32*25）PE COMPRESSION COUPLING REDUCER ALL BLACK</v>
          </cell>
          <cell r="D549" t="str">
            <v>120PCS/CTN</v>
          </cell>
          <cell r="E549">
            <v>132</v>
          </cell>
          <cell r="F549"/>
          <cell r="G549"/>
        </row>
        <row r="550">
          <cell r="C550"/>
          <cell r="D550"/>
          <cell r="E550"/>
          <cell r="F550"/>
          <cell r="G550"/>
        </row>
        <row r="551">
          <cell r="C551" t="str">
            <v>PL222304-04 3/4"*1/2"*3/4"（Φ25*20*25）P.E COMPRESSION TEE REDUCER ALL BLACK</v>
          </cell>
          <cell r="D551" t="str">
            <v>112PCS/CTN</v>
          </cell>
          <cell r="E551">
            <v>142</v>
          </cell>
          <cell r="F551"/>
          <cell r="G551" t="str">
            <v>LESS 30%</v>
          </cell>
        </row>
        <row r="552">
          <cell r="C552" t="str">
            <v>PL222304-05 1"*1/2"*1"（Φ32*20*32）P.E COMPRESSION TEE REDUCER ALL BLACK</v>
          </cell>
          <cell r="D552" t="str">
            <v>54PCS/CTN</v>
          </cell>
          <cell r="E552">
            <v>168</v>
          </cell>
          <cell r="F552"/>
          <cell r="G552"/>
        </row>
        <row r="553">
          <cell r="C553" t="str">
            <v>PL222304-06 1"*3/4"*1"（Φ32*25*32）P.E COMPRESSION TEE REDUCER ALL BLACK</v>
          </cell>
          <cell r="D553" t="str">
            <v>54PCS/CTN</v>
          </cell>
          <cell r="E553">
            <v>188</v>
          </cell>
          <cell r="F553"/>
          <cell r="G553"/>
        </row>
        <row r="554">
          <cell r="C554"/>
          <cell r="D554"/>
          <cell r="E554"/>
          <cell r="F554"/>
          <cell r="G554"/>
        </row>
        <row r="555">
          <cell r="C555" t="str">
            <v>PL222305-01 1/2"（Φ20） P.E COMPRESSION PLUG ALL BLACK</v>
          </cell>
          <cell r="D555" t="str">
            <v>525PCS/CTN</v>
          </cell>
          <cell r="E555">
            <v>40</v>
          </cell>
          <cell r="F555"/>
          <cell r="G555" t="str">
            <v>LESS 30%</v>
          </cell>
        </row>
        <row r="556">
          <cell r="C556" t="str">
            <v>PL222305-02 3/4"（Φ25）P.E COMPRESSION PLUG ALL BLACK</v>
          </cell>
          <cell r="D556" t="str">
            <v>375PCS/CTN</v>
          </cell>
          <cell r="E556">
            <v>44</v>
          </cell>
          <cell r="F556"/>
          <cell r="G556"/>
        </row>
        <row r="557">
          <cell r="C557" t="str">
            <v>PL222305-03 1"（Φ32）P.E COMPRESSION PLUG ALL BLACK</v>
          </cell>
          <cell r="D557" t="str">
            <v>180PCS/CTN</v>
          </cell>
          <cell r="E557">
            <v>52</v>
          </cell>
          <cell r="F557"/>
          <cell r="G557"/>
        </row>
        <row r="558">
          <cell r="C558" t="str">
            <v>PL222305-04 1-1/4"（Φ40）P.E COMPRESSION PLUG ALL BLACK</v>
          </cell>
          <cell r="D558" t="str">
            <v>110PCS/CTN</v>
          </cell>
          <cell r="E558">
            <v>164</v>
          </cell>
          <cell r="F558"/>
          <cell r="G558"/>
        </row>
        <row r="559">
          <cell r="C559" t="str">
            <v>PL222305-05 1-1/2"（Φ50）P.E COMPRESSION PLUG ALL BLACK</v>
          </cell>
          <cell r="D559" t="str">
            <v>88PCS/CTN</v>
          </cell>
          <cell r="E559">
            <v>186</v>
          </cell>
          <cell r="F559"/>
          <cell r="G559"/>
        </row>
        <row r="560">
          <cell r="C560" t="str">
            <v>PL222305-06 2"（Φ63）P.E COMPRESSION PLUG ALL BLACK</v>
          </cell>
          <cell r="D560" t="str">
            <v>45PCS/CTN</v>
          </cell>
          <cell r="E560">
            <v>248</v>
          </cell>
          <cell r="F560"/>
          <cell r="G560"/>
        </row>
        <row r="561">
          <cell r="C561"/>
          <cell r="D561"/>
          <cell r="E561"/>
          <cell r="F561"/>
          <cell r="G561"/>
        </row>
        <row r="562">
          <cell r="C562" t="str">
            <v>PL222306-01 PE COMPRESSION MALE ADAPTOR W/O STAINLESS 1/2"*1/2"（Φ20*1/2"）</v>
          </cell>
          <cell r="D562" t="str">
            <v>450PCS/CTN</v>
          </cell>
          <cell r="E562">
            <v>40</v>
          </cell>
          <cell r="F562"/>
          <cell r="G562" t="str">
            <v>LESS 30%</v>
          </cell>
        </row>
        <row r="563">
          <cell r="C563" t="str">
            <v>PL222306-02 PE COMPRESSION MALE ADAPTOR W/O STAINLESS 3/4"*3/4"（Φ25*3/4"）</v>
          </cell>
          <cell r="D563" t="str">
            <v>325PCS/CTN</v>
          </cell>
          <cell r="E563">
            <v>44</v>
          </cell>
          <cell r="F563"/>
          <cell r="G563"/>
        </row>
        <row r="564">
          <cell r="C564" t="str">
            <v>PL222306-03 PE COMPRESSION MALE ADAPTOR W/O STAINLESS 1"*1"（Φ32*1"）</v>
          </cell>
          <cell r="D564" t="str">
            <v>160PCS/CTN</v>
          </cell>
          <cell r="E564">
            <v>52</v>
          </cell>
          <cell r="F564"/>
          <cell r="G564"/>
        </row>
        <row r="565">
          <cell r="C565" t="str">
            <v>PL222306-04 PE COMPRESSION MALE ADAPTOR W/O STAINLESS 1-1/4"*1-1/4"（Φ40*1-1/4"）</v>
          </cell>
          <cell r="D565" t="str">
            <v>120PCS/CTN</v>
          </cell>
          <cell r="E565">
            <v>149</v>
          </cell>
          <cell r="F565"/>
          <cell r="G565"/>
        </row>
        <row r="566">
          <cell r="C566" t="str">
            <v>PL222306-05 PE COMPRESSION MALE ADAPTOR W/O STAINLESS 1-1/2"*1-1/2"（Φ50*1-1/2"）</v>
          </cell>
          <cell r="D566" t="str">
            <v>72PCS/CTN</v>
          </cell>
          <cell r="E566">
            <v>186</v>
          </cell>
          <cell r="F566"/>
          <cell r="G566"/>
        </row>
        <row r="567">
          <cell r="C567" t="str">
            <v>PL222306-06 PE COMPRESSION MALE ADAPTOR W/O STAINLESS 2"*2"（Φ63*2"）</v>
          </cell>
          <cell r="D567" t="str">
            <v>45PCS/CTN</v>
          </cell>
          <cell r="E567">
            <v>248</v>
          </cell>
          <cell r="F567"/>
          <cell r="G567"/>
        </row>
        <row r="568">
          <cell r="C568" t="str">
            <v>PL222306-07 PE COMPRESSION MALE ADAPTOR W/O STAINLESS 3"*3"（Φ90x3"）</v>
          </cell>
          <cell r="D568" t="str">
            <v>16PCS/CTN</v>
          </cell>
          <cell r="E568">
            <v>1600</v>
          </cell>
          <cell r="F568"/>
          <cell r="G568"/>
        </row>
        <row r="569">
          <cell r="C569"/>
          <cell r="D569"/>
          <cell r="E569"/>
          <cell r="F569"/>
          <cell r="G569"/>
        </row>
        <row r="570">
          <cell r="C570"/>
          <cell r="D570" t="str">
            <v>DESCRIPTION</v>
          </cell>
          <cell r="E570" t="str">
            <v>PRICE</v>
          </cell>
          <cell r="F570" t="str">
            <v>VOLUME LESS</v>
          </cell>
          <cell r="G570" t="str">
            <v>REGULAR
LESS</v>
          </cell>
        </row>
        <row r="571">
          <cell r="C571"/>
          <cell r="D571"/>
          <cell r="E571"/>
          <cell r="F571"/>
          <cell r="G571"/>
        </row>
        <row r="572">
          <cell r="C572" t="str">
            <v>PL222307-01 1/2"*1/2"（Φ20*1/2"）P.E COMPRESSION FEMALE ADAPTOR W/ STAINLESS</v>
          </cell>
          <cell r="D572" t="str">
            <v>420PCS/CTN</v>
          </cell>
          <cell r="E572">
            <v>52</v>
          </cell>
          <cell r="F572"/>
          <cell r="G572" t="str">
            <v>LESS 30%</v>
          </cell>
        </row>
        <row r="573">
          <cell r="C573" t="str">
            <v>PL222307-02 3/4"*3/4"（Φ25*3/4"）P.E COMPRESSION FEMALE ADAPTOR W/ STAINLESS</v>
          </cell>
          <cell r="D573" t="str">
            <v>300PCS/CTN</v>
          </cell>
          <cell r="E573">
            <v>58</v>
          </cell>
          <cell r="F573"/>
          <cell r="G573"/>
        </row>
        <row r="574">
          <cell r="C574" t="str">
            <v>PL222307-03 1"*1"（Φ32*1"）P.E COMPRESSION FEMALE ADAPTOR W/ STAINLESS</v>
          </cell>
          <cell r="D574" t="str">
            <v>180PCS/CTN</v>
          </cell>
          <cell r="E574">
            <v>92</v>
          </cell>
          <cell r="F574"/>
          <cell r="G574"/>
        </row>
        <row r="575">
          <cell r="C575" t="str">
            <v>PL222307-04 1-1/4"*1-1/4"（Φ40*1-1/4"）P.E COMPRESSION FEMALE ADAPTOR W/ STAINLESS</v>
          </cell>
          <cell r="D575" t="str">
            <v>90PCS/CTN</v>
          </cell>
          <cell r="E575">
            <v>244</v>
          </cell>
          <cell r="F575"/>
          <cell r="G575"/>
        </row>
        <row r="576">
          <cell r="C576" t="str">
            <v>PL222307-05 1-1/2"*1-1/2"（Φ50*1-1/2"）P.E COMPRESSION FEMALE ADAPTOR W/ STAINLESS</v>
          </cell>
          <cell r="D576" t="str">
            <v>60PCS/CTN</v>
          </cell>
          <cell r="E576">
            <v>290</v>
          </cell>
          <cell r="F576"/>
          <cell r="G576"/>
        </row>
        <row r="577">
          <cell r="C577" t="str">
            <v>PL222307-06 2"*2"（Φ63*2"）P.E COMPRESSION FEMALE ADAPTOR W/ STAINLESS ALL BLACK</v>
          </cell>
          <cell r="D577" t="str">
            <v>32PCS/CTN</v>
          </cell>
          <cell r="E577">
            <v>370</v>
          </cell>
          <cell r="F577"/>
          <cell r="G577"/>
        </row>
        <row r="578">
          <cell r="C578"/>
          <cell r="D578"/>
          <cell r="E578"/>
          <cell r="F578"/>
          <cell r="G578"/>
        </row>
        <row r="579">
          <cell r="C579" t="str">
            <v>PL222308-01 1/2"*1/2"（Φ20*1/2"）P.E COMPRESSION MALE ELBOW ALL BLACK</v>
          </cell>
          <cell r="D579" t="str">
            <v>310PCS/CTN</v>
          </cell>
          <cell r="E579">
            <v>64</v>
          </cell>
          <cell r="F579"/>
          <cell r="G579" t="str">
            <v>LESS 30%</v>
          </cell>
        </row>
        <row r="580">
          <cell r="C580" t="str">
            <v>PL222308-02 3/4"*3/4"（Φ25*3/4"）P.E COMPRESSION MALE ELBOW ALL BLACK</v>
          </cell>
          <cell r="D580" t="str">
            <v>200PCS/CTN</v>
          </cell>
          <cell r="E580">
            <v>72</v>
          </cell>
          <cell r="F580"/>
          <cell r="G580"/>
        </row>
        <row r="581">
          <cell r="C581" t="str">
            <v>PL222308-03 1"*1"（Φ32*1"）P.E COMPRESSION MALE ELBOW ALL BLACK</v>
          </cell>
          <cell r="D581" t="str">
            <v>120PCS/CTN</v>
          </cell>
          <cell r="E581">
            <v>88</v>
          </cell>
          <cell r="F581"/>
          <cell r="G581"/>
        </row>
        <row r="582">
          <cell r="C582"/>
          <cell r="D582"/>
          <cell r="E582"/>
          <cell r="F582"/>
          <cell r="G582"/>
        </row>
        <row r="583">
          <cell r="C583" t="str">
            <v>PL222309-01 1/2"*1/2"（Φ20*1/2"）P.E COMPRESSION FEMALE ELBOW W/ STAINLESS</v>
          </cell>
          <cell r="D583" t="str">
            <v>310PCS/CTN</v>
          </cell>
          <cell r="E583">
            <v>64</v>
          </cell>
          <cell r="F583"/>
          <cell r="G583" t="str">
            <v>LESS 30%</v>
          </cell>
        </row>
        <row r="584">
          <cell r="C584" t="str">
            <v>PL222309-02 3/4"*3/4"（Φ25*3/4"）P.E COMPRESSION FEMALE ELBOW W/ STAINLESS</v>
          </cell>
          <cell r="D584" t="str">
            <v>200PCS/CTN</v>
          </cell>
          <cell r="E584">
            <v>72</v>
          </cell>
          <cell r="F584"/>
          <cell r="G584"/>
        </row>
        <row r="585">
          <cell r="C585" t="str">
            <v>PL222309-03 1"*1"（Φ32*1"）P.E COMPRESSION FEMALE ELBOW W/ STAINLESS</v>
          </cell>
          <cell r="D585" t="str">
            <v>120PCS/CTN</v>
          </cell>
          <cell r="E585">
            <v>88</v>
          </cell>
          <cell r="F585"/>
          <cell r="G585"/>
        </row>
        <row r="586">
          <cell r="C586"/>
          <cell r="D586"/>
          <cell r="E586"/>
          <cell r="F586"/>
          <cell r="G586"/>
        </row>
        <row r="587">
          <cell r="C587" t="str">
            <v>PL222309-04 1/2"*1/2"（Φ20*1/2"）PE COMPRESSION FEMALE TEE W/ STAINLESS ALL BLACK</v>
          </cell>
          <cell r="D587" t="str">
            <v>170PCS/CTN</v>
          </cell>
          <cell r="E587">
            <v>96</v>
          </cell>
          <cell r="F587"/>
          <cell r="G587" t="str">
            <v>LESS 30%</v>
          </cell>
        </row>
        <row r="588">
          <cell r="C588" t="str">
            <v>PL222309-05 3/4"*3/4"（Φ25*3/4"）PE COMPRESSION FEMALE TEE W/ STAINLESS ALL BLACK</v>
          </cell>
          <cell r="D588" t="str">
            <v>100PCS/CTN</v>
          </cell>
          <cell r="E588">
            <v>116</v>
          </cell>
          <cell r="F588"/>
          <cell r="G588"/>
        </row>
        <row r="589">
          <cell r="C589" t="str">
            <v>PL222309-06 1"*1"（Φ32*1"）PE COMPRESSION FEMALE TEE W/ STAINLESS ALL BLACK</v>
          </cell>
          <cell r="D589" t="str">
            <v>65PCS/CTN</v>
          </cell>
          <cell r="E589">
            <v>160</v>
          </cell>
          <cell r="F589"/>
          <cell r="G589"/>
        </row>
        <row r="590">
          <cell r="C590"/>
          <cell r="D590"/>
          <cell r="E590"/>
          <cell r="F590"/>
          <cell r="G590"/>
        </row>
        <row r="591">
          <cell r="C591" t="str">
            <v>PL222310-01 1/2"*1/2"（Φ20*1/2"）PE COMPRESSION MALE TEE W/O STAINLESS ALL BLACK</v>
          </cell>
          <cell r="D591" t="str">
            <v>180PCS/CTN</v>
          </cell>
          <cell r="E591">
            <v>96</v>
          </cell>
          <cell r="F591"/>
          <cell r="G591" t="str">
            <v>LESS 30%</v>
          </cell>
        </row>
        <row r="592">
          <cell r="C592" t="str">
            <v>PL222310-02 3/4"*3/4"（Φ25*3/4"）PE COMPRESSION MALE TEE W/O STAINLESS ALL BLACK</v>
          </cell>
          <cell r="D592" t="str">
            <v>120PCS/CTN</v>
          </cell>
          <cell r="E592">
            <v>116</v>
          </cell>
          <cell r="F592"/>
          <cell r="G592"/>
        </row>
        <row r="593">
          <cell r="C593" t="str">
            <v>PL222310-03 1"*1"（Φ32*1"）PE COMPRESSION MALE TEE W/O STAINLESS ALL BLACK</v>
          </cell>
          <cell r="D593" t="str">
            <v>80PCS/CTN</v>
          </cell>
          <cell r="E593">
            <v>160</v>
          </cell>
          <cell r="F593"/>
          <cell r="G593"/>
        </row>
        <row r="594">
          <cell r="C594"/>
          <cell r="D594"/>
          <cell r="E594"/>
          <cell r="F594"/>
          <cell r="G594"/>
        </row>
        <row r="595">
          <cell r="C595"/>
          <cell r="D595"/>
          <cell r="E595"/>
          <cell r="F595"/>
          <cell r="G595"/>
        </row>
        <row r="596">
          <cell r="C596"/>
          <cell r="D596"/>
          <cell r="E596"/>
          <cell r="F596"/>
          <cell r="G596"/>
        </row>
        <row r="597">
          <cell r="C597"/>
          <cell r="D597" t="str">
            <v>DESCRIPTION</v>
          </cell>
          <cell r="E597" t="str">
            <v>PRICE</v>
          </cell>
          <cell r="F597" t="str">
            <v>VOLUME LESS</v>
          </cell>
          <cell r="G597" t="str">
            <v>REGULAR
LESS</v>
          </cell>
        </row>
        <row r="598">
          <cell r="C598"/>
          <cell r="D598"/>
          <cell r="E598"/>
          <cell r="F598"/>
          <cell r="G598"/>
        </row>
        <row r="599">
          <cell r="C599" t="str">
            <v>PL222401-01 25 * 1/2 P.E COMPRESSION SADDLE CLAMP ALL BLACK</v>
          </cell>
          <cell r="D599" t="str">
            <v>220PCS/CTN</v>
          </cell>
          <cell r="E599">
            <v>65</v>
          </cell>
          <cell r="F599"/>
          <cell r="G599" t="str">
            <v>LESS 30%</v>
          </cell>
        </row>
        <row r="600">
          <cell r="C600" t="str">
            <v>PL222402-01 32 * 1/2 P.E COMPRESSION SADDLE CLAMP ALL BLACK</v>
          </cell>
          <cell r="D600" t="str">
            <v>180PCS/CTN</v>
          </cell>
          <cell r="E600">
            <v>80</v>
          </cell>
          <cell r="F600"/>
          <cell r="G600"/>
        </row>
        <row r="601">
          <cell r="C601" t="str">
            <v>PL222403-01 40 * 1/2 P.E COMPRESSION SADDLE CLAMP ALL BLACK</v>
          </cell>
          <cell r="D601" t="str">
            <v>140PCS/CTN</v>
          </cell>
          <cell r="E601">
            <v>94</v>
          </cell>
          <cell r="F601"/>
          <cell r="G601"/>
        </row>
        <row r="602">
          <cell r="C602" t="str">
            <v>PL222404-01 50 * 1/2 P.E COMPRESSION SADDLE CLAMP ALL BLACK</v>
          </cell>
          <cell r="D602" t="str">
            <v>135PCS/CTN</v>
          </cell>
          <cell r="E602">
            <v>117</v>
          </cell>
          <cell r="F602"/>
          <cell r="G602"/>
        </row>
        <row r="603">
          <cell r="C603" t="str">
            <v>PL222405-01 63 * 1/2 P.E COMPRESSION SADDLE CLAMP ALL BLACK</v>
          </cell>
          <cell r="D603" t="str">
            <v>80PCS/CTN</v>
          </cell>
          <cell r="E603">
            <v>147</v>
          </cell>
          <cell r="F603"/>
          <cell r="G603"/>
        </row>
        <row r="604">
          <cell r="C604" t="str">
            <v>PL222406-01 75*1/2 P.E COMPRESSION SADDLE CLAMP ALL BLACK</v>
          </cell>
          <cell r="D604" t="str">
            <v>50PCS/CTN</v>
          </cell>
          <cell r="E604">
            <v>230</v>
          </cell>
          <cell r="F604"/>
          <cell r="G604"/>
        </row>
        <row r="605">
          <cell r="C605" t="str">
            <v>PL222407-01 90*1/2 P.E COMPRESSION SADDLE CLAMP ALL BLACK</v>
          </cell>
          <cell r="D605" t="str">
            <v>36PCS/CTN</v>
          </cell>
          <cell r="E605">
            <v>310</v>
          </cell>
          <cell r="F605"/>
          <cell r="G605"/>
        </row>
        <row r="606">
          <cell r="C606" t="str">
            <v>PL222408-01 110*1/2 P.E COMPRESSION SADDLE CLAMP ALL BLACK</v>
          </cell>
          <cell r="D606" t="str">
            <v>30PCS/CTN</v>
          </cell>
          <cell r="E606">
            <v>380</v>
          </cell>
          <cell r="F606"/>
          <cell r="G606"/>
        </row>
        <row r="607">
          <cell r="C607"/>
          <cell r="D607"/>
          <cell r="E607"/>
          <cell r="F607"/>
          <cell r="G607"/>
        </row>
        <row r="608">
          <cell r="C608" t="str">
            <v>PL55090-00 G.I HOSE CLAMP 1/2"</v>
          </cell>
          <cell r="D608" t="str">
            <v>100PCS*30BAGS
/CTN</v>
          </cell>
          <cell r="E608">
            <v>4</v>
          </cell>
          <cell r="F608"/>
          <cell r="G608"/>
        </row>
        <row r="609">
          <cell r="C609" t="str">
            <v>PL55090-01 G.I HOSE CLAMP 5/8"</v>
          </cell>
          <cell r="D609" t="str">
            <v>100PCS*30BAGS
/CTN</v>
          </cell>
          <cell r="E609">
            <v>4</v>
          </cell>
          <cell r="F609"/>
          <cell r="G609"/>
        </row>
        <row r="610">
          <cell r="C610" t="str">
            <v>PL55090-02 G.I HOSE CLAMP 3/4"</v>
          </cell>
          <cell r="D610" t="str">
            <v>100PCS*30BAGS
/CTN</v>
          </cell>
          <cell r="E610">
            <v>4</v>
          </cell>
          <cell r="F610"/>
          <cell r="G610"/>
        </row>
        <row r="611">
          <cell r="C611" t="str">
            <v>PL55090-03 G.I HOSE CLAMP 1"</v>
          </cell>
          <cell r="D611" t="str">
            <v>100PCS*30BAGS
/CTN</v>
          </cell>
          <cell r="E611">
            <v>7</v>
          </cell>
          <cell r="F611"/>
          <cell r="G611"/>
        </row>
        <row r="612">
          <cell r="C612" t="str">
            <v>PL55090-04 G.I HOSE CLAMP 1-1/4"</v>
          </cell>
          <cell r="D612" t="str">
            <v>50PCS*20BAGS
/CTN</v>
          </cell>
          <cell r="E612">
            <v>8</v>
          </cell>
          <cell r="F612"/>
          <cell r="G612"/>
        </row>
        <row r="613">
          <cell r="C613" t="str">
            <v>PL55090-05 G.I HOSE CLAMP 1-1/2"</v>
          </cell>
          <cell r="D613" t="str">
            <v>50PCS*20BAGS
/CTN</v>
          </cell>
          <cell r="E613">
            <v>8</v>
          </cell>
          <cell r="F613"/>
          <cell r="G613"/>
        </row>
        <row r="614">
          <cell r="C614" t="str">
            <v>PL55090-06 G.I HOSE CLAMP 2"</v>
          </cell>
          <cell r="D614" t="str">
            <v>20PCS*50BAGS
/CTN</v>
          </cell>
          <cell r="E614">
            <v>12</v>
          </cell>
          <cell r="F614"/>
          <cell r="G614"/>
        </row>
        <row r="615">
          <cell r="C615" t="str">
            <v>PL55090-07 G.I HOSE CLAMP 2-1/2"</v>
          </cell>
          <cell r="D615" t="str">
            <v>20PCS*50BAGS
/CTN</v>
          </cell>
          <cell r="E615">
            <v>14</v>
          </cell>
          <cell r="F615"/>
          <cell r="G615"/>
        </row>
        <row r="616">
          <cell r="C616"/>
          <cell r="D616"/>
          <cell r="E616"/>
          <cell r="F616"/>
          <cell r="G616"/>
        </row>
        <row r="617">
          <cell r="C617"/>
          <cell r="D617" t="str">
            <v>DESCRIPTION</v>
          </cell>
          <cell r="E617" t="str">
            <v>PRICE</v>
          </cell>
          <cell r="F617" t="str">
            <v>VOLUME LESS</v>
          </cell>
          <cell r="G617" t="str">
            <v>REGULAR
LESS</v>
          </cell>
        </row>
        <row r="618">
          <cell r="C618" t="str">
            <v>PL55090-08 G.I HOSE CLAMP 3"</v>
          </cell>
          <cell r="D618" t="str">
            <v>20PCS*25BAGS
/CTN</v>
          </cell>
          <cell r="E618">
            <v>17</v>
          </cell>
          <cell r="F618"/>
          <cell r="G618"/>
        </row>
        <row r="619">
          <cell r="C619" t="str">
            <v>PL55090-09 G.I HOSE CLAMP 4"</v>
          </cell>
          <cell r="D619" t="str">
            <v>20PCS*25BAGS
/CTN</v>
          </cell>
          <cell r="E619">
            <v>22</v>
          </cell>
          <cell r="F619"/>
          <cell r="G619"/>
        </row>
        <row r="620">
          <cell r="C620"/>
          <cell r="D620"/>
          <cell r="E620"/>
          <cell r="F620"/>
          <cell r="G620"/>
        </row>
        <row r="621">
          <cell r="C621" t="str">
            <v>PL22070-00 G.I NIPPLE 1/4"x2"</v>
          </cell>
          <cell r="D621" t="str">
            <v>10PCS*100BAG/
CTN</v>
          </cell>
          <cell r="E621"/>
          <cell r="F621"/>
          <cell r="G621" t="str">
            <v>LESS 10%</v>
          </cell>
        </row>
        <row r="622">
          <cell r="C622" t="str">
            <v>PL22070-01 G.I NIPPLE 1/4"x3"</v>
          </cell>
          <cell r="D622" t="str">
            <v>10PCS*60BAG/
CTN</v>
          </cell>
          <cell r="E622"/>
          <cell r="F622"/>
          <cell r="G622"/>
        </row>
        <row r="623">
          <cell r="C623" t="str">
            <v>PL22070-05 G.I NIPPLE 1/2"x1"</v>
          </cell>
          <cell r="D623" t="str">
            <v>10PCS*80BAG/
CTN</v>
          </cell>
          <cell r="E623">
            <v>6.8</v>
          </cell>
          <cell r="F623"/>
          <cell r="G623"/>
        </row>
        <row r="624">
          <cell r="C624" t="str">
            <v>PL22070-06 G.I NIPPLE 1/2"x 2"</v>
          </cell>
          <cell r="D624" t="str">
            <v>10PCS*40BAG/
CTN</v>
          </cell>
          <cell r="E624">
            <v>8.4</v>
          </cell>
          <cell r="F624"/>
          <cell r="G624"/>
        </row>
        <row r="625">
          <cell r="C625" t="str">
            <v>PL22070-07 G.I NIPPLE 1/2"x 3"</v>
          </cell>
          <cell r="D625" t="str">
            <v>10PCS*25BAG/
CTN</v>
          </cell>
          <cell r="E625">
            <v>10.6</v>
          </cell>
          <cell r="F625"/>
          <cell r="G625"/>
        </row>
        <row r="626">
          <cell r="C626" t="str">
            <v>PL22070-08 G.I NIPPLE 1/2"x 4"</v>
          </cell>
          <cell r="D626" t="str">
            <v>10PCS*25BAG/
CTN</v>
          </cell>
          <cell r="E626">
            <v>12.6</v>
          </cell>
          <cell r="F626"/>
          <cell r="G626"/>
        </row>
        <row r="627">
          <cell r="C627" t="str">
            <v>PL22070-09 G.I NIPPLE 1/2"x 5"</v>
          </cell>
          <cell r="D627" t="str">
            <v>10PCS*20BAG/
CTN</v>
          </cell>
          <cell r="E627">
            <v>17.399999999999999</v>
          </cell>
          <cell r="F627"/>
          <cell r="G627"/>
        </row>
        <row r="628">
          <cell r="C628" t="str">
            <v>PL22070-10 G.I NIPPLE 1/2"x 6"</v>
          </cell>
          <cell r="D628" t="str">
            <v>10PCS*15BAG/
CTN</v>
          </cell>
          <cell r="E628">
            <v>19.600000000000001</v>
          </cell>
          <cell r="F628"/>
          <cell r="G628"/>
        </row>
        <row r="629">
          <cell r="C629" t="str">
            <v>PL22070-11 G.I NIPPLE 1/2"x 7"</v>
          </cell>
          <cell r="D629" t="str">
            <v>10PCS*15BAG
/CTN</v>
          </cell>
          <cell r="E629">
            <v>22</v>
          </cell>
          <cell r="F629"/>
          <cell r="G629"/>
        </row>
        <row r="630">
          <cell r="C630" t="str">
            <v>PL22070-13 G.I NIPPLE 1/2"x 9"</v>
          </cell>
          <cell r="D630" t="str">
            <v>10PCS*10BAG
/CTN</v>
          </cell>
          <cell r="E630">
            <v>29.6</v>
          </cell>
          <cell r="F630"/>
          <cell r="G630"/>
        </row>
        <row r="631">
          <cell r="C631" t="str">
            <v>PL22070-14 G.I NIPPLE 1/2"x 10"</v>
          </cell>
          <cell r="D631" t="str">
            <v>10PCS*10BAG/
CTN</v>
          </cell>
          <cell r="E631">
            <v>30.8</v>
          </cell>
          <cell r="F631"/>
          <cell r="G631"/>
        </row>
        <row r="632">
          <cell r="C632" t="str">
            <v>PL22070-15 G.I NIPPLE 1/2"x 12"</v>
          </cell>
          <cell r="D632" t="str">
            <v>10PCS*10BAG/
CTN</v>
          </cell>
          <cell r="E632">
            <v>35.200000000000003</v>
          </cell>
          <cell r="F632"/>
          <cell r="G632"/>
        </row>
        <row r="633">
          <cell r="C633" t="str">
            <v>PL22070-16 G.I NIPPLE 1/2"x 20"</v>
          </cell>
          <cell r="D633" t="str">
            <v>50PCS/CTN</v>
          </cell>
          <cell r="E633">
            <v>8.4</v>
          </cell>
          <cell r="F633"/>
          <cell r="G633"/>
        </row>
        <row r="634">
          <cell r="C634" t="str">
            <v>PL22070-18 G.I NIPPLE 3/4"x 2"</v>
          </cell>
          <cell r="D634" t="str">
            <v>10PCS*30BAG/
CTN</v>
          </cell>
          <cell r="E634">
            <v>9.8000000000000007</v>
          </cell>
          <cell r="F634"/>
          <cell r="G634"/>
        </row>
        <row r="635">
          <cell r="C635" t="str">
            <v>PL22070-19 G.I NIPPLE 3/4"x 3"</v>
          </cell>
          <cell r="D635" t="str">
            <v>10PCS*20BAG/
CTN</v>
          </cell>
          <cell r="E635">
            <v>12.4</v>
          </cell>
          <cell r="F635"/>
          <cell r="G635"/>
        </row>
        <row r="636">
          <cell r="C636" t="str">
            <v>PL22070-20 G.I NIPPLE 3/4"x 4"</v>
          </cell>
          <cell r="D636" t="str">
            <v>10PCS*15BAG/
CTN</v>
          </cell>
          <cell r="E636">
            <v>16</v>
          </cell>
          <cell r="F636"/>
          <cell r="G636"/>
        </row>
        <row r="637">
          <cell r="C637" t="str">
            <v>PL22070-21 G.I NIPPLE 3/4"x 5"</v>
          </cell>
          <cell r="D637" t="str">
            <v>10PCS*15BAG/
CTN</v>
          </cell>
          <cell r="E637">
            <v>21.2</v>
          </cell>
          <cell r="F637"/>
          <cell r="G637"/>
        </row>
        <row r="638">
          <cell r="C638" t="str">
            <v>PL22070-22 G.I NIPPLE 3/4"x 6"</v>
          </cell>
          <cell r="D638" t="str">
            <v>10PCS*10BAG/
CTN</v>
          </cell>
          <cell r="E638">
            <v>26.8</v>
          </cell>
          <cell r="F638"/>
          <cell r="G638"/>
        </row>
        <row r="639">
          <cell r="C639"/>
          <cell r="D639"/>
          <cell r="E639"/>
          <cell r="F639"/>
          <cell r="G639"/>
        </row>
        <row r="640">
          <cell r="C640"/>
          <cell r="D640" t="str">
            <v>DESCRIPTION</v>
          </cell>
          <cell r="E640" t="str">
            <v>PRICE</v>
          </cell>
          <cell r="F640" t="str">
            <v>VOLUME LESS</v>
          </cell>
          <cell r="G640" t="str">
            <v>REGULAR
LESS</v>
          </cell>
        </row>
        <row r="641">
          <cell r="C641" t="str">
            <v>PL22070-24 G.I NIPPLE 3/4"x 8"</v>
          </cell>
          <cell r="D641" t="str">
            <v>10PCS*8BAG/
CTN</v>
          </cell>
          <cell r="E641">
            <v>32.200000000000003</v>
          </cell>
          <cell r="F641"/>
          <cell r="G641" t="str">
            <v>LESS 10%</v>
          </cell>
        </row>
        <row r="642">
          <cell r="C642" t="str">
            <v>PL22070-26 G.I NIPPLE 3/4"x 10"</v>
          </cell>
          <cell r="D642" t="str">
            <v>10PCS*5BAG/
CTN</v>
          </cell>
          <cell r="E642">
            <v>34.6</v>
          </cell>
          <cell r="F642"/>
          <cell r="G642"/>
        </row>
        <row r="643">
          <cell r="C643" t="str">
            <v>PL22070-27 G.I NIPPLE 3/4"x 12"</v>
          </cell>
          <cell r="D643" t="str">
            <v>10PCS*5BAG/CTN</v>
          </cell>
          <cell r="E643">
            <v>46</v>
          </cell>
          <cell r="F643"/>
          <cell r="G643" t="str">
            <v>LESS 10%</v>
          </cell>
        </row>
        <row r="644">
          <cell r="C644" t="str">
            <v>PL22070-29 G.I NIPPLE 1"x 2"</v>
          </cell>
          <cell r="D644" t="str">
            <v>10PCS*15BAG/CT
N</v>
          </cell>
          <cell r="E644">
            <v>17.600000000000001</v>
          </cell>
          <cell r="F644"/>
          <cell r="G644"/>
        </row>
        <row r="645">
          <cell r="C645" t="str">
            <v>PL22070-30 G.I NIPPLE 1"x 3"</v>
          </cell>
          <cell r="D645" t="str">
            <v>10PCS*10BAG/CT
N</v>
          </cell>
          <cell r="E645">
            <v>21</v>
          </cell>
          <cell r="F645"/>
          <cell r="G645"/>
        </row>
        <row r="646">
          <cell r="C646" t="str">
            <v>PL22070-31 G.I NIPPLE 1"x 4"</v>
          </cell>
          <cell r="D646" t="str">
            <v>10PCS*10BAG/CT
N</v>
          </cell>
          <cell r="E646">
            <v>29.8</v>
          </cell>
          <cell r="F646"/>
          <cell r="G646"/>
        </row>
        <row r="647">
          <cell r="C647" t="str">
            <v>PL22070-32 G.I NIPPLE 1"x 5"</v>
          </cell>
          <cell r="D647" t="str">
            <v>10PCS*8BAG/CTN</v>
          </cell>
          <cell r="E647">
            <v>44.4</v>
          </cell>
          <cell r="F647"/>
          <cell r="G647"/>
        </row>
        <row r="648">
          <cell r="C648" t="str">
            <v>PL22070-33 G.I NIPPLE 1"x 6"</v>
          </cell>
          <cell r="D648" t="str">
            <v>10PCS*6BAG/CTN</v>
          </cell>
          <cell r="E648">
            <v>51.4</v>
          </cell>
          <cell r="F648"/>
          <cell r="G648"/>
        </row>
        <row r="649">
          <cell r="C649" t="str">
            <v>PL22070-35 G.I NIPPLE 1"x 8"</v>
          </cell>
          <cell r="D649" t="str">
            <v>10PCS*4BAG/CTN</v>
          </cell>
          <cell r="E649">
            <v>52.6</v>
          </cell>
          <cell r="F649"/>
          <cell r="G649"/>
        </row>
        <row r="650">
          <cell r="C650" t="str">
            <v>PL22070-37 G.I NIPPLE 1"x 10"</v>
          </cell>
          <cell r="D650" t="str">
            <v>10PCS*3BAG/CTN</v>
          </cell>
          <cell r="E650">
            <v>72</v>
          </cell>
          <cell r="F650"/>
          <cell r="G650"/>
        </row>
        <row r="651">
          <cell r="C651" t="str">
            <v>PL22070-38 G.I NIPPLE 1"x 12"</v>
          </cell>
          <cell r="D651" t="str">
            <v>10PCS*3BAG/CTN</v>
          </cell>
          <cell r="E651">
            <v>80</v>
          </cell>
          <cell r="F651"/>
          <cell r="G651"/>
        </row>
        <row r="652">
          <cell r="C652" t="str">
            <v>PL22070-39 G.I NIPPLE 1-1/4"*2"</v>
          </cell>
          <cell r="D652" t="str">
            <v>150PCS/CTN</v>
          </cell>
          <cell r="E652">
            <v>23</v>
          </cell>
          <cell r="F652"/>
          <cell r="G652"/>
        </row>
        <row r="653">
          <cell r="C653" t="str">
            <v>PL22070-40 G.I NIPPLE 1-1/4"x 3"</v>
          </cell>
          <cell r="D653" t="str">
            <v>100PCS/CTN</v>
          </cell>
          <cell r="E653">
            <v>28.2</v>
          </cell>
          <cell r="F653"/>
          <cell r="G653"/>
        </row>
        <row r="654">
          <cell r="C654" t="str">
            <v>PL22070-41 G.I NIPPLE 1-1/4"*4"</v>
          </cell>
          <cell r="D654" t="str">
            <v>70PCS/CTN</v>
          </cell>
          <cell r="E654">
            <v>39</v>
          </cell>
          <cell r="F654"/>
          <cell r="G654"/>
        </row>
        <row r="655">
          <cell r="C655" t="str">
            <v>PL22070-42 G.I NIPPLE 1-1/4"x5"</v>
          </cell>
          <cell r="D655" t="str">
            <v>50PCS/CTN</v>
          </cell>
          <cell r="E655">
            <v>47.6</v>
          </cell>
          <cell r="F655"/>
          <cell r="G655"/>
        </row>
        <row r="656">
          <cell r="C656" t="str">
            <v>PL22070-43 G.I NIPPLE 1-1/4"*6"</v>
          </cell>
          <cell r="D656" t="str">
            <v>45PCS/CTN</v>
          </cell>
          <cell r="E656">
            <v>59.4</v>
          </cell>
          <cell r="F656"/>
          <cell r="G656"/>
        </row>
        <row r="657">
          <cell r="C657" t="str">
            <v>PL22070-45 G.I NIPPLE 1-1/4"*8"</v>
          </cell>
          <cell r="D657" t="str">
            <v>32PCS/CTN</v>
          </cell>
          <cell r="E657">
            <v>73.400000000000006</v>
          </cell>
          <cell r="F657"/>
          <cell r="G657"/>
        </row>
        <row r="658">
          <cell r="C658" t="str">
            <v>PL22070-46 G.I NIPPLE 1-1/4"x 9"</v>
          </cell>
          <cell r="D658" t="str">
            <v>25PCS/CTN</v>
          </cell>
          <cell r="E658">
            <v>82.4</v>
          </cell>
          <cell r="F658"/>
          <cell r="G658"/>
        </row>
        <row r="659">
          <cell r="C659" t="str">
            <v>PL22070-47 G.I NIPPLE 1-1/4"*10"</v>
          </cell>
          <cell r="D659" t="str">
            <v>24PCS/CTN</v>
          </cell>
          <cell r="E659">
            <v>88.8</v>
          </cell>
          <cell r="F659"/>
          <cell r="G659"/>
        </row>
        <row r="660">
          <cell r="C660" t="str">
            <v>PL22070-48 G.I NIPPLE 1-1/4"x 12"</v>
          </cell>
          <cell r="D660" t="str">
            <v>24PCS/CTN</v>
          </cell>
          <cell r="E660">
            <v>104.4</v>
          </cell>
          <cell r="F660"/>
          <cell r="G660"/>
        </row>
        <row r="661">
          <cell r="C661" t="str">
            <v>PL22070-49 G.I NIPPLE 1-1/2"*2"</v>
          </cell>
          <cell r="D661" t="str">
            <v>100PCS/CTN</v>
          </cell>
          <cell r="E661">
            <v>28.5</v>
          </cell>
          <cell r="F661"/>
          <cell r="G661"/>
        </row>
        <row r="662">
          <cell r="C662" t="str">
            <v>PL22070-50 G.I NIPPLE 1-1/2"x 3"</v>
          </cell>
          <cell r="D662" t="str">
            <v>80PCS/CTN</v>
          </cell>
          <cell r="E662">
            <v>32.200000000000003</v>
          </cell>
          <cell r="F662"/>
          <cell r="G662"/>
        </row>
        <row r="663">
          <cell r="C663" t="str">
            <v>PL22070-51 G.I NIPPLE 1-1/2"*4"</v>
          </cell>
          <cell r="D663" t="str">
            <v>60PCS/CTN</v>
          </cell>
          <cell r="E663">
            <v>46</v>
          </cell>
          <cell r="F663"/>
          <cell r="G663"/>
        </row>
        <row r="664">
          <cell r="C664" t="str">
            <v>PL22070-52 G.I NIPPLE 1-1/2"x 5"</v>
          </cell>
          <cell r="D664" t="str">
            <v>50BAG/CTN</v>
          </cell>
          <cell r="E664">
            <v>57.4</v>
          </cell>
          <cell r="F664"/>
          <cell r="G664"/>
        </row>
        <row r="665">
          <cell r="C665" t="str">
            <v>PL22070-53 G.I NIPPLE 1-1/2"*6"</v>
          </cell>
          <cell r="D665" t="str">
            <v>40BAG/CTN</v>
          </cell>
          <cell r="E665">
            <v>67.8</v>
          </cell>
          <cell r="F665"/>
          <cell r="G665"/>
        </row>
        <row r="666">
          <cell r="C666" t="str">
            <v>PL22070-55 G.I NIPPLE 1-1/2"*8"</v>
          </cell>
          <cell r="D666" t="str">
            <v>32BAG/CTN</v>
          </cell>
          <cell r="E666">
            <v>88.8</v>
          </cell>
          <cell r="F666"/>
          <cell r="G666"/>
        </row>
        <row r="667">
          <cell r="C667" t="str">
            <v>PL22070-57 G.I NIPPLE 1-1/2"*10"</v>
          </cell>
          <cell r="D667" t="str">
            <v>24BAG/CTN</v>
          </cell>
          <cell r="E667">
            <v>107.8</v>
          </cell>
          <cell r="F667"/>
          <cell r="G667"/>
        </row>
        <row r="668">
          <cell r="C668" t="str">
            <v>PL22070-58 G.I NIPPLE 1-1/2"x 12"</v>
          </cell>
          <cell r="D668" t="str">
            <v>24BAG/CTN</v>
          </cell>
          <cell r="E668">
            <v>126.5</v>
          </cell>
          <cell r="F668"/>
          <cell r="G668"/>
        </row>
        <row r="669">
          <cell r="C669" t="str">
            <v>PL22070-59 G.I NIPPLE 2"*2"</v>
          </cell>
          <cell r="D669" t="str">
            <v>60BAG/CTN</v>
          </cell>
          <cell r="E669">
            <v>34</v>
          </cell>
          <cell r="F669"/>
          <cell r="G669"/>
        </row>
        <row r="670">
          <cell r="C670" t="str">
            <v>PL22070-60 G.I NIPPLE 2"x 3"</v>
          </cell>
          <cell r="D670" t="str">
            <v>50BAG/CTN</v>
          </cell>
          <cell r="E670">
            <v>40.799999999999997</v>
          </cell>
          <cell r="F670"/>
          <cell r="G670"/>
        </row>
        <row r="671">
          <cell r="C671" t="str">
            <v>PL22070-61 G.I NIPPLE 2"*4"</v>
          </cell>
          <cell r="D671" t="str">
            <v>36BAG/CTN</v>
          </cell>
          <cell r="E671">
            <v>53</v>
          </cell>
          <cell r="F671"/>
          <cell r="G671"/>
        </row>
        <row r="672">
          <cell r="C672" t="str">
            <v>PL22070-62 G.I NIPPLE 2"x 5"</v>
          </cell>
          <cell r="D672" t="str">
            <v>30BAG/CTN</v>
          </cell>
          <cell r="E672">
            <v>67.2</v>
          </cell>
          <cell r="F672"/>
          <cell r="G672"/>
        </row>
        <row r="673">
          <cell r="C673" t="str">
            <v>PL2270-63 G.I NIPPLE 2"*6"</v>
          </cell>
          <cell r="D673" t="str">
            <v>24BAG/CTN</v>
          </cell>
          <cell r="E673">
            <v>86</v>
          </cell>
          <cell r="F673"/>
          <cell r="G673"/>
        </row>
        <row r="674">
          <cell r="C674" t="str">
            <v>PL22070-65 G.I NIPPLE 2"*8"</v>
          </cell>
          <cell r="D674" t="str">
            <v>18BAG/CTN</v>
          </cell>
          <cell r="E674">
            <v>109.6</v>
          </cell>
          <cell r="F674"/>
          <cell r="G674"/>
        </row>
        <row r="675">
          <cell r="C675" t="str">
            <v>PL22070-67 G.I NIPPLE 2"*10"</v>
          </cell>
          <cell r="D675" t="str">
            <v>12BAG/CTN</v>
          </cell>
          <cell r="E675">
            <v>132.19999999999999</v>
          </cell>
          <cell r="F675"/>
          <cell r="G675"/>
        </row>
        <row r="676">
          <cell r="C676" t="str">
            <v>PL22070-68 G.I NIPPLE 2"x 12"</v>
          </cell>
          <cell r="D676" t="str">
            <v>12BAG/CTN</v>
          </cell>
          <cell r="E676"/>
          <cell r="F676"/>
          <cell r="G676"/>
        </row>
        <row r="677">
          <cell r="C677"/>
          <cell r="D677"/>
          <cell r="E677"/>
          <cell r="F677"/>
          <cell r="G677"/>
        </row>
        <row r="678">
          <cell r="C678"/>
          <cell r="D678"/>
          <cell r="E678"/>
          <cell r="F678"/>
          <cell r="G678"/>
        </row>
        <row r="679">
          <cell r="C679"/>
          <cell r="D679" t="str">
            <v>DESCRIPTION</v>
          </cell>
          <cell r="E679" t="str">
            <v>PRICE</v>
          </cell>
          <cell r="F679" t="str">
            <v>VOLUME LESS</v>
          </cell>
          <cell r="G679" t="str">
            <v>REGULAR
LESS</v>
          </cell>
        </row>
        <row r="680">
          <cell r="C680"/>
          <cell r="D680"/>
          <cell r="E680"/>
          <cell r="F680"/>
          <cell r="G680"/>
        </row>
        <row r="681">
          <cell r="C681" t="str">
            <v>PL22071-005 G.I BUSHING 3/4''*1/2''</v>
          </cell>
          <cell r="D681" t="str">
            <v>600PCS/BAG</v>
          </cell>
          <cell r="E681">
            <v>28.9</v>
          </cell>
          <cell r="F681" t="str">
            <v>LESS 10%</v>
          </cell>
          <cell r="G681"/>
        </row>
        <row r="682">
          <cell r="C682" t="str">
            <v>PL22071-006 GI BUSHING 1*1/4“</v>
          </cell>
          <cell r="D682" t="str">
            <v>300PCS/BAG</v>
          </cell>
          <cell r="E682"/>
          <cell r="F682"/>
          <cell r="G682"/>
        </row>
        <row r="683">
          <cell r="C683" t="str">
            <v>PL22071-007 GI BUSHING 1*3/8“</v>
          </cell>
          <cell r="D683" t="str">
            <v>300PCS/BAG</v>
          </cell>
          <cell r="E683"/>
          <cell r="F683"/>
          <cell r="G683"/>
        </row>
        <row r="684">
          <cell r="C684" t="str">
            <v>PL22071-008 GI BUSHING 1"*1/2"</v>
          </cell>
          <cell r="D684" t="str">
            <v>400PCS/BAG</v>
          </cell>
          <cell r="E684">
            <v>41.6</v>
          </cell>
          <cell r="F684"/>
          <cell r="G684"/>
        </row>
        <row r="685">
          <cell r="C685" t="str">
            <v>PL22071-009 GI BUSHING 1"*3/4"</v>
          </cell>
          <cell r="D685" t="str">
            <v>400PCS/BAG</v>
          </cell>
          <cell r="E685">
            <v>41.6</v>
          </cell>
          <cell r="F685"/>
          <cell r="G685"/>
        </row>
        <row r="686">
          <cell r="C686" t="str">
            <v>PL22071-010 GI BUSHING 1-1/4"*1/2"</v>
          </cell>
          <cell r="D686" t="str">
            <v>180PCS/BAG</v>
          </cell>
          <cell r="E686">
            <v>70.11</v>
          </cell>
          <cell r="F686"/>
          <cell r="G686"/>
        </row>
        <row r="687">
          <cell r="C687" t="str">
            <v>PL22071-011 GI BUSHING 1-1/4"*3/4"</v>
          </cell>
          <cell r="D687" t="str">
            <v>180PCS/BAG</v>
          </cell>
          <cell r="E687">
            <v>70.11</v>
          </cell>
          <cell r="F687"/>
          <cell r="G687"/>
        </row>
        <row r="688">
          <cell r="C688" t="str">
            <v>PL22071-012 GI BUSHING 1-1/4"*1"</v>
          </cell>
          <cell r="D688" t="str">
            <v>180PCS/BAG</v>
          </cell>
          <cell r="E688">
            <v>70.11</v>
          </cell>
          <cell r="F688"/>
          <cell r="G688"/>
        </row>
        <row r="689">
          <cell r="C689" t="str">
            <v>PL22071-013 G.I BUSHING 1-1/2''*1/2</v>
          </cell>
          <cell r="D689" t="str">
            <v>140PCS/BAG</v>
          </cell>
          <cell r="E689">
            <v>83.27</v>
          </cell>
          <cell r="F689"/>
          <cell r="G689"/>
        </row>
        <row r="690">
          <cell r="C690" t="str">
            <v>PL22071-014 G.I BUSHING 1-1/2''*3/4</v>
          </cell>
          <cell r="D690" t="str">
            <v>140PCS/BAG</v>
          </cell>
          <cell r="E690">
            <v>83.27</v>
          </cell>
          <cell r="F690"/>
          <cell r="G690"/>
        </row>
        <row r="691">
          <cell r="C691" t="str">
            <v>PL22071-015 G.I BUSHING 1-1/2''*1''</v>
          </cell>
          <cell r="D691" t="str">
            <v>140PCS/BAG</v>
          </cell>
          <cell r="E691">
            <v>83.27</v>
          </cell>
          <cell r="F691"/>
          <cell r="G691"/>
        </row>
        <row r="692">
          <cell r="C692" t="str">
            <v>PL22071-016 G.I BUSHING 1-1/2''*1-1/4</v>
          </cell>
          <cell r="D692" t="str">
            <v>140PCS/BAG</v>
          </cell>
          <cell r="E692">
            <v>83.27</v>
          </cell>
          <cell r="F692"/>
          <cell r="G692"/>
        </row>
        <row r="693">
          <cell r="C693" t="str">
            <v>PL22071-017 G.I BUSHING 2''*1/2</v>
          </cell>
          <cell r="D693" t="str">
            <v>80PCS/BAG</v>
          </cell>
          <cell r="E693">
            <v>138.5</v>
          </cell>
          <cell r="F693"/>
          <cell r="G693"/>
        </row>
        <row r="694">
          <cell r="C694" t="str">
            <v>PL22071-018 G.I BUSHING 2''*3/4''</v>
          </cell>
          <cell r="D694" t="str">
            <v>80PCS/BAG</v>
          </cell>
          <cell r="E694">
            <v>138.5</v>
          </cell>
          <cell r="F694"/>
          <cell r="G694"/>
        </row>
        <row r="695">
          <cell r="C695" t="str">
            <v>PL22071-019 G.I BUSHING 2''*1''</v>
          </cell>
          <cell r="D695" t="str">
            <v>80PCS/BAG</v>
          </cell>
          <cell r="E695">
            <v>138.5</v>
          </cell>
          <cell r="F695"/>
          <cell r="G695"/>
        </row>
        <row r="696">
          <cell r="C696" t="str">
            <v>PL22071-020 G.I BUSHING 2''*1-1/4''</v>
          </cell>
          <cell r="D696" t="str">
            <v>80PCS/BAG</v>
          </cell>
          <cell r="E696">
            <v>138.5</v>
          </cell>
          <cell r="F696"/>
          <cell r="G696"/>
        </row>
        <row r="697">
          <cell r="C697" t="str">
            <v>PL22071-021 G.I BUSHING 2''*1-1/2</v>
          </cell>
          <cell r="D697" t="str">
            <v>80PCS/BAG</v>
          </cell>
          <cell r="E697">
            <v>138.5</v>
          </cell>
          <cell r="F697"/>
          <cell r="G697"/>
        </row>
        <row r="698">
          <cell r="C698"/>
          <cell r="D698"/>
          <cell r="E698"/>
          <cell r="F698"/>
          <cell r="G698"/>
        </row>
        <row r="699">
          <cell r="C699" t="str">
            <v>PL22071-022 G.I CAP 1/2''</v>
          </cell>
          <cell r="D699" t="str">
            <v>600PCS/BAG</v>
          </cell>
          <cell r="E699">
            <v>24.75</v>
          </cell>
          <cell r="F699" t="str">
            <v>LESS 10%</v>
          </cell>
          <cell r="G699"/>
        </row>
        <row r="700">
          <cell r="C700" t="str">
            <v>PL22071-023 G.I CAP 3/4''</v>
          </cell>
          <cell r="D700" t="str">
            <v>350PCS/BAG</v>
          </cell>
          <cell r="E700">
            <v>33.75</v>
          </cell>
          <cell r="F700"/>
          <cell r="G700"/>
        </row>
        <row r="701">
          <cell r="C701" t="str">
            <v>PL22071-024 G.I CAP 1''</v>
          </cell>
          <cell r="D701" t="str">
            <v>240PCS/BAG</v>
          </cell>
          <cell r="E701">
            <v>48.5</v>
          </cell>
          <cell r="F701"/>
          <cell r="G701"/>
        </row>
        <row r="702">
          <cell r="C702" t="str">
            <v>PL22071-025 G.I CAP 1-1/4</v>
          </cell>
          <cell r="D702" t="str">
            <v>140PCS/BAG</v>
          </cell>
          <cell r="E702">
            <v>74.25</v>
          </cell>
          <cell r="F702"/>
          <cell r="G702"/>
        </row>
        <row r="703">
          <cell r="C703" t="str">
            <v>PL22071-026 G.I CAP 1-1/2''</v>
          </cell>
          <cell r="D703" t="str">
            <v>120PCS/BAG</v>
          </cell>
          <cell r="E703">
            <v>96.75</v>
          </cell>
          <cell r="F703"/>
          <cell r="G703"/>
        </row>
        <row r="704">
          <cell r="C704" t="str">
            <v>PL22071-027 G.I CAP 2''</v>
          </cell>
          <cell r="D704" t="str">
            <v>90PCS/BAG</v>
          </cell>
          <cell r="E704">
            <v>130.5</v>
          </cell>
          <cell r="F704"/>
          <cell r="G704"/>
        </row>
        <row r="705">
          <cell r="C705"/>
          <cell r="D705"/>
          <cell r="E705"/>
          <cell r="F705"/>
          <cell r="G705"/>
        </row>
        <row r="706">
          <cell r="C706" t="str">
            <v>PL22071-030 GI COUPLING 1/2''</v>
          </cell>
          <cell r="D706" t="str">
            <v>400PCS/BAG</v>
          </cell>
          <cell r="E706">
            <v>23.75</v>
          </cell>
          <cell r="F706" t="str">
            <v>LESS 10%</v>
          </cell>
          <cell r="G706"/>
        </row>
        <row r="707">
          <cell r="C707" t="str">
            <v>PL22071-031 GI COUPLING 3/4''</v>
          </cell>
          <cell r="D707" t="str">
            <v>250PCS/BAG</v>
          </cell>
          <cell r="E707">
            <v>30.5</v>
          </cell>
          <cell r="F707"/>
          <cell r="G707"/>
        </row>
        <row r="708">
          <cell r="C708" t="str">
            <v>PL22071-032 G.I COUPLING 1''</v>
          </cell>
          <cell r="D708" t="str">
            <v>150PCS/BAG</v>
          </cell>
          <cell r="E708">
            <v>50.75</v>
          </cell>
          <cell r="F708"/>
          <cell r="G708"/>
        </row>
        <row r="709">
          <cell r="C709" t="str">
            <v>PL22071-033 G.I COUPLING 1-1/4''</v>
          </cell>
          <cell r="D709" t="str">
            <v>100PCS/BAG</v>
          </cell>
          <cell r="E709">
            <v>72</v>
          </cell>
          <cell r="F709"/>
          <cell r="G709"/>
        </row>
        <row r="710">
          <cell r="C710" t="str">
            <v>PL22071-034 G.I COUPLING 1-1/2''</v>
          </cell>
          <cell r="D710" t="str">
            <v>80PCS/BAG</v>
          </cell>
          <cell r="E710">
            <v>87</v>
          </cell>
          <cell r="F710"/>
          <cell r="G710"/>
        </row>
        <row r="711">
          <cell r="C711" t="str">
            <v>PL22071-035 G.I COUPLING 2''</v>
          </cell>
          <cell r="D711" t="str">
            <v>50PCS/BAG</v>
          </cell>
          <cell r="E711">
            <v>137.25</v>
          </cell>
          <cell r="F711"/>
          <cell r="G711"/>
        </row>
        <row r="712">
          <cell r="C712"/>
          <cell r="D712"/>
          <cell r="E712"/>
          <cell r="F712"/>
          <cell r="G712"/>
        </row>
        <row r="713">
          <cell r="C713" t="str">
            <v>PL22071-043 GI COUPLING REDUCER 3/4"*1/2"</v>
          </cell>
          <cell r="D713" t="str">
            <v>270PCS/BAG</v>
          </cell>
          <cell r="E713">
            <v>40.1</v>
          </cell>
          <cell r="F713" t="str">
            <v>LESS 10%</v>
          </cell>
          <cell r="G713"/>
        </row>
        <row r="714">
          <cell r="C714" t="str">
            <v>PL22071-046 GI COUPLING REDUCER 1"*1/2"</v>
          </cell>
          <cell r="D714" t="str">
            <v>170PCS/BAG</v>
          </cell>
          <cell r="E714">
            <v>54.25</v>
          </cell>
          <cell r="F714"/>
          <cell r="G714"/>
        </row>
        <row r="715">
          <cell r="C715" t="str">
            <v>PL22071-047 GI COUPLING REDUCER 1"*3/4"</v>
          </cell>
          <cell r="D715" t="str">
            <v>170PCS/BAG</v>
          </cell>
          <cell r="E715">
            <v>54.25</v>
          </cell>
          <cell r="F715"/>
          <cell r="G715"/>
        </row>
        <row r="716">
          <cell r="C716" t="str">
            <v>PL22071-048 GI COUPLING REDUCER 1-1/4"*1/2"</v>
          </cell>
          <cell r="D716" t="str">
            <v>130PCS/BAG</v>
          </cell>
          <cell r="E716">
            <v>80.75</v>
          </cell>
          <cell r="F716"/>
          <cell r="G716"/>
        </row>
        <row r="717">
          <cell r="C717"/>
          <cell r="D717"/>
          <cell r="E717"/>
          <cell r="F717"/>
          <cell r="G717"/>
        </row>
        <row r="718">
          <cell r="C718"/>
          <cell r="D718" t="str">
            <v>DESCRIPTION</v>
          </cell>
          <cell r="E718" t="str">
            <v>PRICE</v>
          </cell>
          <cell r="F718" t="str">
            <v>VOLUME LESS</v>
          </cell>
          <cell r="G718" t="str">
            <v>REGULAR
LESS</v>
          </cell>
        </row>
        <row r="719">
          <cell r="C719" t="str">
            <v>PL22071-049 GI COUPLING REDUCER 1-1/4"*3/4"</v>
          </cell>
          <cell r="D719" t="str">
            <v>130PCS/BAG</v>
          </cell>
          <cell r="E719">
            <v>80.75</v>
          </cell>
          <cell r="F719" t="str">
            <v>LESS 10%</v>
          </cell>
          <cell r="G719"/>
        </row>
        <row r="720">
          <cell r="C720" t="str">
            <v>PL22071-050 GI COUPLING REDUCER 1-1/4"*1"</v>
          </cell>
          <cell r="D720" t="str">
            <v>130PCS/BAG</v>
          </cell>
          <cell r="E720">
            <v>80.75</v>
          </cell>
          <cell r="F720"/>
          <cell r="G720"/>
        </row>
        <row r="721">
          <cell r="C721" t="str">
            <v>PL22071-051 GI COUPLING REDUCER 1-1/2"*1/2"</v>
          </cell>
          <cell r="D721" t="str">
            <v>90PCS/BAG</v>
          </cell>
          <cell r="E721">
            <v>103.25</v>
          </cell>
          <cell r="F721"/>
          <cell r="G721"/>
        </row>
        <row r="722">
          <cell r="C722" t="str">
            <v>PL22071-052 GI COUPLING REDUCER 1-1/2"*3/4"</v>
          </cell>
          <cell r="D722" t="str">
            <v>90PCS/BAG</v>
          </cell>
          <cell r="E722">
            <v>103.25</v>
          </cell>
          <cell r="F722"/>
          <cell r="G722"/>
        </row>
        <row r="723">
          <cell r="C723" t="str">
            <v>PL22071-053 GI COUPLING REDUCER 1-1/2"*1"</v>
          </cell>
          <cell r="D723" t="str">
            <v>90PCS/BAG</v>
          </cell>
          <cell r="E723">
            <v>103.25</v>
          </cell>
          <cell r="F723"/>
          <cell r="G723"/>
        </row>
        <row r="724">
          <cell r="C724" t="str">
            <v>PL22071-054 GI COUPLING REDUCER 1-1/2"*1-1/4"</v>
          </cell>
          <cell r="D724" t="str">
            <v>80PCS/BAG</v>
          </cell>
          <cell r="E724">
            <v>103.25</v>
          </cell>
          <cell r="F724"/>
          <cell r="G724"/>
        </row>
        <row r="725">
          <cell r="C725" t="str">
            <v>PL22071-055 GI COUPLING REDUCER 2"*1/2"</v>
          </cell>
          <cell r="D725" t="str">
            <v>55PCS/BAG</v>
          </cell>
          <cell r="E725">
            <v>150</v>
          </cell>
          <cell r="F725"/>
          <cell r="G725"/>
        </row>
        <row r="726">
          <cell r="C726" t="str">
            <v>PL22071-056 GI COUPLING REDUCER 2"*3/4"</v>
          </cell>
          <cell r="D726" t="str">
            <v>55PCS/BAG</v>
          </cell>
          <cell r="E726">
            <v>150</v>
          </cell>
          <cell r="F726"/>
          <cell r="G726"/>
        </row>
        <row r="727">
          <cell r="C727" t="str">
            <v>PL22071-057 GI COUPLING REDUCER 2"*1"</v>
          </cell>
          <cell r="D727" t="str">
            <v>55PCS/BAG</v>
          </cell>
          <cell r="E727">
            <v>150</v>
          </cell>
          <cell r="F727"/>
          <cell r="G727"/>
        </row>
        <row r="728">
          <cell r="C728" t="str">
            <v>PL22071-058 GI COUPLING REDUCER 2"*1-1/4"</v>
          </cell>
          <cell r="D728" t="str">
            <v>50PCS/BAG</v>
          </cell>
          <cell r="E728">
            <v>150</v>
          </cell>
          <cell r="F728"/>
          <cell r="G728"/>
        </row>
        <row r="729">
          <cell r="C729" t="str">
            <v>PL22071-059 GI COUPLING REDUCER 2"*1-1/2"</v>
          </cell>
          <cell r="D729" t="str">
            <v>50PCS/BAG</v>
          </cell>
          <cell r="E729">
            <v>150</v>
          </cell>
          <cell r="F729"/>
          <cell r="G729"/>
        </row>
        <row r="730">
          <cell r="C730"/>
          <cell r="D730"/>
          <cell r="E730"/>
          <cell r="F730"/>
          <cell r="G730"/>
        </row>
        <row r="731">
          <cell r="C731" t="str">
            <v>PL22071-062 GI ELBOW 1/2"</v>
          </cell>
          <cell r="D731" t="str">
            <v>300PCS/BAG</v>
          </cell>
          <cell r="E731">
            <v>30.5</v>
          </cell>
          <cell r="F731" t="str">
            <v>LESS 10%</v>
          </cell>
          <cell r="G731"/>
        </row>
        <row r="732">
          <cell r="C732" t="str">
            <v>PL22071-063 GI ELBOW 3/4"</v>
          </cell>
          <cell r="D732" t="str">
            <v>200PCS/BAG</v>
          </cell>
          <cell r="E732">
            <v>44.75</v>
          </cell>
          <cell r="F732"/>
          <cell r="G732"/>
        </row>
        <row r="733">
          <cell r="C733" t="str">
            <v>PL22071-064 GI ELBOW 1"</v>
          </cell>
          <cell r="D733" t="str">
            <v>120PCS/BAG</v>
          </cell>
          <cell r="E733">
            <v>66.5</v>
          </cell>
          <cell r="F733"/>
          <cell r="G733"/>
        </row>
        <row r="734">
          <cell r="C734" t="str">
            <v>PL22071-065 GI ELBOW 1-1/4"</v>
          </cell>
          <cell r="D734" t="str">
            <v>70PCS/BAG</v>
          </cell>
          <cell r="E734">
            <v>99.75</v>
          </cell>
          <cell r="F734"/>
          <cell r="G734"/>
        </row>
        <row r="735">
          <cell r="C735" t="str">
            <v>PL22071-066 GI ELBOW 1-1/2"</v>
          </cell>
          <cell r="D735" t="str">
            <v>50PCS/BAG</v>
          </cell>
          <cell r="E735">
            <v>132.75</v>
          </cell>
          <cell r="F735"/>
          <cell r="G735"/>
        </row>
        <row r="736">
          <cell r="C736" t="str">
            <v>PL22071-067 GI ELBOW 2"</v>
          </cell>
          <cell r="D736" t="str">
            <v>30PCS/BAG</v>
          </cell>
          <cell r="E736">
            <v>200.25</v>
          </cell>
          <cell r="F736"/>
          <cell r="G736"/>
        </row>
        <row r="737">
          <cell r="C737"/>
          <cell r="D737"/>
          <cell r="E737"/>
          <cell r="F737"/>
          <cell r="G737"/>
        </row>
        <row r="738">
          <cell r="C738" t="str">
            <v>PL22071-071 GI ELBOW REDUCER 3/4"*1/2"</v>
          </cell>
          <cell r="D738" t="str">
            <v>220PCS/BAG</v>
          </cell>
          <cell r="E738">
            <v>48.25</v>
          </cell>
          <cell r="F738" t="str">
            <v>LESS 10%</v>
          </cell>
          <cell r="G738"/>
        </row>
        <row r="739">
          <cell r="C739" t="str">
            <v>PL22071-072 GI ELBOW REDUCER 1"*1/2"</v>
          </cell>
          <cell r="D739" t="str">
            <v>140PCS/BAG</v>
          </cell>
          <cell r="E739">
            <v>76.5</v>
          </cell>
          <cell r="F739"/>
          <cell r="G739"/>
        </row>
        <row r="740">
          <cell r="C740" t="str">
            <v>PL22071-073 GI ELBOW REDUCER 1"*3/4"</v>
          </cell>
          <cell r="D740" t="str">
            <v>140PCS/BAG</v>
          </cell>
          <cell r="E740">
            <v>76.5</v>
          </cell>
          <cell r="F740"/>
          <cell r="G740"/>
        </row>
        <row r="741">
          <cell r="C741" t="str">
            <v>PL22071-074 GI ELBOW REDUCER 1-1/4"*1/2"</v>
          </cell>
          <cell r="D741" t="str">
            <v>100PCS/BAG</v>
          </cell>
          <cell r="E741">
            <v>143.5</v>
          </cell>
          <cell r="F741"/>
          <cell r="G741"/>
        </row>
        <row r="742">
          <cell r="C742" t="str">
            <v>PL22071-075 GI ELBOW REDUCER 1-1/4"*3/4"</v>
          </cell>
          <cell r="D742" t="str">
            <v>100PCS/BAG</v>
          </cell>
          <cell r="E742">
            <v>143.5</v>
          </cell>
          <cell r="F742"/>
          <cell r="G742"/>
        </row>
        <row r="743">
          <cell r="C743"/>
          <cell r="D743"/>
          <cell r="E743"/>
          <cell r="F743"/>
          <cell r="G743"/>
        </row>
        <row r="744">
          <cell r="C744"/>
          <cell r="D744" t="str">
            <v>DESCRIPTION</v>
          </cell>
          <cell r="E744" t="str">
            <v>PRICE</v>
          </cell>
          <cell r="F744" t="str">
            <v>VOLUME LESS</v>
          </cell>
          <cell r="G744" t="str">
            <v>REGULAR
LESS</v>
          </cell>
        </row>
        <row r="745">
          <cell r="C745" t="str">
            <v>PL22071-076 GI ELBOW REDUCER 1-1/4"*1"</v>
          </cell>
          <cell r="D745" t="str">
            <v>100PCS/BAG</v>
          </cell>
          <cell r="E745">
            <v>143.5</v>
          </cell>
          <cell r="F745" t="str">
            <v>LESS 10%</v>
          </cell>
          <cell r="G745"/>
        </row>
        <row r="746">
          <cell r="C746" t="str">
            <v>PL22071-077 GI ELBOW REDUCER 1-1/2"*1/2"</v>
          </cell>
          <cell r="D746" t="str">
            <v>70PCS/BAG</v>
          </cell>
          <cell r="E746">
            <v>185</v>
          </cell>
          <cell r="F746"/>
          <cell r="G746"/>
        </row>
        <row r="747">
          <cell r="C747" t="str">
            <v>PL22071-078 GI ELBOW REDUCER 1-1/2"*3/4"</v>
          </cell>
          <cell r="D747" t="str">
            <v>70PCS/BAG</v>
          </cell>
          <cell r="E747">
            <v>185</v>
          </cell>
          <cell r="F747"/>
          <cell r="G747"/>
        </row>
        <row r="748">
          <cell r="C748" t="str">
            <v>PL22071-079 GI ELBOW REDUCER 1-1/2"*1"</v>
          </cell>
          <cell r="D748" t="str">
            <v>70PCS/BAG</v>
          </cell>
          <cell r="E748">
            <v>185</v>
          </cell>
          <cell r="F748"/>
          <cell r="G748"/>
        </row>
        <row r="749">
          <cell r="C749" t="str">
            <v>PL22071-080 GI ELBOW REDUCER 1-1/2"*1-1/4"</v>
          </cell>
          <cell r="D749" t="str">
            <v>60PCS/BAG</v>
          </cell>
          <cell r="E749">
            <v>185</v>
          </cell>
          <cell r="F749"/>
          <cell r="G749"/>
        </row>
        <row r="750">
          <cell r="C750" t="str">
            <v>PL22071-081GI ELBOW REDUCER 2"*1/2"</v>
          </cell>
          <cell r="D750" t="str">
            <v>45PCS/BAG</v>
          </cell>
          <cell r="E750">
            <v>261.5</v>
          </cell>
          <cell r="F750"/>
          <cell r="G750"/>
        </row>
        <row r="751">
          <cell r="C751" t="str">
            <v>PL22071-082 GI ELBOW REDUCER 2"*3/4"</v>
          </cell>
          <cell r="D751" t="str">
            <v>45PCS/BAG</v>
          </cell>
          <cell r="E751">
            <v>261.5</v>
          </cell>
          <cell r="F751"/>
          <cell r="G751"/>
        </row>
        <row r="752">
          <cell r="C752" t="str">
            <v>PL22071-084 GI ELBOW REDUCER 2"*1-1/4"</v>
          </cell>
          <cell r="D752" t="str">
            <v>40PCS/BAG</v>
          </cell>
          <cell r="E752">
            <v>261.5</v>
          </cell>
          <cell r="F752"/>
          <cell r="G752"/>
        </row>
        <row r="753">
          <cell r="C753" t="str">
            <v>PL22071-085 GI ELBOW REDUCER 2"*1-1/2"</v>
          </cell>
          <cell r="D753" t="str">
            <v>40PCS/BAG</v>
          </cell>
          <cell r="E753">
            <v>261.5</v>
          </cell>
          <cell r="F753"/>
          <cell r="G753"/>
        </row>
        <row r="754">
          <cell r="C754"/>
          <cell r="D754"/>
          <cell r="E754"/>
          <cell r="F754"/>
          <cell r="G754"/>
        </row>
        <row r="755">
          <cell r="C755" t="str">
            <v>PL22071-086 GI PLUG 1/2"</v>
          </cell>
          <cell r="D755" t="str">
            <v>1000PCS/BAG</v>
          </cell>
          <cell r="E755">
            <v>20.25</v>
          </cell>
          <cell r="F755" t="str">
            <v>LESS 10%</v>
          </cell>
          <cell r="G755"/>
        </row>
        <row r="756">
          <cell r="C756" t="str">
            <v>PL22071-087 GI PLUG 3/4"</v>
          </cell>
          <cell r="D756" t="str">
            <v>600PCS/BAG</v>
          </cell>
          <cell r="E756">
            <v>25.25</v>
          </cell>
          <cell r="F756"/>
          <cell r="G756"/>
        </row>
        <row r="757">
          <cell r="C757" t="str">
            <v>PL22071-088 GI PLUG 1"</v>
          </cell>
          <cell r="D757" t="str">
            <v>400PCS/BAG</v>
          </cell>
          <cell r="E757">
            <v>35</v>
          </cell>
          <cell r="F757"/>
          <cell r="G757"/>
        </row>
        <row r="758">
          <cell r="C758" t="str">
            <v>PL22071-089 GI PLUG 1-1/4"</v>
          </cell>
          <cell r="D758" t="str">
            <v>200PCS/BAG</v>
          </cell>
          <cell r="E758">
            <v>53</v>
          </cell>
          <cell r="F758"/>
          <cell r="G758"/>
        </row>
        <row r="759">
          <cell r="C759" t="str">
            <v>PL22071-090 G.I PlUG 1-1/2"</v>
          </cell>
          <cell r="D759" t="str">
            <v>150PCS/BAG</v>
          </cell>
          <cell r="E759">
            <v>63</v>
          </cell>
          <cell r="F759"/>
          <cell r="G759"/>
        </row>
        <row r="760">
          <cell r="C760" t="str">
            <v>PL22071-091 GI PLUG 2"</v>
          </cell>
          <cell r="D760" t="str">
            <v>80PCS/BAG</v>
          </cell>
          <cell r="E760">
            <v>87</v>
          </cell>
          <cell r="F760"/>
          <cell r="G760"/>
        </row>
        <row r="761">
          <cell r="C761"/>
          <cell r="D761"/>
          <cell r="E761"/>
          <cell r="F761"/>
          <cell r="G761"/>
        </row>
        <row r="762">
          <cell r="C762" t="str">
            <v>PL22071-093 GI ST. ELBOW 1/2"</v>
          </cell>
          <cell r="D762" t="str">
            <v>300PCS/BAG</v>
          </cell>
          <cell r="E762">
            <v>33.75</v>
          </cell>
          <cell r="F762" t="str">
            <v>LESS 10%</v>
          </cell>
          <cell r="G762"/>
        </row>
        <row r="763">
          <cell r="C763" t="str">
            <v>PL22071-094 GI ST. ELBOW 3/4"</v>
          </cell>
          <cell r="D763" t="str">
            <v>200PCS/BAG</v>
          </cell>
          <cell r="E763">
            <v>48.5</v>
          </cell>
          <cell r="F763"/>
          <cell r="G763"/>
        </row>
        <row r="764">
          <cell r="C764" t="str">
            <v>PL22071-095 GI ST. ELBOW 1"</v>
          </cell>
          <cell r="D764" t="str">
            <v>120PCS/BAG</v>
          </cell>
          <cell r="E764">
            <v>77.25</v>
          </cell>
          <cell r="F764"/>
          <cell r="G764"/>
        </row>
        <row r="765">
          <cell r="C765" t="str">
            <v>PL22071-096 GI ST. ELBOW 1-1/4"</v>
          </cell>
          <cell r="D765" t="str">
            <v>70PCS/BAG</v>
          </cell>
          <cell r="E765">
            <v>142.5</v>
          </cell>
          <cell r="F765"/>
          <cell r="G765"/>
        </row>
        <row r="766">
          <cell r="C766" t="str">
            <v>PL22071-097 GI ST. ELBOW 1-1/2"</v>
          </cell>
          <cell r="D766" t="str">
            <v>50PCS/BAG</v>
          </cell>
          <cell r="E766">
            <v>165</v>
          </cell>
          <cell r="F766"/>
          <cell r="G766"/>
        </row>
        <row r="767">
          <cell r="C767" t="str">
            <v>PL22071-098 GI ST. ELBOW 2"</v>
          </cell>
          <cell r="D767" t="str">
            <v>30PCS/BAG</v>
          </cell>
          <cell r="E767">
            <v>250.5</v>
          </cell>
          <cell r="F767"/>
          <cell r="G767"/>
        </row>
        <row r="768">
          <cell r="C768"/>
          <cell r="D768"/>
          <cell r="E768"/>
          <cell r="F768"/>
          <cell r="G768"/>
        </row>
        <row r="769">
          <cell r="C769" t="str">
            <v>PL22071-101 GI TEE 1/2"</v>
          </cell>
          <cell r="D769" t="str">
            <v>200PCS/BAG</v>
          </cell>
          <cell r="E769">
            <v>39.5</v>
          </cell>
          <cell r="F769" t="str">
            <v>LESS 10%</v>
          </cell>
          <cell r="G769"/>
        </row>
        <row r="770">
          <cell r="C770" t="str">
            <v>PL22071-102 GI TEE 3/4"</v>
          </cell>
          <cell r="D770" t="str">
            <v>120PCS/BAG</v>
          </cell>
          <cell r="E770">
            <v>55.5</v>
          </cell>
          <cell r="F770"/>
          <cell r="G770"/>
        </row>
        <row r="771">
          <cell r="C771" t="str">
            <v>PL22071-103 GI TEE 1"</v>
          </cell>
          <cell r="D771" t="str">
            <v>80PCS/BAG</v>
          </cell>
          <cell r="E771">
            <v>87</v>
          </cell>
          <cell r="F771"/>
          <cell r="G771"/>
        </row>
        <row r="772">
          <cell r="C772" t="str">
            <v>PL22071-104 G.I TEE 1-1/4"</v>
          </cell>
          <cell r="D772" t="str">
            <v>50PCS/BAG</v>
          </cell>
          <cell r="E772">
            <v>139.5</v>
          </cell>
          <cell r="F772"/>
          <cell r="G772"/>
        </row>
        <row r="773">
          <cell r="C773" t="str">
            <v>PL22071-105 GI TEE 1-1/2"</v>
          </cell>
          <cell r="D773" t="str">
            <v>35PCS/BAG</v>
          </cell>
          <cell r="E773">
            <v>177</v>
          </cell>
          <cell r="F773"/>
          <cell r="G773"/>
        </row>
        <row r="774">
          <cell r="C774" t="str">
            <v>PL22071-106 G.I TEE 2"</v>
          </cell>
          <cell r="D774" t="str">
            <v>20PCS/BAG</v>
          </cell>
          <cell r="E774">
            <v>261</v>
          </cell>
          <cell r="F774"/>
          <cell r="G774"/>
        </row>
        <row r="775">
          <cell r="C775"/>
          <cell r="D775"/>
          <cell r="E775"/>
          <cell r="F775"/>
          <cell r="G775"/>
        </row>
        <row r="776">
          <cell r="C776"/>
          <cell r="D776"/>
          <cell r="E776"/>
          <cell r="F776"/>
          <cell r="G776"/>
        </row>
        <row r="777">
          <cell r="C777"/>
          <cell r="D777"/>
          <cell r="E777"/>
          <cell r="F777"/>
          <cell r="G777"/>
        </row>
        <row r="778">
          <cell r="C778"/>
          <cell r="D778"/>
          <cell r="E778"/>
          <cell r="F778"/>
          <cell r="G778"/>
        </row>
        <row r="779">
          <cell r="C779"/>
          <cell r="D779" t="str">
            <v>DESCRIPTION</v>
          </cell>
          <cell r="E779" t="str">
            <v>PRICE</v>
          </cell>
          <cell r="F779" t="str">
            <v>VOLUME LESS</v>
          </cell>
          <cell r="G779" t="str">
            <v>REGULAR
LESS</v>
          </cell>
        </row>
        <row r="780">
          <cell r="C780"/>
          <cell r="D780"/>
          <cell r="E780"/>
          <cell r="F780"/>
          <cell r="G780"/>
        </row>
        <row r="781">
          <cell r="C781" t="str">
            <v>PL22071-110 GI TEE REDUCER 3/4"*1/2"</v>
          </cell>
          <cell r="D781" t="str">
            <v>150PCS/BAG</v>
          </cell>
          <cell r="E781">
            <v>66.84</v>
          </cell>
          <cell r="F781" t="str">
            <v>LESS 10%</v>
          </cell>
          <cell r="G781"/>
        </row>
        <row r="782">
          <cell r="C782" t="str">
            <v>PL22071-111 GI TEE REDUCER 1"*1/2"</v>
          </cell>
          <cell r="D782" t="str">
            <v>90PCS/BAG</v>
          </cell>
          <cell r="E782">
            <v>105.45</v>
          </cell>
          <cell r="F782"/>
          <cell r="G782"/>
        </row>
        <row r="783">
          <cell r="C783" t="str">
            <v>PL22071-112 GI TEE REDUCER 1"*3/4"</v>
          </cell>
          <cell r="D783" t="str">
            <v>90PCS/BAG</v>
          </cell>
          <cell r="E783">
            <v>105.45</v>
          </cell>
          <cell r="F783"/>
          <cell r="G783"/>
        </row>
        <row r="784">
          <cell r="C784" t="str">
            <v>PL22071-113 GI TEE REDUCER 1-1/4"*1/2"</v>
          </cell>
          <cell r="D784" t="str">
            <v>60PCS/BAG</v>
          </cell>
          <cell r="E784">
            <v>159.5</v>
          </cell>
          <cell r="F784"/>
          <cell r="G784"/>
        </row>
        <row r="785">
          <cell r="C785" t="str">
            <v>PL22071-114 GI TEE REDUCER 1-1/4"*3/4"</v>
          </cell>
          <cell r="D785" t="str">
            <v>60PCS/BAG</v>
          </cell>
          <cell r="E785">
            <v>159.5</v>
          </cell>
          <cell r="F785"/>
          <cell r="G785"/>
        </row>
        <row r="786">
          <cell r="C786" t="str">
            <v>PL22071-115 GI TEE REDUCER 1-1/4"*1"</v>
          </cell>
          <cell r="D786" t="str">
            <v>55PCS/BAG</v>
          </cell>
          <cell r="E786">
            <v>159.5</v>
          </cell>
          <cell r="F786"/>
          <cell r="G786"/>
        </row>
        <row r="787">
          <cell r="C787" t="str">
            <v>PL22071-116 GI TEE REDUCER 1-1/2"*1/2"</v>
          </cell>
          <cell r="D787" t="str">
            <v>45PCS/BAG</v>
          </cell>
          <cell r="E787">
            <v>210.25</v>
          </cell>
          <cell r="F787"/>
          <cell r="G787"/>
        </row>
        <row r="788">
          <cell r="C788" t="str">
            <v>PL22071-117 GI TEE REDUCER 1-1/2"*3/4"</v>
          </cell>
          <cell r="D788" t="str">
            <v>45PCS/BAG</v>
          </cell>
          <cell r="E788">
            <v>210.25</v>
          </cell>
          <cell r="F788"/>
          <cell r="G788"/>
        </row>
        <row r="789">
          <cell r="C789" t="str">
            <v>PL22071-118 GI TEE REDUCER 1-1/2"*1"</v>
          </cell>
          <cell r="D789" t="str">
            <v>45PCS/BAG</v>
          </cell>
          <cell r="E789">
            <v>210.25</v>
          </cell>
          <cell r="F789"/>
          <cell r="G789"/>
        </row>
        <row r="790">
          <cell r="C790" t="str">
            <v>PL22071-119 GI TEE REDUCER 1-1/2"*1-1/4"</v>
          </cell>
          <cell r="D790" t="str">
            <v>35PCS/BAG</v>
          </cell>
          <cell r="E790">
            <v>210.25</v>
          </cell>
          <cell r="F790"/>
          <cell r="G790"/>
        </row>
        <row r="791">
          <cell r="C791" t="str">
            <v>PL22071-120 GI TEE REDUCER 2"*1/2"</v>
          </cell>
          <cell r="D791" t="str">
            <v>30PCS/BAG</v>
          </cell>
          <cell r="E791">
            <v>308.89999999999998</v>
          </cell>
          <cell r="F791"/>
          <cell r="G791"/>
        </row>
        <row r="792">
          <cell r="C792" t="str">
            <v>PL22071-121 GI TEE REDUCER 2"*3/4"</v>
          </cell>
          <cell r="D792" t="str">
            <v>30PCS/BAG</v>
          </cell>
          <cell r="E792">
            <v>308.89999999999998</v>
          </cell>
          <cell r="F792"/>
          <cell r="G792"/>
        </row>
        <row r="793">
          <cell r="C793" t="str">
            <v>PL22071-122 GI TEE REDUCER 2"*1"</v>
          </cell>
          <cell r="D793" t="str">
            <v>30PCS/BAG</v>
          </cell>
          <cell r="E793">
            <v>308.89999999999998</v>
          </cell>
          <cell r="F793"/>
          <cell r="G793"/>
        </row>
        <row r="794">
          <cell r="C794" t="str">
            <v>PL22071-123 GI TEE REDUCER 2"*1-1/4"</v>
          </cell>
          <cell r="D794" t="str">
            <v>25PCS/BAG</v>
          </cell>
          <cell r="E794">
            <v>308.89999999999998</v>
          </cell>
          <cell r="F794"/>
          <cell r="G794"/>
        </row>
        <row r="795">
          <cell r="C795" t="str">
            <v>PL22071-124 GI TEE REDUCER 2"*1-1/2"</v>
          </cell>
          <cell r="D795" t="str">
            <v>25PCS/BAG</v>
          </cell>
          <cell r="E795">
            <v>308.89999999999998</v>
          </cell>
          <cell r="F795"/>
          <cell r="G795"/>
        </row>
        <row r="796">
          <cell r="C796"/>
          <cell r="D796"/>
          <cell r="E796"/>
          <cell r="F796"/>
          <cell r="G796"/>
        </row>
        <row r="797">
          <cell r="C797" t="str">
            <v>PL22071-125 GI UNION PATENTE 1/2"</v>
          </cell>
          <cell r="D797" t="str">
            <v>150PCS/BAG</v>
          </cell>
          <cell r="E797">
            <v>96.75</v>
          </cell>
          <cell r="F797" t="str">
            <v>LESS 10%</v>
          </cell>
          <cell r="G797"/>
        </row>
        <row r="798">
          <cell r="C798" t="str">
            <v>PL22071-126 GI UNION PATENTE 3/4"</v>
          </cell>
          <cell r="D798" t="str">
            <v>100PCS/BAG</v>
          </cell>
          <cell r="E798">
            <v>118.75</v>
          </cell>
          <cell r="F798"/>
          <cell r="G798"/>
        </row>
        <row r="799">
          <cell r="C799" t="str">
            <v>PL22071-127 GI UNION PATENTE 1"</v>
          </cell>
          <cell r="D799" t="str">
            <v>70PCS/BAG</v>
          </cell>
          <cell r="E799">
            <v>144.75</v>
          </cell>
          <cell r="F799"/>
          <cell r="G799"/>
        </row>
        <row r="800">
          <cell r="C800" t="str">
            <v>PL22071-128 GI UNION PATENTE 1-1/4"</v>
          </cell>
          <cell r="D800" t="str">
            <v>40PCS/BAG</v>
          </cell>
          <cell r="E800">
            <v>206</v>
          </cell>
          <cell r="F800"/>
          <cell r="G800"/>
        </row>
        <row r="801">
          <cell r="C801" t="str">
            <v>PL22071-129 GI UNION PATENTE 1-1/2"</v>
          </cell>
          <cell r="D801" t="str">
            <v>35PCS/BAG</v>
          </cell>
          <cell r="E801">
            <v>273.5</v>
          </cell>
          <cell r="F801"/>
          <cell r="G801"/>
        </row>
        <row r="802">
          <cell r="C802" t="str">
            <v>PL22071-130 GI UNION PATENTE 2"</v>
          </cell>
          <cell r="D802" t="str">
            <v>25PCS/BAG</v>
          </cell>
          <cell r="E802">
            <v>408.5</v>
          </cell>
          <cell r="F802"/>
          <cell r="G802"/>
        </row>
        <row r="803">
          <cell r="C803" t="str">
            <v>PL22071- 131 GI UNION PATENTE 2-1/2"</v>
          </cell>
          <cell r="D803" t="str">
            <v>12PCS/BAG</v>
          </cell>
          <cell r="E803">
            <v>771.75</v>
          </cell>
          <cell r="F803"/>
          <cell r="G803"/>
        </row>
        <row r="804">
          <cell r="C804"/>
          <cell r="D804"/>
          <cell r="E804"/>
          <cell r="F804"/>
          <cell r="G804"/>
        </row>
        <row r="805">
          <cell r="C805"/>
          <cell r="D805"/>
          <cell r="E805"/>
          <cell r="F805"/>
          <cell r="G805"/>
        </row>
        <row r="806">
          <cell r="C806"/>
          <cell r="D806"/>
          <cell r="E806"/>
          <cell r="F806"/>
          <cell r="G806"/>
        </row>
        <row r="807">
          <cell r="C807"/>
          <cell r="D807" t="str">
            <v>DESCRIPTION</v>
          </cell>
          <cell r="E807" t="str">
            <v>PRICE</v>
          </cell>
          <cell r="F807" t="str">
            <v>VOLUME LESS</v>
          </cell>
          <cell r="G807" t="str">
            <v>REGULAR
LESS</v>
          </cell>
        </row>
        <row r="808">
          <cell r="C808"/>
          <cell r="D808"/>
          <cell r="E808"/>
          <cell r="F808"/>
          <cell r="G808"/>
        </row>
        <row r="809">
          <cell r="C809" t="str">
            <v>PL66271-1 POLOLOCK STEEL TAPE MEASURE 3M G-74</v>
          </cell>
          <cell r="D809" t="str">
            <v>60PCS/CTN</v>
          </cell>
          <cell r="E809">
            <v>95</v>
          </cell>
          <cell r="F809"/>
          <cell r="G809"/>
        </row>
        <row r="810">
          <cell r="C810" t="str">
            <v>PL66271-2 (LT11001-5) POLONET STEEL TAPE MEASURE 5M G-74</v>
          </cell>
          <cell r="D810" t="str">
            <v>48PCS/CTN</v>
          </cell>
          <cell r="E810">
            <v>135</v>
          </cell>
          <cell r="F810"/>
          <cell r="G810"/>
        </row>
        <row r="811">
          <cell r="C811" t="str">
            <v>PL66271-3 (LT11001-7.5) POLONET STEEL TAPE MEASURE 7.5 G-74</v>
          </cell>
          <cell r="D811" t="str">
            <v>36PCS/CTN</v>
          </cell>
          <cell r="E811">
            <v>230</v>
          </cell>
          <cell r="F811"/>
          <cell r="G811"/>
        </row>
        <row r="812">
          <cell r="C812" t="str">
            <v>PL66273-1 POLOLOCK STEEL TAPE MEASUREMENT 3M XC-97</v>
          </cell>
          <cell r="D812" t="str">
            <v>180PCS/CTN</v>
          </cell>
          <cell r="E812">
            <v>75</v>
          </cell>
          <cell r="F812"/>
          <cell r="G812"/>
        </row>
        <row r="813">
          <cell r="C813" t="str">
            <v>PL66273-2 POLOLOCK STEEL TAPE MEASUREMENT 5M XC-97</v>
          </cell>
          <cell r="D813" t="str">
            <v>120PCS/CTN</v>
          </cell>
          <cell r="E813">
            <v>90</v>
          </cell>
          <cell r="F813"/>
          <cell r="G813"/>
        </row>
        <row r="814">
          <cell r="C814" t="str">
            <v>PL66273-3 POLOLOCK STEEL TAPE MEASUREMET 7.5M XC-97</v>
          </cell>
          <cell r="D814" t="str">
            <v>72PCS/CTN</v>
          </cell>
          <cell r="E814">
            <v>140</v>
          </cell>
          <cell r="F814"/>
          <cell r="G814"/>
        </row>
        <row r="815">
          <cell r="C815" t="str">
            <v>POLOLOCK STEEL TAPE MEASURE 7.5mXC-33</v>
          </cell>
          <cell r="D815" t="str">
            <v>72PCS/CTN</v>
          </cell>
          <cell r="E815">
            <v>105</v>
          </cell>
          <cell r="F815"/>
          <cell r="G815"/>
        </row>
        <row r="816">
          <cell r="C816" t="str">
            <v>POLOLOCK STEEL TAPE MEASURE 3mXC-33</v>
          </cell>
          <cell r="D816" t="str">
            <v>180PCS/CTN</v>
          </cell>
          <cell r="E816">
            <v>40</v>
          </cell>
          <cell r="F816"/>
          <cell r="G816"/>
        </row>
        <row r="817">
          <cell r="C817" t="str">
            <v>POLOLOCK STEEL TAPE MEASURE 5mXC-33</v>
          </cell>
          <cell r="D817" t="str">
            <v>120PCS/CTN</v>
          </cell>
          <cell r="E817">
            <v>56</v>
          </cell>
          <cell r="F817"/>
          <cell r="G817"/>
        </row>
        <row r="818">
          <cell r="C818" t="str">
            <v>SUNFLOWER STEEL TAPE MEASURE 3M</v>
          </cell>
          <cell r="D818" t="str">
            <v>12PCS/BOX</v>
          </cell>
          <cell r="E818">
            <v>65</v>
          </cell>
          <cell r="F818"/>
          <cell r="G818"/>
        </row>
        <row r="819">
          <cell r="C819" t="str">
            <v>SUNFLOWER STEEL TAPE MEASURE 5M</v>
          </cell>
          <cell r="D819" t="str">
            <v>12PCS/BOX</v>
          </cell>
          <cell r="E819">
            <v>90</v>
          </cell>
          <cell r="F819"/>
          <cell r="G819"/>
        </row>
        <row r="820">
          <cell r="C820" t="str">
            <v>SUNFLOWER STEEL TAPE MEASURE 7.5M</v>
          </cell>
          <cell r="D820" t="str">
            <v>12PCS/BOX</v>
          </cell>
          <cell r="E820">
            <v>130</v>
          </cell>
          <cell r="F820"/>
          <cell r="G820"/>
        </row>
        <row r="821">
          <cell r="C821"/>
          <cell r="D821"/>
          <cell r="E821"/>
          <cell r="F821"/>
          <cell r="G821"/>
        </row>
        <row r="822">
          <cell r="C822" t="str">
            <v>PL66134-1 POST HOLE DIGGER 2MM</v>
          </cell>
          <cell r="D822" t="str">
            <v>4PCS/BAG</v>
          </cell>
          <cell r="E822"/>
          <cell r="F822"/>
          <cell r="G822"/>
        </row>
        <row r="823">
          <cell r="C823"/>
          <cell r="D823"/>
          <cell r="E823"/>
          <cell r="F823"/>
          <cell r="G823"/>
        </row>
        <row r="824">
          <cell r="C824"/>
          <cell r="D824"/>
          <cell r="E824"/>
          <cell r="F824"/>
          <cell r="G824"/>
        </row>
        <row r="825">
          <cell r="C825"/>
          <cell r="D825" t="str">
            <v>DESCRIPTION</v>
          </cell>
          <cell r="E825" t="str">
            <v>PRICE</v>
          </cell>
          <cell r="F825" t="str">
            <v>VOLUME LESS</v>
          </cell>
          <cell r="G825" t="str">
            <v>REGULAR
LESS</v>
          </cell>
        </row>
        <row r="826">
          <cell r="C826" t="str">
            <v>PL66130-1 POLONET WOOD HANDLE ROUND POINT SHOVEL #518</v>
          </cell>
          <cell r="D826" t="str">
            <v>12PCS/SACK</v>
          </cell>
          <cell r="E826">
            <v>150</v>
          </cell>
          <cell r="F826"/>
          <cell r="G826"/>
        </row>
        <row r="827">
          <cell r="C827" t="str">
            <v>PL66130-2 POLONET WOOD HANDLE SQUARE SHOVEL #501</v>
          </cell>
          <cell r="D827" t="str">
            <v>12PCS/SACK</v>
          </cell>
          <cell r="E827">
            <v>150</v>
          </cell>
          <cell r="F827"/>
          <cell r="G827"/>
        </row>
        <row r="828">
          <cell r="C828" t="str">
            <v>PL66131-1 POLONET ROUND POINT ALL STEEL SHOVEL #518</v>
          </cell>
          <cell r="D828" t="str">
            <v>12PCS/SACK</v>
          </cell>
          <cell r="E828">
            <v>185</v>
          </cell>
          <cell r="F828"/>
          <cell r="G828"/>
        </row>
        <row r="829">
          <cell r="C829" t="str">
            <v>PL66131-2 POLONET SQUARE ALL STEEL SHOVEL #501</v>
          </cell>
          <cell r="D829" t="str">
            <v>12PCS/SACK</v>
          </cell>
          <cell r="E829">
            <v>185</v>
          </cell>
          <cell r="F829"/>
          <cell r="G829"/>
        </row>
        <row r="830">
          <cell r="C830" t="str">
            <v>PL66131-3 POLONET STEEL SCOOP SHOVEL</v>
          </cell>
          <cell r="D830" t="str">
            <v>6PCS/SACK</v>
          </cell>
          <cell r="E830">
            <v>310</v>
          </cell>
          <cell r="F830"/>
          <cell r="G830"/>
        </row>
        <row r="831">
          <cell r="C831" t="str">
            <v>PL66131-4 POLONET SPADE ALL STEEL SHOVEL #512</v>
          </cell>
          <cell r="D831" t="str">
            <v>12PCS/SACK</v>
          </cell>
          <cell r="E831">
            <v>185</v>
          </cell>
          <cell r="F831"/>
          <cell r="G831"/>
        </row>
        <row r="832">
          <cell r="C832"/>
          <cell r="D832" t="str">
            <v>12PCS/SACK</v>
          </cell>
          <cell r="E832"/>
          <cell r="F832"/>
          <cell r="G832"/>
        </row>
        <row r="833">
          <cell r="C833"/>
          <cell r="D833" t="str">
            <v>12PCS/SACK</v>
          </cell>
          <cell r="E833"/>
          <cell r="F833"/>
          <cell r="G833"/>
        </row>
        <row r="834">
          <cell r="C834"/>
          <cell r="D834"/>
          <cell r="E834"/>
          <cell r="F834"/>
          <cell r="G834"/>
        </row>
        <row r="835">
          <cell r="C835" t="str">
            <v>PL66140-1 PICK MATTOCK BLADE ONLY</v>
          </cell>
          <cell r="D835" t="str">
            <v>6PCS/SACK</v>
          </cell>
          <cell r="E835">
            <v>240</v>
          </cell>
          <cell r="F835"/>
          <cell r="G835"/>
        </row>
        <row r="836">
          <cell r="C836" t="str">
            <v>PL66140-2 POLONET PICK MATTOCK WOODEN HANDLE ONLY</v>
          </cell>
          <cell r="D836" t="str">
            <v>24PCS/SACK</v>
          </cell>
          <cell r="E836">
            <v>160</v>
          </cell>
          <cell r="F836"/>
          <cell r="G836"/>
        </row>
        <row r="837">
          <cell r="C837"/>
          <cell r="D837"/>
          <cell r="E837"/>
          <cell r="F837"/>
          <cell r="G837"/>
        </row>
        <row r="838">
          <cell r="C838" t="str">
            <v>PL66150-1 WOODEN HANDLE FOR HOE</v>
          </cell>
          <cell r="D838" t="str">
            <v>24PCS/SACK</v>
          </cell>
          <cell r="E838">
            <v>145</v>
          </cell>
          <cell r="F838"/>
          <cell r="G838"/>
        </row>
        <row r="839">
          <cell r="C839" t="str">
            <v>PL66150-2 POLONET HOE 2LBS</v>
          </cell>
          <cell r="D839" t="str">
            <v>24PCS/SACK</v>
          </cell>
          <cell r="E839">
            <v>155</v>
          </cell>
          <cell r="F839"/>
          <cell r="G839"/>
        </row>
        <row r="840">
          <cell r="C840" t="str">
            <v>PL66150-3 POLONET HOE 2-1/4 LBS</v>
          </cell>
          <cell r="D840" t="str">
            <v>24PCS/SACK</v>
          </cell>
          <cell r="E840">
            <v>155</v>
          </cell>
          <cell r="F840"/>
          <cell r="G840"/>
        </row>
        <row r="841">
          <cell r="C841"/>
          <cell r="D841"/>
          <cell r="E841"/>
          <cell r="F841"/>
          <cell r="G841"/>
        </row>
        <row r="842">
          <cell r="C842"/>
          <cell r="D842" t="str">
            <v>DESCRIPTION</v>
          </cell>
          <cell r="E842" t="str">
            <v>PRICE</v>
          </cell>
          <cell r="F842" t="str">
            <v>VOLUME LESS</v>
          </cell>
          <cell r="G842" t="str">
            <v>REGULAR
LESS</v>
          </cell>
        </row>
        <row r="843">
          <cell r="C843" t="str">
            <v>PL66150-4 POLONET HOE 2-1/2 LBS</v>
          </cell>
          <cell r="D843" t="str">
            <v>24PCS/SACK</v>
          </cell>
          <cell r="E843">
            <v>155</v>
          </cell>
          <cell r="F843"/>
          <cell r="G843"/>
        </row>
        <row r="844">
          <cell r="C844"/>
          <cell r="D844"/>
          <cell r="E844"/>
          <cell r="F844"/>
          <cell r="G844"/>
        </row>
        <row r="845">
          <cell r="C845" t="str">
            <v>PL66110-1 2" SCRAPER W/HANDLE</v>
          </cell>
          <cell r="D845" t="str">
            <v>240PCS/CTN</v>
          </cell>
          <cell r="E845">
            <v>40</v>
          </cell>
          <cell r="F845"/>
          <cell r="G845"/>
        </row>
        <row r="846">
          <cell r="C846" t="str">
            <v>PL66110-2 3" SCRAPER W/HANDLE</v>
          </cell>
          <cell r="D846" t="str">
            <v>240PCS/CTN</v>
          </cell>
          <cell r="E846">
            <v>45</v>
          </cell>
          <cell r="F846"/>
          <cell r="G846"/>
        </row>
        <row r="847">
          <cell r="C847" t="str">
            <v>PL66110-3 4" SCRAPER W/HANDLE</v>
          </cell>
          <cell r="D847" t="str">
            <v>240PCS/CTN</v>
          </cell>
          <cell r="E847">
            <v>45</v>
          </cell>
          <cell r="F847"/>
          <cell r="G847"/>
        </row>
        <row r="848">
          <cell r="C848" t="str">
            <v>PL66110-4 5" SCRAPER W/HANDLE</v>
          </cell>
          <cell r="D848" t="str">
            <v>240PCS/CTN</v>
          </cell>
          <cell r="E848">
            <v>50</v>
          </cell>
          <cell r="F848"/>
          <cell r="G848"/>
        </row>
        <row r="849">
          <cell r="C849" t="str">
            <v>PL66110-5 6" SCRAPER W/HANDLE</v>
          </cell>
          <cell r="D849" t="str">
            <v>240PCS/CTN</v>
          </cell>
          <cell r="E849">
            <v>60</v>
          </cell>
          <cell r="F849"/>
          <cell r="G849"/>
        </row>
        <row r="850">
          <cell r="C850"/>
          <cell r="D850"/>
          <cell r="E850"/>
          <cell r="F850"/>
          <cell r="G850"/>
        </row>
        <row r="851">
          <cell r="C851" t="str">
            <v>PL66092 250mm*110mm PLASTERING TROWEL 1*60</v>
          </cell>
          <cell r="D851" t="str">
            <v>60PCS/CTN</v>
          </cell>
          <cell r="E851">
            <v>70</v>
          </cell>
          <cell r="F851"/>
          <cell r="G851"/>
        </row>
        <row r="852">
          <cell r="C852" t="str">
            <v>PL66090-1 280*120*0.7MM POLONET ABS HANDLE PLASTREING TROWEL</v>
          </cell>
          <cell r="D852" t="str">
            <v>60PCS/CTN</v>
          </cell>
          <cell r="E852">
            <v>130</v>
          </cell>
          <cell r="F852"/>
          <cell r="G852"/>
        </row>
        <row r="853">
          <cell r="C853" t="str">
            <v>PL66090-2 280-120-0.7MM (TEETH)10*10MM POLONET ABS HANDLE PLASTERING TROWEL W/TEETH</v>
          </cell>
          <cell r="D853" t="str">
            <v>60PCS/CTN</v>
          </cell>
          <cell r="E853">
            <v>130</v>
          </cell>
          <cell r="F853"/>
          <cell r="G853"/>
        </row>
        <row r="854">
          <cell r="C854" t="str">
            <v>PL66091-1 280*125*0.7MM POLONET WOODEN HANDLE PLASTERING TROWEL</v>
          </cell>
          <cell r="D854" t="str">
            <v>60PCS/CTN</v>
          </cell>
          <cell r="E854">
            <v>160</v>
          </cell>
          <cell r="F854"/>
          <cell r="G854"/>
        </row>
        <row r="855">
          <cell r="C855" t="str">
            <v>PL66091-2 280*125*0.7MM (TEETH)6.6MM POLONET WOODEN HANDLE PLASTERING TROWEL W/TEETH</v>
          </cell>
          <cell r="D855" t="str">
            <v>60PCS/CTN</v>
          </cell>
          <cell r="E855">
            <v>160</v>
          </cell>
          <cell r="F855"/>
          <cell r="G855"/>
        </row>
        <row r="856">
          <cell r="C856"/>
          <cell r="D856"/>
          <cell r="E856"/>
          <cell r="F856"/>
          <cell r="G856"/>
        </row>
        <row r="857">
          <cell r="C857"/>
          <cell r="D857" t="str">
            <v>DESCRIPTION</v>
          </cell>
          <cell r="E857" t="str">
            <v>PRICE</v>
          </cell>
          <cell r="F857" t="str">
            <v>VOLUME LESS</v>
          </cell>
          <cell r="G857" t="str">
            <v>REGULAR
LESS</v>
          </cell>
        </row>
        <row r="858">
          <cell r="C858"/>
          <cell r="D858"/>
          <cell r="E858"/>
          <cell r="F858"/>
          <cell r="G858"/>
        </row>
        <row r="859">
          <cell r="C859" t="str">
            <v>PL66101-1 6"CEMENT TROWEL W/PLASTIC HANDLE (TRICYCLE)</v>
          </cell>
          <cell r="D859" t="str">
            <v>72PCS/CTN</v>
          </cell>
          <cell r="E859">
            <v>60</v>
          </cell>
          <cell r="F859"/>
          <cell r="G859"/>
        </row>
        <row r="860">
          <cell r="C860" t="str">
            <v>PL66101-2 7"CEMENT TROWEL W/PLASTIC HANDLE (TRICYCLE)</v>
          </cell>
          <cell r="D860" t="str">
            <v>72PCS/CTN</v>
          </cell>
          <cell r="E860">
            <v>65</v>
          </cell>
          <cell r="F860"/>
          <cell r="G860"/>
        </row>
        <row r="861">
          <cell r="C861" t="str">
            <v>PL66101-3 8"CEMENT TROWEL W/PLASTIC HANDLE (TRICYCLE)</v>
          </cell>
          <cell r="D861" t="str">
            <v>72PCS/CTN</v>
          </cell>
          <cell r="E861">
            <v>70</v>
          </cell>
          <cell r="F861"/>
          <cell r="G861"/>
        </row>
        <row r="862">
          <cell r="C862" t="str">
            <v>PL66101-4 9"CEMENT TROWEL W/PLASTIC HANDLE (TRICYCLE)</v>
          </cell>
          <cell r="D862" t="str">
            <v>72PCS/CTN</v>
          </cell>
          <cell r="E862">
            <v>75</v>
          </cell>
          <cell r="F862"/>
          <cell r="G862"/>
        </row>
        <row r="863">
          <cell r="C863"/>
          <cell r="D863"/>
          <cell r="E863"/>
          <cell r="F863"/>
          <cell r="G863"/>
        </row>
        <row r="864">
          <cell r="C864" t="str">
            <v>PL66100-1 CEMENT TROWEL WOOD HANDLE 5 "</v>
          </cell>
          <cell r="D864" t="str">
            <v>120PCS/CTN</v>
          </cell>
          <cell r="E864">
            <v>40</v>
          </cell>
          <cell r="F864"/>
          <cell r="G864"/>
        </row>
        <row r="865">
          <cell r="C865" t="str">
            <v>PL66100-2 CEMENT TROWEL WOOD HANDLE 6 "</v>
          </cell>
          <cell r="D865" t="str">
            <v>120PCS/CTN</v>
          </cell>
          <cell r="E865">
            <v>44</v>
          </cell>
          <cell r="F865"/>
          <cell r="G865"/>
        </row>
        <row r="866">
          <cell r="C866" t="str">
            <v>PL66100-3 CEMENT TROWEL WOOD HANDLE 7 "</v>
          </cell>
          <cell r="D866" t="str">
            <v>120PCS/CTN</v>
          </cell>
          <cell r="E866">
            <v>48</v>
          </cell>
          <cell r="F866"/>
          <cell r="G866"/>
        </row>
        <row r="867">
          <cell r="C867" t="str">
            <v>PL66100-4 CEMENT TROWEL WOOD HANDLE 8 "</v>
          </cell>
          <cell r="D867" t="str">
            <v>120PCS/CTN</v>
          </cell>
          <cell r="E867">
            <v>50</v>
          </cell>
          <cell r="F867"/>
          <cell r="G867"/>
        </row>
        <row r="868">
          <cell r="C868" t="str">
            <v>PL66100-5 CEMENT TROWEL WOOD HANDLE 9"</v>
          </cell>
          <cell r="D868" t="str">
            <v>120PCS/CTN</v>
          </cell>
          <cell r="E868">
            <v>56</v>
          </cell>
          <cell r="F868"/>
          <cell r="G868"/>
        </row>
        <row r="869">
          <cell r="C869"/>
          <cell r="D869"/>
          <cell r="E869"/>
          <cell r="F869"/>
          <cell r="G869"/>
        </row>
        <row r="870">
          <cell r="C870" t="str">
            <v>PL66020-1 7"RL POLONET VISE GRIP STRAIGHT</v>
          </cell>
          <cell r="D870" t="str">
            <v>36PCS/CTN</v>
          </cell>
          <cell r="E870">
            <v>225</v>
          </cell>
          <cell r="F870"/>
          <cell r="G870"/>
        </row>
        <row r="871">
          <cell r="C871" t="str">
            <v>PL66020-2 10"RL POLONET VISE GRIP STRAIGHT</v>
          </cell>
          <cell r="D871" t="str">
            <v>36PCS/CTN</v>
          </cell>
          <cell r="E871">
            <v>270</v>
          </cell>
          <cell r="F871"/>
          <cell r="G871"/>
        </row>
        <row r="872">
          <cell r="C872"/>
          <cell r="D872"/>
          <cell r="E872"/>
          <cell r="F872"/>
          <cell r="G872"/>
        </row>
        <row r="873">
          <cell r="C873"/>
          <cell r="D873" t="str">
            <v>DESCRIPTION</v>
          </cell>
          <cell r="E873" t="str">
            <v>PRICE</v>
          </cell>
          <cell r="F873" t="str">
            <v>VOLUME LESS</v>
          </cell>
          <cell r="G873" t="str">
            <v>REGULAR
LESS</v>
          </cell>
        </row>
        <row r="874">
          <cell r="C874" t="str">
            <v>PL66020-4 10"WL VISE GRIP CHROME CURVED</v>
          </cell>
          <cell r="D874" t="str">
            <v>36PCS/CTN</v>
          </cell>
          <cell r="E874">
            <v>270</v>
          </cell>
          <cell r="F874"/>
          <cell r="G874"/>
        </row>
        <row r="875">
          <cell r="C875" t="str">
            <v>PL66020-5 11" C-CLAMP VISE GRIP PLIERS</v>
          </cell>
          <cell r="D875" t="str">
            <v>24PCS/CTN</v>
          </cell>
          <cell r="E875">
            <v>385</v>
          </cell>
          <cell r="F875"/>
          <cell r="G875"/>
        </row>
        <row r="876">
          <cell r="C876"/>
          <cell r="D876"/>
          <cell r="E876"/>
          <cell r="F876"/>
          <cell r="G876"/>
        </row>
        <row r="877">
          <cell r="C877" t="str">
            <v>PL66030-1 6" DIAGONAL PLIERS</v>
          </cell>
          <cell r="D877" t="str">
            <v>60PCS/CTN</v>
          </cell>
          <cell r="E877">
            <v>115</v>
          </cell>
          <cell r="F877"/>
          <cell r="G877"/>
        </row>
        <row r="878">
          <cell r="C878" t="str">
            <v>PL66030-2 8" DIAGONAL PLIERS</v>
          </cell>
          <cell r="D878" t="str">
            <v>60PCS/CTN</v>
          </cell>
          <cell r="E878">
            <v>140</v>
          </cell>
          <cell r="F878"/>
          <cell r="G878"/>
        </row>
        <row r="879">
          <cell r="C879" t="str">
            <v>PL66030-3 7" COMBINATION PLIERS</v>
          </cell>
          <cell r="D879" t="str">
            <v>60PCS/CTN</v>
          </cell>
          <cell r="E879">
            <v>140</v>
          </cell>
          <cell r="F879"/>
          <cell r="G879"/>
        </row>
        <row r="880">
          <cell r="C880" t="str">
            <v>PL66030-4 8" COMBINATION PLIERS</v>
          </cell>
          <cell r="D880" t="str">
            <v>60PCS/CTN</v>
          </cell>
          <cell r="E880">
            <v>160</v>
          </cell>
          <cell r="F880"/>
          <cell r="G880"/>
        </row>
        <row r="881">
          <cell r="C881" t="str">
            <v>PL66030-5 6" LONG NOSE PLIERS</v>
          </cell>
          <cell r="D881" t="str">
            <v>60PCS/CTN</v>
          </cell>
          <cell r="E881">
            <v>110</v>
          </cell>
          <cell r="F881"/>
          <cell r="G881"/>
        </row>
        <row r="882">
          <cell r="C882" t="str">
            <v>PL66030-6 8" LONG NOSE PLIERS</v>
          </cell>
          <cell r="D882" t="str">
            <v>60PCS/CTN</v>
          </cell>
          <cell r="E882">
            <v>135</v>
          </cell>
          <cell r="F882"/>
          <cell r="G882"/>
        </row>
        <row r="883">
          <cell r="C883"/>
          <cell r="D883"/>
          <cell r="E883"/>
          <cell r="F883"/>
          <cell r="G883"/>
        </row>
        <row r="884">
          <cell r="C884"/>
          <cell r="D884"/>
          <cell r="E884"/>
          <cell r="F884"/>
          <cell r="G884"/>
        </row>
        <row r="885">
          <cell r="C885"/>
          <cell r="D885" t="str">
            <v>DESCRIPTION</v>
          </cell>
          <cell r="E885" t="str">
            <v>PRICE</v>
          </cell>
          <cell r="F885"/>
          <cell r="G885"/>
        </row>
        <row r="886">
          <cell r="C886"/>
          <cell r="D886"/>
          <cell r="E886"/>
          <cell r="F886"/>
          <cell r="G886"/>
        </row>
        <row r="887">
          <cell r="C887" t="str">
            <v>PL66040-1 8" PIPE WRENCH HD</v>
          </cell>
          <cell r="D887" t="str">
            <v>40PCS/CTN</v>
          </cell>
          <cell r="E887">
            <v>130</v>
          </cell>
          <cell r="F887"/>
          <cell r="G887"/>
        </row>
        <row r="888">
          <cell r="C888" t="str">
            <v>PL66040-2 10" PIPE WRENCH HD</v>
          </cell>
          <cell r="D888" t="str">
            <v>32PCS/CTN</v>
          </cell>
          <cell r="E888">
            <v>155</v>
          </cell>
          <cell r="F888"/>
          <cell r="G888"/>
        </row>
        <row r="889">
          <cell r="C889" t="str">
            <v>PL66040-3 12" PIPE WRENCH HD</v>
          </cell>
          <cell r="D889" t="str">
            <v>24PCS/CTN</v>
          </cell>
          <cell r="E889">
            <v>205</v>
          </cell>
          <cell r="F889"/>
          <cell r="G889"/>
        </row>
        <row r="890">
          <cell r="C890" t="str">
            <v>PL66040-4 14" PIPE WRENCH HD</v>
          </cell>
          <cell r="D890" t="str">
            <v>18PCS/CTN</v>
          </cell>
          <cell r="E890">
            <v>240</v>
          </cell>
          <cell r="F890"/>
          <cell r="G890"/>
        </row>
        <row r="891">
          <cell r="C891" t="str">
            <v>PL66040-5 18" PIPE WRENCH HD</v>
          </cell>
          <cell r="D891" t="str">
            <v>12PCS/CTN</v>
          </cell>
          <cell r="E891">
            <v>340</v>
          </cell>
          <cell r="F891"/>
          <cell r="G891"/>
        </row>
        <row r="892">
          <cell r="C892" t="str">
            <v>PL66040-6 24" PIPE WRENCH HD</v>
          </cell>
          <cell r="D892" t="str">
            <v>8PCS/CTN</v>
          </cell>
          <cell r="E892">
            <v>490</v>
          </cell>
          <cell r="F892"/>
          <cell r="G892"/>
        </row>
        <row r="893">
          <cell r="C893" t="str">
            <v>PL66040-7 36" PIPE WRENCH HD</v>
          </cell>
          <cell r="D893" t="str">
            <v>4PCS/CTN</v>
          </cell>
          <cell r="E893">
            <v>900</v>
          </cell>
          <cell r="F893"/>
          <cell r="G893"/>
        </row>
        <row r="894">
          <cell r="C894"/>
          <cell r="D894"/>
          <cell r="E894"/>
          <cell r="F894"/>
          <cell r="G894"/>
        </row>
        <row r="895">
          <cell r="C895" t="str">
            <v>PL66050-1 LEFT POLONET AVIATION SNIP</v>
          </cell>
          <cell r="D895" t="str">
            <v>48PCS/CTN</v>
          </cell>
          <cell r="E895">
            <v>185</v>
          </cell>
          <cell r="F895"/>
          <cell r="G895"/>
        </row>
        <row r="896">
          <cell r="C896" t="str">
            <v>PL66050-2 RIGHT POLONET AVIATION SNIP</v>
          </cell>
          <cell r="D896" t="str">
            <v>48PCS/CTN</v>
          </cell>
          <cell r="E896">
            <v>185</v>
          </cell>
          <cell r="F896"/>
          <cell r="G896"/>
        </row>
        <row r="897">
          <cell r="C897" t="str">
            <v>PL66050-3 STRAIGHT POLONET AVIATION SNIP</v>
          </cell>
          <cell r="D897" t="str">
            <v>48PCS/CTN</v>
          </cell>
          <cell r="E897">
            <v>185</v>
          </cell>
          <cell r="F897"/>
          <cell r="G897"/>
        </row>
        <row r="898">
          <cell r="C898"/>
          <cell r="D898"/>
          <cell r="E898"/>
          <cell r="F898"/>
          <cell r="G898"/>
        </row>
        <row r="899">
          <cell r="C899"/>
          <cell r="D899"/>
          <cell r="E899"/>
          <cell r="F899"/>
          <cell r="G899"/>
        </row>
        <row r="900">
          <cell r="C900"/>
          <cell r="D900"/>
          <cell r="E900"/>
          <cell r="F900"/>
          <cell r="G900"/>
        </row>
        <row r="901">
          <cell r="C901"/>
          <cell r="D901" t="str">
            <v>DESCRIPTION</v>
          </cell>
          <cell r="E901" t="str">
            <v>PRICE</v>
          </cell>
          <cell r="F901" t="str">
            <v>VOLUME LESS</v>
          </cell>
          <cell r="G901" t="str">
            <v>REGULAR
LESS</v>
          </cell>
        </row>
        <row r="902">
          <cell r="C902"/>
          <cell r="D902"/>
          <cell r="E902"/>
          <cell r="F902"/>
          <cell r="G902"/>
        </row>
        <row r="903">
          <cell r="C903" t="str">
            <v>PL66060-1 POLONET TIN SNIP 8"</v>
          </cell>
          <cell r="D903" t="str">
            <v>60PCS/CTN</v>
          </cell>
          <cell r="E903">
            <v>180</v>
          </cell>
          <cell r="F903"/>
          <cell r="G903"/>
        </row>
        <row r="904">
          <cell r="C904" t="str">
            <v>PL66060-2 POLONET TIN SNIP 10"</v>
          </cell>
          <cell r="D904" t="str">
            <v>48PCS/CTN</v>
          </cell>
          <cell r="E904">
            <v>220</v>
          </cell>
          <cell r="F904"/>
          <cell r="G904"/>
        </row>
        <row r="905">
          <cell r="C905" t="str">
            <v>PL66060-3 POLONET TIN SNIP 12"</v>
          </cell>
          <cell r="D905" t="str">
            <v>36PCS/CTN</v>
          </cell>
          <cell r="E905">
            <v>260</v>
          </cell>
          <cell r="F905"/>
          <cell r="G905"/>
        </row>
        <row r="906">
          <cell r="C906" t="str">
            <v>PL66060-4 POLONET TIN SNIP 14"</v>
          </cell>
          <cell r="D906" t="str">
            <v>24PCS/CTN</v>
          </cell>
          <cell r="E906">
            <v>320</v>
          </cell>
          <cell r="F906"/>
          <cell r="G906"/>
        </row>
        <row r="907">
          <cell r="C907" t="str">
            <v>PL66060-5 POLONET TIN SNIP 16"</v>
          </cell>
          <cell r="D907" t="str">
            <v>12PCS/CTN</v>
          </cell>
          <cell r="E907">
            <v>960</v>
          </cell>
          <cell r="F907"/>
          <cell r="G907"/>
        </row>
        <row r="908">
          <cell r="C908"/>
          <cell r="D908"/>
          <cell r="E908"/>
          <cell r="F908"/>
          <cell r="G908"/>
        </row>
        <row r="909">
          <cell r="C909" t="str">
            <v>PL66200-1 (LT55023-1) POLOLOCK PAINT BRUSH 1/2"</v>
          </cell>
          <cell r="D909" t="str">
            <v>50DOZ/CTN</v>
          </cell>
          <cell r="E909">
            <v>130</v>
          </cell>
          <cell r="F909"/>
          <cell r="G909" t="str">
            <v>LESS 40</v>
          </cell>
        </row>
        <row r="910">
          <cell r="C910" t="str">
            <v>PL66200-2 (LT55023-2) POLOLOCK PAINT BRUSH 3/4"</v>
          </cell>
          <cell r="D910" t="str">
            <v>50DOZ/CTN</v>
          </cell>
          <cell r="E910">
            <v>170</v>
          </cell>
          <cell r="F910"/>
          <cell r="G910"/>
        </row>
        <row r="911">
          <cell r="C911" t="str">
            <v>PL66200-3 (LT55023-3) POLOLOCK PAINT BRUSH 1"</v>
          </cell>
          <cell r="D911" t="str">
            <v>50DOZ/CTN</v>
          </cell>
          <cell r="E911">
            <v>210</v>
          </cell>
          <cell r="F911"/>
          <cell r="G911"/>
        </row>
        <row r="912">
          <cell r="C912" t="str">
            <v>PL66200-4 (LT55023-4) POLOLOCK PAINT BRUSH 1"1/2</v>
          </cell>
          <cell r="D912" t="str">
            <v>50DOZ/CTN</v>
          </cell>
          <cell r="E912">
            <v>310</v>
          </cell>
          <cell r="F912"/>
          <cell r="G912"/>
        </row>
        <row r="913">
          <cell r="C913" t="str">
            <v>PL66200-5 (LT55023-5) POLOLOCK PAINT BRUSH 2"</v>
          </cell>
          <cell r="D913" t="str">
            <v>40DOZ/CTN</v>
          </cell>
          <cell r="E913">
            <v>460</v>
          </cell>
          <cell r="F913"/>
          <cell r="G913"/>
        </row>
        <row r="914">
          <cell r="C914" t="str">
            <v>PL66200-6 (LT55023-6) POLOLOCK PAINT BRUSH 2"1/2</v>
          </cell>
          <cell r="D914" t="str">
            <v>30DOZ/CTN</v>
          </cell>
          <cell r="E914">
            <v>570</v>
          </cell>
          <cell r="F914"/>
          <cell r="G914"/>
        </row>
        <row r="915">
          <cell r="C915" t="str">
            <v>PL66200-7 (LT55023-7)POLOLOCK PAINT BRUSH 3"</v>
          </cell>
          <cell r="D915" t="str">
            <v>30DOZ/CTN</v>
          </cell>
          <cell r="E915">
            <v>910</v>
          </cell>
          <cell r="F915"/>
          <cell r="G915"/>
        </row>
        <row r="916">
          <cell r="C916" t="str">
            <v>PL66200-8 (LT55023-8) POLOLOCK PAINT BRUSH 4"</v>
          </cell>
          <cell r="D916" t="str">
            <v>20DOZ/CTN</v>
          </cell>
          <cell r="E916">
            <v>1320</v>
          </cell>
          <cell r="F916"/>
          <cell r="G916"/>
        </row>
        <row r="917">
          <cell r="C917"/>
          <cell r="D917"/>
          <cell r="E917"/>
          <cell r="F917"/>
          <cell r="G917"/>
        </row>
        <row r="918">
          <cell r="C918" t="str">
            <v>PL66190-1 (LT22012-7H) POLONET ACRYLON PAINT ROLLER W/HANDLE 7"</v>
          </cell>
          <cell r="D918" t="str">
            <v>60PCS/CTN</v>
          </cell>
          <cell r="E918">
            <v>75</v>
          </cell>
          <cell r="F918"/>
          <cell r="G918" t="str">
            <v>LESS 15%</v>
          </cell>
        </row>
        <row r="919">
          <cell r="C919" t="str">
            <v>PL66190-2 (LT22012-9H) POLONET ACRYLON PAINT ROLLER W/HANDLE 9"</v>
          </cell>
          <cell r="D919" t="str">
            <v>60PCS/CTN</v>
          </cell>
          <cell r="E919">
            <v>95</v>
          </cell>
          <cell r="F919"/>
          <cell r="G919" t="str">
            <v>LESS 15%</v>
          </cell>
        </row>
        <row r="920">
          <cell r="C920"/>
          <cell r="D920"/>
          <cell r="E920"/>
          <cell r="F920"/>
          <cell r="G920"/>
        </row>
        <row r="921">
          <cell r="C921"/>
          <cell r="D921" t="str">
            <v>DESCRIPTION</v>
          </cell>
          <cell r="E921" t="str">
            <v>PRICE</v>
          </cell>
          <cell r="F921" t="str">
            <v>VOLUME LESS</v>
          </cell>
          <cell r="G921" t="str">
            <v>REGULAR
LESS</v>
          </cell>
        </row>
        <row r="922">
          <cell r="C922" t="str">
            <v>PL66190-3 ACRYLON PAINT ROLLER ONLY 7"</v>
          </cell>
          <cell r="D922" t="str">
            <v>120PCS/CTN</v>
          </cell>
          <cell r="E922">
            <v>40</v>
          </cell>
          <cell r="F922"/>
          <cell r="G922"/>
        </row>
        <row r="923">
          <cell r="C923" t="str">
            <v>PL66190-4 ACRYLON PAINT ROLLER ONLY 9"</v>
          </cell>
          <cell r="D923" t="str">
            <v>120PCS/CTN</v>
          </cell>
          <cell r="E923">
            <v>55</v>
          </cell>
          <cell r="F923"/>
          <cell r="G923"/>
        </row>
        <row r="924">
          <cell r="C924" t="str">
            <v>PL66191-1 POLONET COTTON BABY ROLLER W/HANDLE 4"</v>
          </cell>
          <cell r="D924" t="str">
            <v>200PCS/CTN</v>
          </cell>
          <cell r="E924">
            <v>28</v>
          </cell>
          <cell r="F924"/>
          <cell r="G924"/>
        </row>
        <row r="925">
          <cell r="C925" t="str">
            <v>PL66191-2 (LT22013-FH) POLONET FOAM BABY ROLLER W/HANDLE 4"</v>
          </cell>
          <cell r="D925" t="str">
            <v>200PCS/CTN</v>
          </cell>
          <cell r="E925">
            <v>28</v>
          </cell>
          <cell r="F925"/>
          <cell r="G925"/>
        </row>
        <row r="926">
          <cell r="C926" t="str">
            <v>PL66191-3 (LT22013-C) POLOLOCK COTTON BABY ROLLER ONLY 4"</v>
          </cell>
          <cell r="D926" t="str">
            <v>500PCS/CTN</v>
          </cell>
          <cell r="E926">
            <v>18</v>
          </cell>
          <cell r="F926"/>
          <cell r="G926"/>
        </row>
        <row r="927">
          <cell r="C927" t="str">
            <v>PL66191-4 (LT22013-F) POLOLOCK FOAM BABY ROLLER ONLY 4"</v>
          </cell>
          <cell r="D927" t="str">
            <v>500PCS/CTN</v>
          </cell>
          <cell r="E927">
            <v>18</v>
          </cell>
          <cell r="F927"/>
          <cell r="G927"/>
        </row>
        <row r="928">
          <cell r="C928" t="str">
            <v>PL66192-1 POLONET 5PCS PAINT ROLLER COTTON 4"</v>
          </cell>
          <cell r="D928" t="str">
            <v>5PCS/PACK*200PA CKS/CTN</v>
          </cell>
          <cell r="E928">
            <v>44</v>
          </cell>
          <cell r="F928"/>
          <cell r="G928"/>
        </row>
        <row r="929">
          <cell r="C929" t="str">
            <v>PL66192-2 POLONET 5PCS PAINT ROLLER FOAM 4"</v>
          </cell>
          <cell r="D929" t="str">
            <v>5PCS/PACK*200PA CKS/CTN</v>
          </cell>
          <cell r="E929">
            <v>48</v>
          </cell>
          <cell r="F929"/>
          <cell r="G929"/>
        </row>
        <row r="930">
          <cell r="C930"/>
          <cell r="D930"/>
          <cell r="E930"/>
          <cell r="F930"/>
          <cell r="G930"/>
        </row>
        <row r="931">
          <cell r="C931" t="str">
            <v>PL66170-1 (LT22016-P) GARDEN RAKE 14T PLAIN</v>
          </cell>
          <cell r="D931" t="str">
            <v>12PCS/BUNDLE</v>
          </cell>
          <cell r="E931">
            <v>240</v>
          </cell>
          <cell r="F931"/>
          <cell r="G931"/>
        </row>
        <row r="932">
          <cell r="C932" t="str">
            <v>PL66170-2 (LT22016-T) GARDEN RAKE 14T TWISTED</v>
          </cell>
          <cell r="D932" t="str">
            <v>12PCS/BUNDLE</v>
          </cell>
          <cell r="E932">
            <v>240</v>
          </cell>
          <cell r="F932"/>
          <cell r="G932"/>
        </row>
        <row r="933">
          <cell r="C933"/>
          <cell r="D933"/>
          <cell r="E933"/>
          <cell r="F933"/>
          <cell r="G933"/>
        </row>
        <row r="934">
          <cell r="C934" t="str">
            <v>PL66161-1 (LT22018) 4R*16R*24 WIRE BRUSH WOOD HANDLE</v>
          </cell>
          <cell r="D934" t="str">
            <v>120PCS/CTN</v>
          </cell>
          <cell r="E934">
            <v>40</v>
          </cell>
          <cell r="F934"/>
          <cell r="G934"/>
        </row>
        <row r="935">
          <cell r="C935"/>
          <cell r="D935"/>
          <cell r="E935"/>
          <cell r="F935"/>
          <cell r="G935"/>
        </row>
        <row r="936">
          <cell r="C936"/>
          <cell r="D936" t="str">
            <v>DESCRIPTION</v>
          </cell>
          <cell r="E936" t="str">
            <v>PRICE</v>
          </cell>
          <cell r="F936" t="str">
            <v>VOLUME LESS</v>
          </cell>
          <cell r="G936" t="str">
            <v>REGULAR
LESS</v>
          </cell>
        </row>
        <row r="937">
          <cell r="C937"/>
          <cell r="D937" t="str">
            <v>360PCS/CTN</v>
          </cell>
          <cell r="E937"/>
          <cell r="F937"/>
          <cell r="G937"/>
        </row>
        <row r="938">
          <cell r="C938" t="str">
            <v>PL66162-2 (LT22019-2) 16R*8R*1.5CM POLONET COPPERIZED STEEL BRUSH</v>
          </cell>
          <cell r="D938" t="str">
            <v>360PCS/CTN</v>
          </cell>
          <cell r="E938">
            <v>19</v>
          </cell>
          <cell r="F938"/>
          <cell r="G938"/>
        </row>
        <row r="939">
          <cell r="C939" t="str">
            <v>PL66163 4R*16R*23CM STEEL BRUSH W/ PLASTIC HANDLE</v>
          </cell>
          <cell r="D939" t="str">
            <v>120PCS/CTN</v>
          </cell>
          <cell r="E939">
            <v>50</v>
          </cell>
          <cell r="F939"/>
          <cell r="G939"/>
        </row>
        <row r="940">
          <cell r="C940" t="str">
            <v>PL66160-1 POLOLOCK STEEL BRUSH GOLD W/HANDLE 5X15</v>
          </cell>
          <cell r="D940" t="str">
            <v>120PCS/CTN</v>
          </cell>
          <cell r="E940">
            <v>35</v>
          </cell>
          <cell r="F940"/>
          <cell r="G940"/>
        </row>
        <row r="941">
          <cell r="C941" t="str">
            <v>PL66160-2 POLOLOCK STEEL BRUSH SILVER W/HANDLE 4X14</v>
          </cell>
          <cell r="D941" t="str">
            <v>108PCS/CTN</v>
          </cell>
          <cell r="E941">
            <v>45</v>
          </cell>
          <cell r="F941"/>
          <cell r="G941"/>
        </row>
        <row r="942">
          <cell r="C942"/>
          <cell r="D942"/>
          <cell r="E942"/>
          <cell r="F942"/>
          <cell r="G942"/>
        </row>
        <row r="943">
          <cell r="C943" t="str">
            <v>PL66260-1 12"*1/2"*18T BI-METAL HACKSAW BLADE</v>
          </cell>
          <cell r="D943" t="str">
            <v>1000PCS/CTN</v>
          </cell>
          <cell r="E943">
            <v>33</v>
          </cell>
          <cell r="F943"/>
          <cell r="G943"/>
        </row>
        <row r="944">
          <cell r="C944" t="str">
            <v>PL66260-2 12"*1/2"*24T BI-METAL HACKSAW BLADE</v>
          </cell>
          <cell r="D944" t="str">
            <v>1000PCS/CTN</v>
          </cell>
          <cell r="E944">
            <v>33</v>
          </cell>
          <cell r="F944"/>
          <cell r="G944"/>
        </row>
        <row r="945">
          <cell r="C945"/>
          <cell r="D945"/>
          <cell r="E945"/>
          <cell r="F945"/>
          <cell r="G945"/>
        </row>
        <row r="946">
          <cell r="C946" t="str">
            <v>PL66071-1 (LT44004-1) HACKSAW FRAME CHROME</v>
          </cell>
          <cell r="D946" t="str">
            <v>48PCS/CTN</v>
          </cell>
          <cell r="E946">
            <v>95</v>
          </cell>
          <cell r="F946"/>
          <cell r="G946"/>
        </row>
        <row r="947">
          <cell r="C947" t="str">
            <v>PL66071-2 HACKSAW FRAME BLACK</v>
          </cell>
          <cell r="D947" t="str">
            <v>48PCS/CTN</v>
          </cell>
          <cell r="E947">
            <v>80</v>
          </cell>
          <cell r="F947"/>
          <cell r="G947"/>
        </row>
        <row r="948">
          <cell r="C948" t="str">
            <v>PL66360-1 POLONET COMPASS SAW W/PVC HANDLE 16"</v>
          </cell>
          <cell r="D948" t="str">
            <v>60PCS/CTN</v>
          </cell>
          <cell r="E948">
            <v>85</v>
          </cell>
          <cell r="F948"/>
          <cell r="G948"/>
        </row>
        <row r="949">
          <cell r="C949"/>
          <cell r="D949"/>
          <cell r="E949"/>
          <cell r="F949"/>
          <cell r="G949"/>
        </row>
        <row r="950">
          <cell r="C950"/>
          <cell r="D950"/>
          <cell r="E950"/>
          <cell r="F950"/>
          <cell r="G950"/>
        </row>
        <row r="951">
          <cell r="C951"/>
          <cell r="D951" t="str">
            <v>DESCRIPTION</v>
          </cell>
          <cell r="E951" t="str">
            <v>PRICE</v>
          </cell>
          <cell r="F951" t="str">
            <v>VOLUME LESS</v>
          </cell>
          <cell r="G951" t="str">
            <v>REGULAR
LESS</v>
          </cell>
        </row>
        <row r="952">
          <cell r="C952" t="str">
            <v>PL66361-1 18" POLONET HANDSAW W/PVC HANDLE</v>
          </cell>
          <cell r="D952" t="str">
            <v>48PCS/CTN</v>
          </cell>
          <cell r="E952">
            <v>130</v>
          </cell>
          <cell r="F952"/>
          <cell r="G952"/>
        </row>
        <row r="953">
          <cell r="C953" t="str">
            <v>PL66361-2 20" POLONET HANDSAW W/PVC HANDLE</v>
          </cell>
          <cell r="D953" t="str">
            <v>48PCS/CTN</v>
          </cell>
          <cell r="E953">
            <v>135</v>
          </cell>
          <cell r="F953"/>
          <cell r="G953"/>
        </row>
        <row r="954">
          <cell r="C954" t="str">
            <v>PL66362-1 16" POLONET COMPASS SAW W/HEAVY DUTY WIDE SAW</v>
          </cell>
          <cell r="D954" t="str">
            <v>60PCS/CTN</v>
          </cell>
          <cell r="E954">
            <v>125</v>
          </cell>
          <cell r="F954"/>
          <cell r="G954"/>
        </row>
        <row r="955">
          <cell r="C955" t="str">
            <v>PL66362-2 16" POLONET COMPASS SAW W/HEAVY DUTY NARROW SAW</v>
          </cell>
          <cell r="D955" t="str">
            <v>60PCS/CTN</v>
          </cell>
          <cell r="E955">
            <v>120</v>
          </cell>
          <cell r="F955"/>
          <cell r="G955"/>
        </row>
        <row r="956">
          <cell r="C956" t="str">
            <v>PL66070 8-12" POLONET HACKSAW FRAME W/ BLADE</v>
          </cell>
          <cell r="D956" t="str">
            <v>48PCS/CTN</v>
          </cell>
          <cell r="E956">
            <v>180</v>
          </cell>
          <cell r="F956"/>
          <cell r="G956"/>
        </row>
        <row r="957">
          <cell r="C957"/>
          <cell r="D957"/>
          <cell r="E957"/>
          <cell r="F957"/>
          <cell r="G957"/>
        </row>
        <row r="958">
          <cell r="C958" t="str">
            <v>PL66221-01 1/8" MASONRY DRILL BIT</v>
          </cell>
          <cell r="D958" t="str">
            <v>10PCS/TUBE,
10TUBES/BOX,
500TUBE/CTN</v>
          </cell>
          <cell r="E958"/>
          <cell r="F958"/>
          <cell r="G958"/>
        </row>
        <row r="959">
          <cell r="C959" t="str">
            <v>PL66221-02 5/32" MASONRY DRILL BIT</v>
          </cell>
          <cell r="D959" t="str">
            <v>10PCS/TUBE,
10TUBES/BOX,
250TUBE/CTN</v>
          </cell>
          <cell r="E959"/>
          <cell r="F959"/>
          <cell r="G959"/>
        </row>
        <row r="960">
          <cell r="C960" t="str">
            <v>PL66221-03 3/16"MASONRY DRILL BIT</v>
          </cell>
          <cell r="D960" t="str">
            <v>10PCS/TUBE,
10TUBES/BOX,
150TUBE/CTN</v>
          </cell>
          <cell r="E960"/>
          <cell r="F960"/>
          <cell r="G960"/>
        </row>
        <row r="961">
          <cell r="C961" t="str">
            <v>PL66221-04 1/4" MASONRY DRILL BIT</v>
          </cell>
          <cell r="D961" t="str">
            <v>10PCS/TUBE,
10TUBES/BOX,
60TUBE/CTN</v>
          </cell>
          <cell r="E961"/>
          <cell r="F961"/>
          <cell r="G961"/>
        </row>
        <row r="962">
          <cell r="C962" t="str">
            <v>PL66221-05 5/16" MASONRY DRILL BIT</v>
          </cell>
          <cell r="D962" t="str">
            <v>10PCS/TUBE,
10TUBES/BOX,
50TUBE/CTN</v>
          </cell>
          <cell r="E962"/>
          <cell r="F962"/>
          <cell r="G962"/>
        </row>
        <row r="963">
          <cell r="C963" t="str">
            <v>PL66221-06 3/8" MASONRY DRILL BIT</v>
          </cell>
          <cell r="D963" t="str">
            <v>10PCS/TUBE,
10TUBES/BOX,
30TUBE/CTN</v>
          </cell>
          <cell r="E963"/>
          <cell r="F963"/>
          <cell r="G963"/>
        </row>
        <row r="964">
          <cell r="C964"/>
          <cell r="D964"/>
          <cell r="E964"/>
          <cell r="F964"/>
          <cell r="G964"/>
        </row>
        <row r="965">
          <cell r="C965"/>
          <cell r="D965" t="str">
            <v>DESCRIPTION</v>
          </cell>
          <cell r="E965" t="str">
            <v>PRICE</v>
          </cell>
          <cell r="F965"/>
          <cell r="G965"/>
        </row>
        <row r="966">
          <cell r="C966"/>
          <cell r="D966" t="str">
            <v>5PCS/TUBE,
10TUBES/BOX,
40TUBE/CTN</v>
          </cell>
          <cell r="E966"/>
          <cell r="F966"/>
          <cell r="G966"/>
        </row>
        <row r="967">
          <cell r="C967" t="str">
            <v>PL66221-08 5/8" MASONRY DRILL BIT</v>
          </cell>
          <cell r="D967" t="str">
            <v>5PCS/TUBE,
10TUBES/BOX,
40TUBE/CTN</v>
          </cell>
          <cell r="E967"/>
          <cell r="F967"/>
          <cell r="G967"/>
        </row>
        <row r="968">
          <cell r="C968" t="str">
            <v>PL66221-09 3/4" PMASONRY DRILL BIT</v>
          </cell>
          <cell r="D968" t="str">
            <v>4PCS/TUBE,
10TUBES/BOX,
40TUBE/CTN</v>
          </cell>
          <cell r="E968"/>
          <cell r="F968"/>
          <cell r="G968"/>
        </row>
        <row r="969">
          <cell r="C969" t="str">
            <v>PL66221-10 1" MASONRY DRILL BIT</v>
          </cell>
          <cell r="D969" t="str">
            <v>1PCS/TUBE,
10TUBES/BOX,
80TUBE/CTN</v>
          </cell>
          <cell r="E969"/>
          <cell r="F969"/>
          <cell r="G969"/>
        </row>
        <row r="970">
          <cell r="C970" t="str">
            <v>PL66220-1 3/32" M2 HSS DRILL BIT</v>
          </cell>
          <cell r="D970" t="str">
            <v>10PCS/TUBE,
10TUBES/BOX,
200TUBE/CTN</v>
          </cell>
          <cell r="E970"/>
          <cell r="F970"/>
          <cell r="G970"/>
        </row>
        <row r="971">
          <cell r="C971" t="str">
            <v>PL66220-2 1/8" M2 HSS DRILL BIT</v>
          </cell>
          <cell r="D971" t="str">
            <v>10PCS/TUBE,
10TUBES/BOX,
250TUBE/CTN</v>
          </cell>
          <cell r="E971"/>
          <cell r="F971"/>
          <cell r="G971"/>
        </row>
        <row r="972">
          <cell r="C972" t="str">
            <v>PL66220-3 5/32" M2 HSS DRILL BIT</v>
          </cell>
          <cell r="D972" t="str">
            <v>10PCS/TUBE,
10TUBES/BOX,
200TUBE/CTN</v>
          </cell>
          <cell r="E972"/>
          <cell r="F972"/>
          <cell r="G972"/>
        </row>
        <row r="973">
          <cell r="C973" t="str">
            <v>PL66220-4 3/16" M2 HSS DRILL BIT</v>
          </cell>
          <cell r="D973" t="str">
            <v>10PCS/TUBE,
10TUBES/BOX,
200TUBE/CTN</v>
          </cell>
          <cell r="E973"/>
          <cell r="F973"/>
          <cell r="G973"/>
        </row>
        <row r="974">
          <cell r="C974" t="str">
            <v>PL66220-5 1/4" M2 HSS DRILL BIT</v>
          </cell>
          <cell r="D974" t="str">
            <v>10PCS/TUBE,
10TUBES/BOX,
50TUBE/CTN</v>
          </cell>
          <cell r="E974"/>
          <cell r="F974"/>
          <cell r="G974"/>
        </row>
        <row r="975">
          <cell r="C975" t="str">
            <v>PL66220-6 5/16" M2 HSS DRILL BIT</v>
          </cell>
          <cell r="D975" t="str">
            <v>10PCS/TUBE,
10TUBES/BOX,
50TUBE/CTN</v>
          </cell>
          <cell r="E975"/>
          <cell r="F975"/>
          <cell r="G975"/>
        </row>
        <row r="976">
          <cell r="C976" t="str">
            <v>PL66220-7 3/8" M2 HSS DRILL BIT</v>
          </cell>
          <cell r="D976" t="str">
            <v>5PCS/TUBE,
10TUBES/BOX,
40TUBE/CTN</v>
          </cell>
          <cell r="E976"/>
          <cell r="F976"/>
          <cell r="G976"/>
        </row>
        <row r="977">
          <cell r="C977"/>
          <cell r="D977"/>
          <cell r="E977"/>
          <cell r="F977"/>
          <cell r="G977"/>
        </row>
        <row r="978">
          <cell r="C978"/>
          <cell r="D978" t="str">
            <v>DESCRIPTION</v>
          </cell>
          <cell r="E978" t="str">
            <v>PRICE</v>
          </cell>
          <cell r="F978" t="str">
            <v>VOLUME LESS</v>
          </cell>
          <cell r="G978" t="str">
            <v>REGULAR
LESS</v>
          </cell>
        </row>
        <row r="979">
          <cell r="C979"/>
          <cell r="D979" t="str">
            <v>5PCS/TUBE,
10TUBES/BOX,
20TUBE/CTN</v>
          </cell>
          <cell r="E979"/>
          <cell r="F979"/>
          <cell r="G979"/>
        </row>
        <row r="980">
          <cell r="C980"/>
          <cell r="D980"/>
          <cell r="E980"/>
          <cell r="F980"/>
          <cell r="G980"/>
        </row>
        <row r="981">
          <cell r="C981" t="str">
            <v>PL66240-1 SCREW DRIVER BIT 50MM</v>
          </cell>
          <cell r="D981" t="str">
            <v>100CARD/CTN</v>
          </cell>
          <cell r="E981" t="str">
            <v>130.00/SET</v>
          </cell>
          <cell r="F981"/>
          <cell r="G981"/>
        </row>
        <row r="982">
          <cell r="C982" t="str">
            <v>PL66240-2 SCREW DRIVER BIT 65MM</v>
          </cell>
          <cell r="D982" t="str">
            <v>100CARD/CTN</v>
          </cell>
          <cell r="E982" t="str">
            <v>140.00/SET</v>
          </cell>
          <cell r="F982"/>
          <cell r="G982"/>
        </row>
        <row r="983">
          <cell r="C983"/>
          <cell r="D983"/>
          <cell r="E983"/>
          <cell r="F983"/>
          <cell r="G983"/>
        </row>
        <row r="984">
          <cell r="C984" t="str">
            <v>PL66250-1 8*48MM 6PCS MAGNETIC TEKSCREW ADAPTOR</v>
          </cell>
          <cell r="D984" t="str">
            <v>80CARD/CTN</v>
          </cell>
          <cell r="E984">
            <v>20</v>
          </cell>
          <cell r="F984"/>
          <cell r="G984"/>
        </row>
        <row r="985">
          <cell r="C985" t="str">
            <v>PL66250-2 8*65MM 6PCS MAGNETIC TEKSCREW ADAPTOR</v>
          </cell>
          <cell r="D985" t="str">
            <v>80CARD/CTN</v>
          </cell>
          <cell r="E985">
            <v>25</v>
          </cell>
          <cell r="F985"/>
          <cell r="G985"/>
        </row>
        <row r="986">
          <cell r="C986"/>
          <cell r="D986"/>
          <cell r="E986"/>
          <cell r="F986"/>
          <cell r="G986"/>
        </row>
        <row r="987">
          <cell r="C987" t="str">
            <v>PL66232-1 POLONET HOLE SAW 3 PCS (2-1/8", 木 工扁钻1支，7/8“接杆1支）</v>
          </cell>
          <cell r="D987" t="str">
            <v>100SETS/CTN</v>
          </cell>
          <cell r="E987">
            <v>110</v>
          </cell>
          <cell r="F987"/>
          <cell r="G987"/>
        </row>
        <row r="988">
          <cell r="C988" t="str">
            <v>PL66232-2 POLONET HOLE SAW 6 PCS (1-1/4”, 1- 1/2", 2", 2-1/8",接杆1支, 内六角1支）</v>
          </cell>
          <cell r="D988" t="str">
            <v>60SETS/CTN</v>
          </cell>
          <cell r="E988">
            <v>120</v>
          </cell>
          <cell r="F988"/>
          <cell r="G988"/>
        </row>
        <row r="989">
          <cell r="C989"/>
          <cell r="D989"/>
          <cell r="E989"/>
          <cell r="F989"/>
          <cell r="G989"/>
        </row>
        <row r="990">
          <cell r="C990" t="str">
            <v>PL66080 CAULKING GUN SEMI-CIRCLE DOUBLE STRIP</v>
          </cell>
          <cell r="D990" t="str">
            <v>50PCS/CTN</v>
          </cell>
          <cell r="E990">
            <v>85</v>
          </cell>
          <cell r="F990"/>
          <cell r="G990"/>
        </row>
        <row r="991">
          <cell r="C991" t="str">
            <v>PL66081 CAULKING GUN SEMI-CIRCLE GLASS GLUE GUN W/ HOLSTER</v>
          </cell>
          <cell r="D991" t="str">
            <v>50PCS/CTN</v>
          </cell>
          <cell r="E991">
            <v>110</v>
          </cell>
          <cell r="F991"/>
          <cell r="G991"/>
        </row>
        <row r="992">
          <cell r="C992"/>
          <cell r="D992"/>
          <cell r="E992"/>
          <cell r="F992"/>
          <cell r="G992"/>
        </row>
        <row r="993">
          <cell r="C993"/>
          <cell r="D993"/>
          <cell r="E993"/>
          <cell r="F993"/>
          <cell r="G993"/>
        </row>
        <row r="994">
          <cell r="C994"/>
          <cell r="D994" t="str">
            <v>DESCRIPTION</v>
          </cell>
          <cell r="E994" t="str">
            <v>PRICE</v>
          </cell>
          <cell r="F994" t="str">
            <v>VOLUME LESS</v>
          </cell>
          <cell r="G994" t="str">
            <v>REGULAR
LESS</v>
          </cell>
        </row>
        <row r="995">
          <cell r="C995"/>
          <cell r="D995"/>
          <cell r="E995"/>
          <cell r="F995"/>
          <cell r="G995"/>
        </row>
        <row r="996">
          <cell r="C996" t="str">
            <v>PL66390 POLONET HAND RIVETER 10.5"</v>
          </cell>
          <cell r="D996" t="str">
            <v>24PCS/CTN</v>
          </cell>
          <cell r="E996">
            <v>280</v>
          </cell>
          <cell r="F996"/>
          <cell r="G996"/>
        </row>
        <row r="997">
          <cell r="C997"/>
          <cell r="D997" t="str">
            <v>12PCS*4BOX/CTN</v>
          </cell>
          <cell r="E997"/>
          <cell r="F997"/>
          <cell r="G997"/>
        </row>
        <row r="998">
          <cell r="C998"/>
          <cell r="D998"/>
          <cell r="E998"/>
          <cell r="F998"/>
          <cell r="G998"/>
        </row>
        <row r="999">
          <cell r="C999" t="str">
            <v>PL66380 POLONET WHEEL BARROW</v>
          </cell>
          <cell r="D999" t="str">
            <v>1SET</v>
          </cell>
          <cell r="E999">
            <v>1600</v>
          </cell>
          <cell r="F999"/>
          <cell r="G999"/>
        </row>
        <row r="1000">
          <cell r="C1000"/>
          <cell r="D1000"/>
          <cell r="E1000"/>
          <cell r="F1000"/>
          <cell r="G1000"/>
        </row>
        <row r="1001">
          <cell r="C1001" t="str">
            <v>PL66291-00 SAFETY RAIN SHOES ALL BLACK #39 5"</v>
          </cell>
          <cell r="D1001" t="str">
            <v>10PAIRS/CTN</v>
          </cell>
          <cell r="E1001">
            <v>290</v>
          </cell>
          <cell r="F1001"/>
          <cell r="G1001"/>
        </row>
        <row r="1002">
          <cell r="C1002" t="str">
            <v>PL66291-01 SAFETY RAIN SHOES ALL BLACK #40 6"</v>
          </cell>
          <cell r="D1002" t="str">
            <v>10PAIRS/CTN</v>
          </cell>
          <cell r="E1002"/>
          <cell r="F1002"/>
          <cell r="G1002"/>
        </row>
        <row r="1003">
          <cell r="C1003" t="str">
            <v>PL66291-02 SAFETY RAIN SHOES ALL BLACK #41 7"</v>
          </cell>
          <cell r="D1003" t="str">
            <v>10PAIRS/CTN</v>
          </cell>
          <cell r="E1003"/>
          <cell r="F1003"/>
          <cell r="G1003"/>
        </row>
        <row r="1004">
          <cell r="C1004" t="str">
            <v>PL66291-03 SAFETY RAIN SHOES ALL BLACK #42 8"</v>
          </cell>
          <cell r="D1004" t="str">
            <v>10PAIRS/CTN</v>
          </cell>
          <cell r="E1004"/>
          <cell r="F1004"/>
          <cell r="G1004"/>
        </row>
        <row r="1005">
          <cell r="C1005" t="str">
            <v>PL66291-04 SAFETY RAIN SHOES ALL BLACK #43 9"</v>
          </cell>
          <cell r="D1005" t="str">
            <v>10PAIRS/CTN</v>
          </cell>
          <cell r="E1005"/>
          <cell r="F1005"/>
          <cell r="G1005"/>
        </row>
        <row r="1006">
          <cell r="C1006" t="str">
            <v>PL66291-05 SAFETY RAIN SHOES ALL BLACK #44 10"</v>
          </cell>
          <cell r="D1006" t="str">
            <v>10PAIRS/CTN</v>
          </cell>
          <cell r="E1006"/>
          <cell r="F1006"/>
          <cell r="G1006"/>
        </row>
        <row r="1007">
          <cell r="C1007" t="str">
            <v>PL66291-06 SAFETY RAIN SHOES Y&amp;B 4"</v>
          </cell>
          <cell r="D1007" t="str">
            <v>10PAIRS/CTN</v>
          </cell>
          <cell r="E1007">
            <v>310</v>
          </cell>
          <cell r="F1007"/>
          <cell r="G1007"/>
        </row>
        <row r="1008">
          <cell r="C1008" t="str">
            <v>PL66291-07 SAFETY RAIN SHOES Y&amp;B 5"</v>
          </cell>
          <cell r="D1008" t="str">
            <v>10PAIRS/CTN</v>
          </cell>
          <cell r="E1008"/>
          <cell r="F1008"/>
          <cell r="G1008"/>
        </row>
        <row r="1009">
          <cell r="C1009" t="str">
            <v>PL66291-08 SAFETY RAIN SHOES Y&amp;B 6"</v>
          </cell>
          <cell r="D1009" t="str">
            <v>10PAIRS/CTN</v>
          </cell>
          <cell r="E1009"/>
          <cell r="F1009"/>
          <cell r="G1009"/>
        </row>
        <row r="1010">
          <cell r="C1010" t="str">
            <v>PL66291-09 (LT66003-41) SAFETY RAIN SHOES Y&amp;B 7"</v>
          </cell>
          <cell r="D1010" t="str">
            <v>10PAIRS/CTN</v>
          </cell>
          <cell r="E1010"/>
          <cell r="F1010"/>
          <cell r="G1010"/>
        </row>
        <row r="1011">
          <cell r="C1011" t="str">
            <v>PL66291-10 SAFETY RAIN SHOES Y&amp;B 8"</v>
          </cell>
          <cell r="D1011" t="str">
            <v>10PAIRS/CTN</v>
          </cell>
          <cell r="E1011"/>
          <cell r="F1011"/>
          <cell r="G1011"/>
        </row>
        <row r="1012">
          <cell r="C1012" t="str">
            <v>PL66291-11 (LT66003-43) SAFETY RAIN SHOES Y&amp;B 9"</v>
          </cell>
          <cell r="D1012" t="str">
            <v>10PAIRS/CTN</v>
          </cell>
          <cell r="E1012"/>
          <cell r="F1012"/>
          <cell r="G1012"/>
        </row>
        <row r="1013">
          <cell r="C1013" t="str">
            <v>PL66291-12 (LT66003-44) SAFETY RAIN SHOES Y&amp;B 10"</v>
          </cell>
          <cell r="D1013" t="str">
            <v>10PAIRS/CTN</v>
          </cell>
          <cell r="E1013"/>
          <cell r="F1013"/>
          <cell r="G1013"/>
        </row>
        <row r="1014">
          <cell r="C1014" t="str">
            <v>G4084-37 TR SAFETY SHOES 37#</v>
          </cell>
          <cell r="D1014" t="str">
            <v>10PAIRS/CTN</v>
          </cell>
          <cell r="E1014">
            <v>380</v>
          </cell>
          <cell r="F1014"/>
          <cell r="G1014"/>
        </row>
        <row r="1015">
          <cell r="C1015" t="str">
            <v>G4084-38 TR SAFETY SHOES 38#</v>
          </cell>
          <cell r="D1015" t="str">
            <v>10PAIRS/CTN</v>
          </cell>
          <cell r="E1015"/>
          <cell r="F1015"/>
          <cell r="G1015"/>
        </row>
        <row r="1016">
          <cell r="C1016" t="str">
            <v>G4084-39 TR SAFETY SHOES 39#</v>
          </cell>
          <cell r="D1016" t="str">
            <v>10PAIRS/CTN</v>
          </cell>
          <cell r="E1016"/>
          <cell r="F1016"/>
          <cell r="G1016"/>
        </row>
        <row r="1017">
          <cell r="C1017" t="str">
            <v>G4084-40 TR SAFETY SHOES 40#</v>
          </cell>
          <cell r="D1017" t="str">
            <v>10PAIRS/CTN</v>
          </cell>
          <cell r="E1017"/>
          <cell r="F1017"/>
          <cell r="G1017"/>
        </row>
        <row r="1018">
          <cell r="C1018" t="str">
            <v>G4084-41 TR SAFETY SHOES 41#</v>
          </cell>
          <cell r="D1018" t="str">
            <v>10PAIRS/CTN</v>
          </cell>
          <cell r="E1018"/>
          <cell r="F1018"/>
          <cell r="G1018"/>
        </row>
        <row r="1019">
          <cell r="C1019" t="str">
            <v>G4084-42 TR SAFETY SHOES 42#</v>
          </cell>
          <cell r="D1019" t="str">
            <v>10PAIRS/CTN</v>
          </cell>
          <cell r="E1019"/>
          <cell r="F1019"/>
          <cell r="G1019"/>
        </row>
        <row r="1020">
          <cell r="C1020" t="str">
            <v>G4084-43 TR SAFETY SHOES 43#</v>
          </cell>
          <cell r="D1020" t="str">
            <v>10PAIRS/CTN</v>
          </cell>
          <cell r="E1020"/>
          <cell r="F1020"/>
          <cell r="G1020"/>
        </row>
        <row r="1021">
          <cell r="C1021" t="str">
            <v>G4084-44 TR SAFETY SHOES 44#</v>
          </cell>
          <cell r="D1021" t="str">
            <v>10PAIRS/CTN</v>
          </cell>
          <cell r="E1021"/>
          <cell r="F1021"/>
          <cell r="G1021"/>
        </row>
        <row r="1022">
          <cell r="C1022" t="str">
            <v>G4084-45 TR SAFETY SHOES 45#</v>
          </cell>
          <cell r="D1022" t="str">
            <v>10PAIRS/CTN</v>
          </cell>
          <cell r="E1022"/>
          <cell r="F1022"/>
          <cell r="G1022"/>
        </row>
        <row r="1023">
          <cell r="C1023" t="str">
            <v>G4084-46 TR SAFETY SHOES 46#</v>
          </cell>
          <cell r="D1023" t="str">
            <v>11PAIRS/CTN</v>
          </cell>
          <cell r="E1023"/>
          <cell r="F1023"/>
          <cell r="G1023"/>
        </row>
        <row r="1024">
          <cell r="C1024"/>
          <cell r="D1024"/>
          <cell r="E1024"/>
          <cell r="F1024"/>
          <cell r="G1024"/>
        </row>
        <row r="1025">
          <cell r="C1025"/>
          <cell r="D1025"/>
          <cell r="E1025"/>
          <cell r="F1025"/>
          <cell r="G1025"/>
        </row>
        <row r="1026">
          <cell r="C1026"/>
          <cell r="D1026"/>
          <cell r="E1026"/>
          <cell r="F1026"/>
          <cell r="G1026"/>
        </row>
        <row r="1027">
          <cell r="C1027"/>
          <cell r="D1027"/>
          <cell r="E1027"/>
          <cell r="F1027"/>
          <cell r="G1027"/>
        </row>
        <row r="1028">
          <cell r="C1028"/>
          <cell r="D1028" t="str">
            <v>DESCRIPTION</v>
          </cell>
          <cell r="E1028" t="str">
            <v>PRICE</v>
          </cell>
          <cell r="F1028" t="str">
            <v>VOLUME LESS</v>
          </cell>
          <cell r="G1028" t="str">
            <v>REGULAR
LESS</v>
          </cell>
        </row>
        <row r="1029">
          <cell r="C1029"/>
          <cell r="D1029"/>
          <cell r="E1029"/>
          <cell r="F1029"/>
          <cell r="G1029"/>
        </row>
        <row r="1030">
          <cell r="C1030" t="str">
            <v>PL66280-1 (LT66001) 500G COTTON HAND GLOVES</v>
          </cell>
          <cell r="D1030" t="str">
            <v>50DOZ/BAG</v>
          </cell>
          <cell r="E1030">
            <v>120</v>
          </cell>
          <cell r="F1030"/>
          <cell r="G1030"/>
        </row>
        <row r="1031">
          <cell r="C1031" t="str">
            <v>PL66280-2 (LT66005) 700G COTTON GLOVES S9"</v>
          </cell>
          <cell r="D1031" t="str">
            <v>50DOZ/BAG</v>
          </cell>
          <cell r="E1031">
            <v>150</v>
          </cell>
          <cell r="F1031"/>
          <cell r="G1031"/>
        </row>
        <row r="1032">
          <cell r="C1032" t="str">
            <v>PL66280-3 COLORFUL COTTON HAND GLOVES</v>
          </cell>
          <cell r="D1032" t="str">
            <v>50DOZ/BAG</v>
          </cell>
          <cell r="E1032">
            <v>110</v>
          </cell>
          <cell r="F1032"/>
          <cell r="G1032"/>
        </row>
        <row r="1033">
          <cell r="C1033" t="str">
            <v>PL66282-1 WELDING GLOVES 10.5 POLOLOCK</v>
          </cell>
          <cell r="D1033" t="str">
            <v>120PAIRS/CTN</v>
          </cell>
          <cell r="E1033">
            <v>100</v>
          </cell>
          <cell r="F1033"/>
          <cell r="G1033"/>
        </row>
        <row r="1034">
          <cell r="C1034" t="str">
            <v>PL66282-2 WELDING GLOVES 14"POLOLOCK</v>
          </cell>
          <cell r="D1034" t="str">
            <v>60PAIRS/CTN</v>
          </cell>
          <cell r="E1034">
            <v>170</v>
          </cell>
          <cell r="F1034"/>
          <cell r="G1034"/>
        </row>
        <row r="1035">
          <cell r="C1035" t="str">
            <v>PL66282-3 WELDING GLOVES 16" POLONET</v>
          </cell>
          <cell r="D1035" t="str">
            <v>60PAIRS/CTN</v>
          </cell>
          <cell r="E1035">
            <v>190</v>
          </cell>
          <cell r="F1035"/>
          <cell r="G1035"/>
        </row>
        <row r="1036">
          <cell r="C1036" t="str">
            <v>PL66282-4 (LT66009) WELDING GLOVES 18" POLONET</v>
          </cell>
          <cell r="D1036" t="str">
            <v>60PAIRS/CTN</v>
          </cell>
          <cell r="E1036">
            <v>220</v>
          </cell>
          <cell r="F1036"/>
          <cell r="G1036"/>
        </row>
        <row r="1037">
          <cell r="C1037" t="str">
            <v>PL66281 RUBBER GLOVES 70G 9"</v>
          </cell>
          <cell r="D1037" t="str">
            <v>480PAIR/CTN</v>
          </cell>
          <cell r="E1037">
            <v>32</v>
          </cell>
          <cell r="F1037"/>
          <cell r="G1037"/>
        </row>
        <row r="1038">
          <cell r="C1038"/>
          <cell r="D1038"/>
          <cell r="E1038"/>
          <cell r="F1038"/>
          <cell r="G1038"/>
        </row>
        <row r="1039">
          <cell r="C1039" t="str">
            <v>PL66370-00 #1 POLOLOCK NYLON ROPE ORANGE (0.5MM)</v>
          </cell>
          <cell r="D1039" t="str">
            <v>160 ROLL/SACK</v>
          </cell>
          <cell r="E1039"/>
          <cell r="F1039"/>
          <cell r="G1039"/>
        </row>
        <row r="1040">
          <cell r="C1040" t="str">
            <v>PL66370-01 #2 POLOLOCK NYLON ROPE ORANGE (1MM)</v>
          </cell>
          <cell r="D1040" t="str">
            <v>100ROLL/SACK</v>
          </cell>
          <cell r="E1040"/>
          <cell r="F1040"/>
          <cell r="G1040"/>
        </row>
        <row r="1041">
          <cell r="C1041"/>
          <cell r="D1041"/>
          <cell r="E1041"/>
          <cell r="F1041"/>
          <cell r="G1041"/>
        </row>
        <row r="1042">
          <cell r="C1042"/>
          <cell r="D1042" t="str">
            <v>DESCRIPTION</v>
          </cell>
          <cell r="E1042" t="str">
            <v>PRICE</v>
          </cell>
          <cell r="F1042" t="str">
            <v>VOLUME LESS</v>
          </cell>
          <cell r="G1042" t="str">
            <v>REGULAR
LESS</v>
          </cell>
        </row>
        <row r="1043">
          <cell r="C1043" t="str">
            <v>PL66370-02 #3 POLOLOCK NYLON ROPE ORANGE (1.5MM)</v>
          </cell>
          <cell r="D1043" t="str">
            <v>70 ROLL/SACK</v>
          </cell>
          <cell r="E1043"/>
          <cell r="F1043"/>
          <cell r="G1043" t="str">
            <v>LESS 15%</v>
          </cell>
        </row>
        <row r="1044">
          <cell r="C1044" t="str">
            <v>PL66370-03 #4 POLOLOCK NYLON ROPE ORANGE (2MM)</v>
          </cell>
          <cell r="D1044" t="str">
            <v>30ROLL/SACK</v>
          </cell>
          <cell r="E1044">
            <v>150</v>
          </cell>
          <cell r="F1044"/>
          <cell r="G1044"/>
        </row>
        <row r="1045">
          <cell r="C1045" t="str">
            <v>PL66370-04 #5 POLOLOCK NYLON ROPE ORANGE (2.5MM)</v>
          </cell>
          <cell r="D1045" t="str">
            <v>30ROLL/SACK</v>
          </cell>
          <cell r="E1045"/>
          <cell r="F1045"/>
          <cell r="G1045"/>
        </row>
        <row r="1046">
          <cell r="C1046" t="str">
            <v>PL66370-05 #6 POLOLOCK NYLON ROPE ORANGE (3MM)</v>
          </cell>
          <cell r="D1046" t="str">
            <v>28ROLL/SACK</v>
          </cell>
          <cell r="E1046">
            <v>235</v>
          </cell>
          <cell r="F1046"/>
          <cell r="G1046"/>
        </row>
        <row r="1047">
          <cell r="C1047" t="str">
            <v>PL66370-06 #7 POLOLOCK NYLON ROPE ORANGE (3.5MM)</v>
          </cell>
          <cell r="D1047" t="str">
            <v>16ROLL/SACK</v>
          </cell>
          <cell r="E1047">
            <v>300</v>
          </cell>
          <cell r="F1047"/>
          <cell r="G1047"/>
        </row>
        <row r="1048">
          <cell r="C1048" t="str">
            <v>PL66370-07 #8 POLOLOCK NYLON ROPE ORANGE (4MM)</v>
          </cell>
          <cell r="D1048" t="str">
            <v>12ROLL/SACK</v>
          </cell>
          <cell r="E1048">
            <v>370</v>
          </cell>
          <cell r="F1048"/>
          <cell r="G1048"/>
        </row>
        <row r="1049">
          <cell r="C1049" t="str">
            <v>PL66370-08 #9 POLOLOCK NYLON ROPE ORANGE (4.5MM)</v>
          </cell>
          <cell r="D1049" t="str">
            <v>12ROLL/SACK</v>
          </cell>
          <cell r="E1049">
            <v>485</v>
          </cell>
          <cell r="F1049"/>
          <cell r="G1049"/>
        </row>
        <row r="1050">
          <cell r="C1050" t="str">
            <v>PL66370-09 (LT77003-5) #10 POLOLOCK NYLON ROPE ORANGE (5MM)</v>
          </cell>
          <cell r="D1050" t="str">
            <v>12ROLL/SACK</v>
          </cell>
          <cell r="E1050">
            <v>580</v>
          </cell>
          <cell r="F1050"/>
          <cell r="G1050"/>
        </row>
        <row r="1051">
          <cell r="C1051" t="str">
            <v>PL66370-10 #12 POLOLOCK NYLON ROPE ORANGE (6MM)</v>
          </cell>
          <cell r="D1051" t="str">
            <v>10ROLL/SACK</v>
          </cell>
          <cell r="E1051">
            <v>765</v>
          </cell>
          <cell r="F1051"/>
          <cell r="G1051"/>
        </row>
        <row r="1052">
          <cell r="C1052" t="str">
            <v>PL66370-11 (LT77003-7) #14 POLOLOCK NYLON ROPE ORANGE (7MM)</v>
          </cell>
          <cell r="D1052" t="str">
            <v>8ROLL/SACK</v>
          </cell>
          <cell r="E1052">
            <v>1150</v>
          </cell>
          <cell r="F1052"/>
          <cell r="G1052"/>
        </row>
        <row r="1053">
          <cell r="C1053" t="str">
            <v>PL66370-12 (LT77003-8) #16 POLOLOCK NYLON ROPE ORANGE (8MM)</v>
          </cell>
          <cell r="D1053" t="str">
            <v>4ROLL/SACK</v>
          </cell>
          <cell r="E1053">
            <v>1350</v>
          </cell>
          <cell r="F1053"/>
          <cell r="G1053"/>
        </row>
        <row r="1054">
          <cell r="C1054" t="str">
            <v>PL66370-13 (LT77003-9) #18 POLOLOCK NYLON ROPE ORANGE (9MM)</v>
          </cell>
          <cell r="D1054" t="str">
            <v>3ROLL/SACK</v>
          </cell>
          <cell r="E1054">
            <v>1750</v>
          </cell>
          <cell r="F1054"/>
          <cell r="G1054"/>
        </row>
        <row r="1055">
          <cell r="C1055" t="str">
            <v>PL66370-14 #20 POLONET NYLON ROPE ORANGE (10MM)</v>
          </cell>
          <cell r="D1055" t="str">
            <v>3ROLL/SACK</v>
          </cell>
          <cell r="E1055">
            <v>2190</v>
          </cell>
          <cell r="F1055"/>
          <cell r="G1055"/>
        </row>
        <row r="1056">
          <cell r="C1056" t="str">
            <v>PL66370-15 #22 POLOLOCK NYLON ROPE ORANGE (11MM)</v>
          </cell>
          <cell r="D1056" t="str">
            <v>3ROLL/SACK</v>
          </cell>
          <cell r="E1056">
            <v>2635</v>
          </cell>
          <cell r="F1056"/>
          <cell r="G1056"/>
        </row>
        <row r="1057">
          <cell r="C1057" t="str">
            <v>PL66370-16 #24 POLOLOCK NYLON ROPE ORANGE (12MM)</v>
          </cell>
          <cell r="D1057" t="str">
            <v>3ROLL/SACK</v>
          </cell>
          <cell r="E1057">
            <v>3175</v>
          </cell>
          <cell r="F1057"/>
          <cell r="G1057"/>
        </row>
        <row r="1058">
          <cell r="C1058" t="str">
            <v>PL66370-17 #26 POLOLOCK NYLON ROPE ORANGE (13MM)</v>
          </cell>
          <cell r="D1058" t="str">
            <v>2ROLL/SACK</v>
          </cell>
          <cell r="E1058">
            <v>3850</v>
          </cell>
          <cell r="F1058"/>
          <cell r="G1058"/>
        </row>
        <row r="1059">
          <cell r="C1059" t="str">
            <v>PL66370-18 #28 POLOLOCK NYLON ROPE ORANGE (14MM)</v>
          </cell>
          <cell r="D1059" t="str">
            <v>2ROLL/SACK</v>
          </cell>
          <cell r="E1059">
            <v>4350</v>
          </cell>
          <cell r="F1059"/>
          <cell r="G1059"/>
        </row>
        <row r="1060">
          <cell r="C1060" t="str">
            <v>PL66370-19 #32 POLOLCK NYLON ROPE ORANGE (16MM)</v>
          </cell>
          <cell r="D1060" t="str">
            <v>1ROLL/SACK</v>
          </cell>
          <cell r="E1060"/>
          <cell r="F1060"/>
          <cell r="G1060"/>
        </row>
        <row r="1061">
          <cell r="C1061"/>
          <cell r="D1061"/>
          <cell r="E1061"/>
          <cell r="F1061"/>
          <cell r="G1061"/>
        </row>
        <row r="1062">
          <cell r="C1062"/>
          <cell r="D1062" t="str">
            <v>DESCRIPTION</v>
          </cell>
          <cell r="E1062" t="str">
            <v>PRICE</v>
          </cell>
          <cell r="F1062" t="str">
            <v>VOLUME LESS</v>
          </cell>
          <cell r="G1062" t="str">
            <v>REGULAR
LESS</v>
          </cell>
        </row>
        <row r="1063">
          <cell r="C1063" t="str">
            <v>PL66370-20 (LT77003-17) #34 POLOLOCK NYLON ROPE ORANGE (17MM)</v>
          </cell>
          <cell r="D1063" t="str">
            <v>1ROLL/SACK</v>
          </cell>
          <cell r="E1063"/>
          <cell r="F1063"/>
          <cell r="G1063"/>
        </row>
        <row r="1064">
          <cell r="C1064" t="str">
            <v>PL66370-21 #36 POLOLOCK NYLON ROPE ORANGE (18MM)</v>
          </cell>
          <cell r="D1064" t="str">
            <v>1ROLL/SACK</v>
          </cell>
          <cell r="E1064"/>
          <cell r="F1064"/>
          <cell r="G1064"/>
        </row>
        <row r="1065">
          <cell r="C1065" t="str">
            <v>PL66370-22 (LT77003-19) #38 POLOLOCK NYLON ROPE ORANGE (19MM)</v>
          </cell>
          <cell r="D1065" t="str">
            <v>1ROLL/SACK</v>
          </cell>
          <cell r="E1065"/>
          <cell r="F1065"/>
          <cell r="G1065"/>
        </row>
        <row r="1066">
          <cell r="C1066" t="str">
            <v>PL66370-23 (LT77003-20) #40 POLONET NYLON ROPE ORANGE (20MM) 1*1</v>
          </cell>
          <cell r="D1066" t="str">
            <v>1ROLL/SACK</v>
          </cell>
          <cell r="E1066"/>
          <cell r="F1066"/>
          <cell r="G1066"/>
        </row>
        <row r="1067">
          <cell r="C1067" t="str">
            <v>PL66370-29 POLONET NYLON ROPE BLUE 3MM*200m</v>
          </cell>
          <cell r="D1067" t="str">
            <v>28ROLL/SACK</v>
          </cell>
          <cell r="E1067">
            <v>235</v>
          </cell>
          <cell r="F1067"/>
          <cell r="G1067" t="str">
            <v>LESS 15%</v>
          </cell>
        </row>
        <row r="1068">
          <cell r="C1068" t="str">
            <v>PL66370-31 POLONET NYLON ROPE BLUE 4MM*200m</v>
          </cell>
          <cell r="D1068" t="str">
            <v>12ROLL/SACK</v>
          </cell>
          <cell r="E1068">
            <v>370</v>
          </cell>
          <cell r="F1068"/>
          <cell r="G1068"/>
        </row>
        <row r="1069">
          <cell r="C1069" t="str">
            <v>PL66370-33 POLONET NYLON ROPE BLUE 5MM*200m</v>
          </cell>
          <cell r="D1069" t="str">
            <v>12ROLL/SACK</v>
          </cell>
          <cell r="E1069">
            <v>580</v>
          </cell>
          <cell r="F1069"/>
          <cell r="G1069"/>
        </row>
        <row r="1070">
          <cell r="C1070" t="str">
            <v>PL66370-34 POLONET NYLON ROPE BLUE 6MM*200m</v>
          </cell>
          <cell r="D1070" t="str">
            <v>10ROLL/SACK</v>
          </cell>
          <cell r="E1070">
            <v>765</v>
          </cell>
          <cell r="F1070"/>
          <cell r="G1070"/>
        </row>
        <row r="1071">
          <cell r="C1071" t="str">
            <v>PL66370-35 POLONET NYLON ROPE BLUE 7MM*200m</v>
          </cell>
          <cell r="D1071" t="str">
            <v>8ROLL/SACK</v>
          </cell>
          <cell r="E1071">
            <v>1150</v>
          </cell>
          <cell r="F1071"/>
          <cell r="G1071"/>
        </row>
        <row r="1072">
          <cell r="C1072" t="str">
            <v>PL66370-36 POLONET NYLON ROPE BLUE 8MM*200m</v>
          </cell>
          <cell r="D1072" t="str">
            <v>4ROLL/SACK</v>
          </cell>
          <cell r="E1072">
            <v>1315</v>
          </cell>
          <cell r="F1072"/>
          <cell r="G1072"/>
        </row>
        <row r="1073">
          <cell r="C1073" t="str">
            <v>PL66370-37 POLONET NYLON ROPE BLUE 9MM*200m</v>
          </cell>
          <cell r="D1073" t="str">
            <v>3ROLL/SACK</v>
          </cell>
          <cell r="E1073">
            <v>1750</v>
          </cell>
          <cell r="F1073"/>
          <cell r="G1073"/>
        </row>
        <row r="1074">
          <cell r="C1074" t="str">
            <v>PL66370-38 POLONET NYLON ROPE BLUE 10MM*200m</v>
          </cell>
          <cell r="D1074" t="str">
            <v>3ROLL/SACK</v>
          </cell>
          <cell r="E1074">
            <v>2190</v>
          </cell>
          <cell r="F1074"/>
          <cell r="G1074"/>
        </row>
        <row r="1075">
          <cell r="C1075" t="str">
            <v>PL66370-39 POLONET NYLON ROPE BLUE 11MM*200m</v>
          </cell>
          <cell r="D1075" t="str">
            <v>3ROLL/SACK</v>
          </cell>
          <cell r="E1075">
            <v>2635</v>
          </cell>
          <cell r="F1075"/>
          <cell r="G1075"/>
        </row>
        <row r="1076">
          <cell r="C1076" t="str">
            <v>PL66370-40 POLONET NYLON ROPE BLUE 12MM*200m</v>
          </cell>
          <cell r="D1076" t="str">
            <v>3ROLL/SACK</v>
          </cell>
          <cell r="E1076">
            <v>3175</v>
          </cell>
          <cell r="F1076"/>
          <cell r="G1076"/>
        </row>
        <row r="1077">
          <cell r="C1077" t="str">
            <v>PL66370-41 POLONET NYLON ROPE BLUE 13MM*200m</v>
          </cell>
          <cell r="D1077" t="str">
            <v>2ROLL/SACK</v>
          </cell>
          <cell r="E1077">
            <v>3850</v>
          </cell>
          <cell r="F1077"/>
          <cell r="G1077"/>
        </row>
        <row r="1078">
          <cell r="C1078" t="str">
            <v>PL66370-42 POLONET NYLON ROPE BLUE 14MM*200m</v>
          </cell>
          <cell r="D1078" t="str">
            <v>2ROLL/SACK</v>
          </cell>
          <cell r="E1078">
            <v>4350</v>
          </cell>
          <cell r="F1078"/>
          <cell r="G1078"/>
        </row>
        <row r="1079">
          <cell r="C1079" t="str">
            <v>PL66370-43 POLONET NYLON ROPE BLUE 16MM*200m</v>
          </cell>
          <cell r="D1079" t="str">
            <v>1ROLL/SACK</v>
          </cell>
          <cell r="E1079"/>
          <cell r="F1079"/>
          <cell r="G1079"/>
        </row>
        <row r="1080">
          <cell r="C1080"/>
          <cell r="D1080"/>
          <cell r="E1080"/>
          <cell r="F1080"/>
          <cell r="G1080"/>
        </row>
        <row r="1081">
          <cell r="C1081"/>
          <cell r="D1081"/>
          <cell r="E1081"/>
          <cell r="F1081"/>
          <cell r="G1081"/>
        </row>
        <row r="1082">
          <cell r="C1082"/>
          <cell r="D1082" t="str">
            <v>DESCRIPTION</v>
          </cell>
          <cell r="E1082" t="str">
            <v>PRICE</v>
          </cell>
          <cell r="F1082" t="str">
            <v>VOLUME LESS</v>
          </cell>
          <cell r="G1082" t="str">
            <v>REGULAR
LESS</v>
          </cell>
        </row>
        <row r="1083">
          <cell r="C1083"/>
          <cell r="D1083"/>
          <cell r="E1083"/>
          <cell r="F1083"/>
          <cell r="G1083"/>
        </row>
        <row r="1084">
          <cell r="C1084" t="str">
            <v>PL66371-1 (LT77008-1) POLONET NYLON FISHING LINE 2.50MM</v>
          </cell>
          <cell r="D1084" t="str">
            <v>25PACK/SACK</v>
          </cell>
          <cell r="E1084" t="str">
            <v>400.00/KL</v>
          </cell>
          <cell r="F1084"/>
          <cell r="G1084"/>
        </row>
        <row r="1085">
          <cell r="C1085" t="str">
            <v>PL66371-2 (LT77008-2) POLONET NYLON FISHING LINE 3.00MM</v>
          </cell>
          <cell r="D1085" t="str">
            <v>25PACK/SACK</v>
          </cell>
          <cell r="E1085"/>
          <cell r="F1085"/>
          <cell r="G1085"/>
        </row>
        <row r="1086">
          <cell r="C1086" t="str">
            <v>PL66371-3 POLONET NYLON FISHING LINE 3.50MM</v>
          </cell>
          <cell r="D1086" t="str">
            <v>25PACK/SACK</v>
          </cell>
          <cell r="E1086"/>
          <cell r="F1086"/>
          <cell r="G1086"/>
        </row>
        <row r="1087">
          <cell r="C1087" t="str">
            <v>PL66371-4 POLONET NYLON FISHING LINE 4.00MM</v>
          </cell>
          <cell r="D1087" t="str">
            <v>25PACK/SACK</v>
          </cell>
          <cell r="E1087"/>
          <cell r="F1087"/>
          <cell r="G1087"/>
        </row>
        <row r="1088">
          <cell r="C1088"/>
          <cell r="D1088"/>
          <cell r="E1088"/>
          <cell r="F1088"/>
          <cell r="G1088"/>
        </row>
        <row r="1089">
          <cell r="C1089" t="str">
            <v>PL66010-1 (LT77006-1) PILLOW BLOCK BEARING 1/2" #201</v>
          </cell>
          <cell r="D1089" t="str">
            <v>40PCS/CTN</v>
          </cell>
          <cell r="E1089">
            <v>150</v>
          </cell>
          <cell r="F1089"/>
          <cell r="G1089"/>
        </row>
        <row r="1090">
          <cell r="C1090" t="str">
            <v>PL66010-2 (LT77006-2) PILLOW BLOCK BEARING 5/8" #202</v>
          </cell>
          <cell r="D1090" t="str">
            <v>40PCS/CTN</v>
          </cell>
          <cell r="E1090">
            <v>150</v>
          </cell>
          <cell r="F1090"/>
          <cell r="G1090"/>
        </row>
        <row r="1091">
          <cell r="C1091" t="str">
            <v>PL66010-3 (LT77006-3) PILLOW BLOCK BEARING 3/4" #204</v>
          </cell>
          <cell r="D1091" t="str">
            <v>40PCS/CTN</v>
          </cell>
          <cell r="E1091">
            <v>160</v>
          </cell>
          <cell r="F1091"/>
          <cell r="G1091"/>
        </row>
        <row r="1092">
          <cell r="C1092" t="str">
            <v>PL66010-4 (LT77006-4) PILLOW BLOCK BEARING 1" #205</v>
          </cell>
          <cell r="D1092" t="str">
            <v>40PCS/CTN</v>
          </cell>
          <cell r="E1092">
            <v>170</v>
          </cell>
          <cell r="F1092"/>
          <cell r="G1092"/>
        </row>
        <row r="1093">
          <cell r="C1093" t="str">
            <v>PL66010-5 (LT77006-5) PILLOW BLOCK BEARING 1-1/8" #206</v>
          </cell>
          <cell r="D1093" t="str">
            <v>24PCS/CTN</v>
          </cell>
          <cell r="E1093">
            <v>230</v>
          </cell>
          <cell r="F1093"/>
          <cell r="G1093"/>
        </row>
        <row r="1094">
          <cell r="C1094" t="str">
            <v>PL66010-6 (LT77006-6) PILLOW BLOCK BEARING 1-1/4 " #207</v>
          </cell>
          <cell r="D1094" t="str">
            <v>15PCS/CTN</v>
          </cell>
          <cell r="E1094">
            <v>330</v>
          </cell>
          <cell r="F1094"/>
          <cell r="G1094"/>
        </row>
        <row r="1095">
          <cell r="C1095" t="str">
            <v>PL66010-7 (LT77006-7) PILLOW BLOCK BEARING 1-1/2" #208</v>
          </cell>
          <cell r="D1095" t="str">
            <v>15PCS/CTN</v>
          </cell>
          <cell r="E1095">
            <v>380</v>
          </cell>
          <cell r="F1095"/>
          <cell r="G1095"/>
        </row>
        <row r="1096">
          <cell r="C1096" t="str">
            <v>PL66010-8 (LT77006-8) PILLOW BLOCK BEARING 2" #211</v>
          </cell>
          <cell r="D1096" t="str">
            <v>10PCS/CTN</v>
          </cell>
          <cell r="E1096">
            <v>595</v>
          </cell>
          <cell r="F1096"/>
          <cell r="G1096"/>
        </row>
        <row r="1097">
          <cell r="C1097"/>
          <cell r="D1097"/>
          <cell r="E1097"/>
          <cell r="F1097"/>
          <cell r="G1097"/>
        </row>
        <row r="1098">
          <cell r="C1098" t="str">
            <v>PL66301-1 POLOLOCK ELECTRODE HOLDER 300AMP</v>
          </cell>
          <cell r="D1098" t="str">
            <v>24PCS/CTN</v>
          </cell>
          <cell r="E1098">
            <v>295</v>
          </cell>
          <cell r="F1098"/>
          <cell r="G1098"/>
        </row>
        <row r="1099">
          <cell r="C1099" t="str">
            <v>PL66301-2 POLOLOCK ELECTRODE HOLDER 500AMP</v>
          </cell>
          <cell r="D1099" t="str">
            <v>24PCS/CTN</v>
          </cell>
          <cell r="E1099">
            <v>395</v>
          </cell>
          <cell r="F1099"/>
          <cell r="G1099"/>
        </row>
        <row r="1100">
          <cell r="C1100" t="str">
            <v>PL66300-1 (LT99001-300A) POLONET ELECTRODE HOLDER 300AMP</v>
          </cell>
          <cell r="D1100" t="str">
            <v>25PCS/CTN</v>
          </cell>
          <cell r="E1100">
            <v>130</v>
          </cell>
          <cell r="F1100"/>
          <cell r="G1100"/>
        </row>
        <row r="1101">
          <cell r="C1101" t="str">
            <v>PL66300-2 (LT99001-500A) POLONET ELECTRODE HOLDER 500AMP</v>
          </cell>
          <cell r="D1101" t="str">
            <v>25PCS/CTN</v>
          </cell>
          <cell r="E1101">
            <v>150</v>
          </cell>
          <cell r="F1101"/>
          <cell r="G1101"/>
        </row>
        <row r="1102">
          <cell r="C1102"/>
          <cell r="D1102"/>
          <cell r="E1102"/>
          <cell r="F1102"/>
          <cell r="G1102"/>
        </row>
        <row r="1103">
          <cell r="C1103"/>
          <cell r="D1103" t="str">
            <v>DESCRIPTION</v>
          </cell>
          <cell r="E1103" t="str">
            <v>PRICE</v>
          </cell>
          <cell r="F1103" t="str">
            <v>VOLUME LESS</v>
          </cell>
          <cell r="G1103" t="str">
            <v>REGULAR
LESS</v>
          </cell>
        </row>
        <row r="1104">
          <cell r="C1104"/>
          <cell r="D1104"/>
          <cell r="E1104"/>
          <cell r="F1104"/>
          <cell r="G1104"/>
        </row>
        <row r="1105">
          <cell r="C1105" t="str">
            <v>PL66340-1 #10 DARK WELDING LENS GLASS</v>
          </cell>
          <cell r="D1105" t="str">
            <v>600PCS/CTN</v>
          </cell>
          <cell r="E1105">
            <v>10</v>
          </cell>
          <cell r="F1105"/>
          <cell r="G1105"/>
        </row>
        <row r="1106">
          <cell r="C1106" t="str">
            <v>PL66340-2 #12 DARK WELDING LENS GLASS</v>
          </cell>
          <cell r="D1106" t="str">
            <v>600PCS/CTN</v>
          </cell>
          <cell r="E1106">
            <v>10</v>
          </cell>
          <cell r="F1106"/>
          <cell r="G1106"/>
        </row>
        <row r="1107">
          <cell r="C1107" t="str">
            <v>PL66340-3 WELDING LENS CLEAR GLASS (TRANSPARENT)</v>
          </cell>
          <cell r="D1107" t="str">
            <v>180PCS*5BOXES
/CTN</v>
          </cell>
          <cell r="E1107">
            <v>8</v>
          </cell>
          <cell r="F1107"/>
          <cell r="G1107"/>
        </row>
        <row r="1108">
          <cell r="C1108"/>
          <cell r="D1108"/>
          <cell r="E1108"/>
          <cell r="F1108"/>
          <cell r="G1108"/>
        </row>
        <row r="1109">
          <cell r="C1109" t="str">
            <v>PL66320-1 WELDING ELECTRODES 3/32"*12"N.W2.5KGS*</v>
          </cell>
          <cell r="D1109" t="str">
            <v>8BOXES/1CTN</v>
          </cell>
          <cell r="E1109">
            <v>1350</v>
          </cell>
          <cell r="F1109"/>
          <cell r="G1109"/>
        </row>
        <row r="1110">
          <cell r="C1110" t="str">
            <v>PL66320-2 WELDING ELECTRODES 1/8"*14"N.W5KGS*</v>
          </cell>
          <cell r="D1110" t="str">
            <v>4BOXES/1CTN</v>
          </cell>
          <cell r="E1110">
            <v>1260</v>
          </cell>
          <cell r="F1110"/>
          <cell r="G1110"/>
        </row>
        <row r="1111">
          <cell r="C1111"/>
          <cell r="D1111"/>
          <cell r="E1111"/>
          <cell r="F1111"/>
          <cell r="G1111"/>
        </row>
        <row r="1112">
          <cell r="C1112" t="str">
            <v>PL66330-1 BLUE WELDING MASK W/HANDLE</v>
          </cell>
          <cell r="D1112" t="str">
            <v>30PCS/CTN</v>
          </cell>
          <cell r="E1112">
            <v>110</v>
          </cell>
          <cell r="F1112"/>
          <cell r="G1112"/>
        </row>
        <row r="1113">
          <cell r="C1113" t="str">
            <v>PL66330-2 BLUE WELDING MASK W/HEAD MOUNTED OPEN TYPE</v>
          </cell>
          <cell r="D1113" t="str">
            <v>30PCS/CTN</v>
          </cell>
          <cell r="E1113">
            <v>160</v>
          </cell>
          <cell r="F1113"/>
          <cell r="G1113"/>
        </row>
        <row r="1114">
          <cell r="C1114"/>
          <cell r="D1114"/>
          <cell r="E1114"/>
          <cell r="F1114"/>
          <cell r="G1114"/>
        </row>
        <row r="1115">
          <cell r="C1115" t="str">
            <v>PL66310-1 POLONET WELDING CABLE 38M</v>
          </cell>
          <cell r="D1115" t="str">
            <v>500M/1ROLL</v>
          </cell>
          <cell r="E1115">
            <v>11000</v>
          </cell>
          <cell r="F1115"/>
          <cell r="G1115"/>
        </row>
        <row r="1116">
          <cell r="C1116"/>
          <cell r="D1116" t="str">
            <v>1ROLL</v>
          </cell>
          <cell r="E1116"/>
          <cell r="F1116"/>
          <cell r="G1116"/>
        </row>
        <row r="1117">
          <cell r="C1117"/>
          <cell r="D1117"/>
          <cell r="E1117"/>
          <cell r="F1117"/>
          <cell r="G1117"/>
        </row>
        <row r="1118">
          <cell r="C1118" t="str">
            <v>PL66410-1 BLUE SAFETY HELMET</v>
          </cell>
          <cell r="D1118" t="str">
            <v>50PCS/CTN</v>
          </cell>
          <cell r="E1118">
            <v>90</v>
          </cell>
          <cell r="F1118"/>
          <cell r="G1118"/>
        </row>
        <row r="1119">
          <cell r="C1119" t="str">
            <v>PL66410-2 GREEN SAFETY HELMET</v>
          </cell>
          <cell r="D1119" t="str">
            <v>50PCS/CTN</v>
          </cell>
          <cell r="E1119">
            <v>90</v>
          </cell>
          <cell r="F1119"/>
          <cell r="G1119"/>
        </row>
        <row r="1120">
          <cell r="C1120" t="str">
            <v>PL66410-3 YELLOW SAFETY HELMET</v>
          </cell>
          <cell r="D1120" t="str">
            <v>50PCS/CTN</v>
          </cell>
          <cell r="E1120">
            <v>90</v>
          </cell>
          <cell r="F1120"/>
          <cell r="G1120"/>
        </row>
        <row r="1121">
          <cell r="C1121" t="str">
            <v>PL66410-4 RED SAFETY HELMET</v>
          </cell>
          <cell r="D1121" t="str">
            <v>50PCS/CTN</v>
          </cell>
          <cell r="E1121">
            <v>90</v>
          </cell>
          <cell r="F1121"/>
          <cell r="G1121"/>
        </row>
        <row r="1122">
          <cell r="C1122" t="str">
            <v>PL66410-5 WHITE SAFETY HELMET</v>
          </cell>
          <cell r="D1122" t="str">
            <v>50PCS/CTN</v>
          </cell>
          <cell r="E1122">
            <v>90</v>
          </cell>
          <cell r="F1122"/>
          <cell r="G1122"/>
        </row>
        <row r="1123">
          <cell r="C1123" t="str">
            <v>PL66410-6 ORANGE SAFETY HELMET</v>
          </cell>
          <cell r="D1123" t="str">
            <v>50PCS/CTN</v>
          </cell>
          <cell r="E1123">
            <v>90</v>
          </cell>
          <cell r="F1123"/>
          <cell r="G1123"/>
        </row>
        <row r="1124">
          <cell r="C1124"/>
          <cell r="D1124"/>
          <cell r="E1124"/>
          <cell r="F1124"/>
          <cell r="G1124"/>
        </row>
        <row r="1125">
          <cell r="C1125"/>
          <cell r="D1125" t="str">
            <v>DESCRIPTION</v>
          </cell>
          <cell r="E1125" t="str">
            <v>PRICE</v>
          </cell>
          <cell r="F1125" t="str">
            <v>VOLUME LESS</v>
          </cell>
          <cell r="G1125" t="str">
            <v>REGULAR
LESS</v>
          </cell>
        </row>
        <row r="1126">
          <cell r="C1126"/>
          <cell r="D1126"/>
          <cell r="E1126"/>
          <cell r="F1126"/>
          <cell r="G1126"/>
        </row>
        <row r="1127">
          <cell r="C1127" t="str">
            <v>PL22160 POLONET PRESSURE SWITCH</v>
          </cell>
          <cell r="D1127" t="str">
            <v>200BOX/CTN</v>
          </cell>
          <cell r="E1127">
            <v>390</v>
          </cell>
          <cell r="F1127"/>
          <cell r="G1127"/>
        </row>
        <row r="1128">
          <cell r="C1128" t="str">
            <v>PL66430-2 POLONET STAPLES 8M</v>
          </cell>
          <cell r="D1128" t="str">
            <v>200BOX/CTN</v>
          </cell>
          <cell r="E1128">
            <v>390</v>
          </cell>
          <cell r="F1128"/>
          <cell r="G1128"/>
        </row>
        <row r="1129">
          <cell r="C1129" t="str">
            <v>PL66430-3 POLONET STAPLES 10M</v>
          </cell>
          <cell r="D1129" t="str">
            <v>200BOX/CTN</v>
          </cell>
          <cell r="E1129">
            <v>390</v>
          </cell>
          <cell r="F1129"/>
          <cell r="G1129"/>
        </row>
        <row r="1130">
          <cell r="C1130"/>
          <cell r="D1130"/>
          <cell r="E1130"/>
          <cell r="F1130"/>
          <cell r="G1130"/>
        </row>
        <row r="1131">
          <cell r="C1131" t="str">
            <v>PL33004-1 #60 POLOLOCK SAND PAPER</v>
          </cell>
          <cell r="D1131" t="str">
            <v>500PCS/CTN</v>
          </cell>
          <cell r="E1131">
            <v>11</v>
          </cell>
          <cell r="F1131"/>
          <cell r="G1131"/>
        </row>
        <row r="1132">
          <cell r="C1132" t="str">
            <v>PL33004-2 #80 POLOLOCK SAND PAPER</v>
          </cell>
          <cell r="D1132" t="str">
            <v>500PCS/CTN</v>
          </cell>
          <cell r="E1132">
            <v>11</v>
          </cell>
          <cell r="F1132"/>
          <cell r="G1132"/>
        </row>
        <row r="1133">
          <cell r="C1133" t="str">
            <v>PL33004-3 #100 POLOLOCK SAND PAPER</v>
          </cell>
          <cell r="D1133" t="str">
            <v>500PCS/CTN</v>
          </cell>
          <cell r="E1133">
            <v>11</v>
          </cell>
          <cell r="F1133"/>
          <cell r="G1133"/>
        </row>
        <row r="1134">
          <cell r="C1134" t="str">
            <v>PL33004-4 #120 POLOLOCK SAND PAPER</v>
          </cell>
          <cell r="D1134" t="str">
            <v>1000PCS/CTN</v>
          </cell>
          <cell r="E1134">
            <v>11</v>
          </cell>
          <cell r="F1134"/>
          <cell r="G1134"/>
        </row>
        <row r="1135">
          <cell r="C1135" t="str">
            <v>PL33004-5 #150 POLOLOCK SAND PAPER</v>
          </cell>
          <cell r="D1135" t="str">
            <v>1000PCS/CTN</v>
          </cell>
          <cell r="E1135">
            <v>11</v>
          </cell>
          <cell r="F1135"/>
          <cell r="G1135"/>
        </row>
        <row r="1136">
          <cell r="C1136" t="str">
            <v>PL33004-6 #180 POLOLOCK SAND PAPER</v>
          </cell>
          <cell r="D1136" t="str">
            <v>1000PCS/CTN</v>
          </cell>
          <cell r="E1136">
            <v>11</v>
          </cell>
          <cell r="F1136"/>
          <cell r="G1136"/>
        </row>
        <row r="1137">
          <cell r="C1137" t="str">
            <v>PL33004-7 #240 POLOLOCK SAND PAPER</v>
          </cell>
          <cell r="D1137" t="str">
            <v>1000PCS/CTN</v>
          </cell>
          <cell r="E1137">
            <v>11</v>
          </cell>
          <cell r="F1137"/>
          <cell r="G1137"/>
        </row>
        <row r="1138">
          <cell r="C1138" t="str">
            <v>PL33004-8 #320 POLOLOCK SAND PAPER</v>
          </cell>
          <cell r="D1138" t="str">
            <v>1000PCS/CTN</v>
          </cell>
          <cell r="E1138">
            <v>11</v>
          </cell>
          <cell r="F1138"/>
          <cell r="G1138"/>
        </row>
        <row r="1139">
          <cell r="C1139" t="str">
            <v>PL33004-9 #400 POLOLOCK SAND PAPER</v>
          </cell>
          <cell r="D1139" t="str">
            <v>1000PCS/CTN</v>
          </cell>
          <cell r="E1139">
            <v>11</v>
          </cell>
          <cell r="F1139"/>
          <cell r="G1139"/>
        </row>
        <row r="1140">
          <cell r="C1140" t="str">
            <v>PL33004-10 #600 POLOLOCK SAND</v>
          </cell>
          <cell r="D1140" t="str">
            <v>1000PCS/CTN</v>
          </cell>
          <cell r="E1140">
            <v>11</v>
          </cell>
          <cell r="F1140"/>
          <cell r="G1140"/>
        </row>
        <row r="1141">
          <cell r="C1141" t="str">
            <v>PL33004-11 #1000 POLOLOCK SAND</v>
          </cell>
          <cell r="D1141" t="str">
            <v>1000PCS/CTN</v>
          </cell>
          <cell r="E1141">
            <v>11</v>
          </cell>
          <cell r="F1141"/>
          <cell r="G1141"/>
        </row>
        <row r="1142">
          <cell r="C1142" t="str">
            <v>PL33004-11 #1000 POLOLOCK SAND</v>
          </cell>
          <cell r="D1142" t="str">
            <v>1000PCS/CTN</v>
          </cell>
          <cell r="E1142">
            <v>11</v>
          </cell>
          <cell r="F1142"/>
          <cell r="G1142"/>
        </row>
        <row r="1143">
          <cell r="C1143"/>
          <cell r="D1143"/>
          <cell r="E1143"/>
          <cell r="F1143"/>
          <cell r="G1143"/>
        </row>
        <row r="1144">
          <cell r="C1144" t="str">
            <v>PL66183-1 (PL33005-36) POLOLOCK FLOOR SANDING ROLL #36</v>
          </cell>
          <cell r="D1144" t="str">
            <v>2ROLL/CTN</v>
          </cell>
          <cell r="E1144">
            <v>3900</v>
          </cell>
          <cell r="F1144"/>
          <cell r="G1144"/>
        </row>
        <row r="1145">
          <cell r="C1145" t="str">
            <v>PL66183-2 (PL33005-60) POLOLOCK FLOOR SANDING ROLL #60</v>
          </cell>
          <cell r="D1145" t="str">
            <v>2ROLL/CTN</v>
          </cell>
          <cell r="E1145">
            <v>3350</v>
          </cell>
          <cell r="F1145"/>
          <cell r="G1145"/>
        </row>
        <row r="1146">
          <cell r="C1146" t="str">
            <v>PL66183-3 (PL33005-80) POLOLOCK FLOOR SANDING ROLL #80</v>
          </cell>
          <cell r="D1146" t="str">
            <v>2ROLL/CTN</v>
          </cell>
          <cell r="E1146">
            <v>3100</v>
          </cell>
          <cell r="F1146"/>
          <cell r="G1146"/>
        </row>
        <row r="1147">
          <cell r="C1147" t="str">
            <v>PL66183-4 (PL33005-100) POLOLOCK FLOOR SANDING ROLL #100</v>
          </cell>
          <cell r="D1147" t="str">
            <v>2ROLL/CTN</v>
          </cell>
          <cell r="E1147">
            <v>2950</v>
          </cell>
          <cell r="F1147"/>
          <cell r="G1147"/>
        </row>
        <row r="1148">
          <cell r="C1148" t="str">
            <v>PL66183-01 FLOOR SANDING ROLL FOR METAL #36</v>
          </cell>
          <cell r="D1148" t="str">
            <v>2ROLL/CTN</v>
          </cell>
          <cell r="E1148">
            <v>3150</v>
          </cell>
          <cell r="F1148"/>
          <cell r="G1148"/>
        </row>
        <row r="1149">
          <cell r="C1149" t="str">
            <v>PL66183-02 FLOOR SANDING ROLL FOR METAL #60</v>
          </cell>
          <cell r="D1149" t="str">
            <v>2ROLL/CTN</v>
          </cell>
          <cell r="E1149">
            <v>2580</v>
          </cell>
          <cell r="F1149"/>
          <cell r="G1149"/>
        </row>
        <row r="1150">
          <cell r="C1150" t="str">
            <v>PL66183-03 FLOOR SANDING ROLL FOR METAL #80</v>
          </cell>
          <cell r="D1150" t="str">
            <v>2ROLL/CTN</v>
          </cell>
          <cell r="E1150">
            <v>2260</v>
          </cell>
          <cell r="F1150"/>
          <cell r="G1150"/>
        </row>
        <row r="1151">
          <cell r="C1151" t="str">
            <v>PL66183-04 FLOOR SANDING ROLL FOR METAL #100</v>
          </cell>
          <cell r="D1151" t="str">
            <v>2ROLL/CTN</v>
          </cell>
          <cell r="E1151">
            <v>2350</v>
          </cell>
          <cell r="F1151"/>
          <cell r="G1151"/>
        </row>
        <row r="1152">
          <cell r="C1152"/>
          <cell r="D1152"/>
          <cell r="E1152"/>
          <cell r="F1152"/>
          <cell r="G1152"/>
        </row>
        <row r="1153">
          <cell r="C1153"/>
          <cell r="D1153"/>
          <cell r="E1153"/>
          <cell r="F1153"/>
          <cell r="G1153"/>
        </row>
        <row r="1154">
          <cell r="C1154"/>
          <cell r="D1154"/>
          <cell r="E1154"/>
          <cell r="F1154"/>
          <cell r="G1154"/>
        </row>
        <row r="1155">
          <cell r="C1155"/>
          <cell r="D1155" t="str">
            <v>DESCRIPTION</v>
          </cell>
          <cell r="E1155" t="str">
            <v>PRICE</v>
          </cell>
          <cell r="F1155" t="str">
            <v>VOLUME LESS</v>
          </cell>
          <cell r="G1155" t="str">
            <v>REGULAR
LESS</v>
          </cell>
        </row>
        <row r="1156">
          <cell r="C1156"/>
          <cell r="D1156"/>
          <cell r="E1156"/>
          <cell r="F1156"/>
          <cell r="G1156"/>
        </row>
        <row r="1157">
          <cell r="C1157" t="str">
            <v>PL66180-1 107*1.2*16MM POLONET CUT OFF WHEEL #4</v>
          </cell>
          <cell r="D1157" t="str">
            <v>800PCS/CTN</v>
          </cell>
          <cell r="E1157">
            <v>8</v>
          </cell>
          <cell r="F1157"/>
          <cell r="G1157"/>
        </row>
        <row r="1158">
          <cell r="C1158" t="str">
            <v>PL66180-2 107*1.2*16MM POLOLOCK CUT-OFF WHEEL</v>
          </cell>
          <cell r="D1158" t="str">
            <v>800PCS/CTN</v>
          </cell>
          <cell r="E1158">
            <v>16</v>
          </cell>
          <cell r="F1158"/>
          <cell r="G1158"/>
        </row>
        <row r="1159">
          <cell r="C1159" t="str">
            <v>PL66180-3 POLONET CUTTING WHEELS BLACK 14"</v>
          </cell>
          <cell r="D1159" t="str">
            <v>25PCS/CTN</v>
          </cell>
          <cell r="E1159">
            <v>160</v>
          </cell>
          <cell r="F1159"/>
          <cell r="G1159"/>
        </row>
        <row r="1160">
          <cell r="C1160" t="str">
            <v>PL66184-1 4"GRINDING WHEELS 100*6*16MM</v>
          </cell>
          <cell r="D1160" t="str">
            <v>200PCS/CTN</v>
          </cell>
          <cell r="E1160">
            <v>30</v>
          </cell>
          <cell r="F1160"/>
          <cell r="G1160"/>
        </row>
        <row r="1161">
          <cell r="C1161" t="str">
            <v>PL66184-2 7'' POLOLOCK METAL GRINDING WHEELS</v>
          </cell>
          <cell r="D1161" t="str">
            <v>50PCS/CTN</v>
          </cell>
          <cell r="E1161">
            <v>100</v>
          </cell>
          <cell r="F1161"/>
          <cell r="G1161"/>
        </row>
        <row r="1162">
          <cell r="C1162" t="str">
            <v>PL66211-1 POLOLOCK DIAMOND CUTTING WHEEL DRY 4"</v>
          </cell>
          <cell r="D1162" t="str">
            <v>120PCS/CTN</v>
          </cell>
          <cell r="E1162">
            <v>150</v>
          </cell>
          <cell r="F1162"/>
          <cell r="G1162"/>
        </row>
        <row r="1163">
          <cell r="C1163" t="str">
            <v>PL66211-2 POLOLOCK DIAMOND CUTTING WHEEL TURBO 4"</v>
          </cell>
          <cell r="D1163" t="str">
            <v>120PCS/CTN</v>
          </cell>
          <cell r="E1163">
            <v>110</v>
          </cell>
          <cell r="F1163"/>
          <cell r="G1163"/>
        </row>
        <row r="1164">
          <cell r="C1164" t="str">
            <v>PL66212 POLOLOCK DIAMOND CUTTING WHEEL SUPERTHIN FOR MARBLE TURBO 4"</v>
          </cell>
          <cell r="D1164" t="str">
            <v>120PCS/CTN</v>
          </cell>
          <cell r="E1164">
            <v>300</v>
          </cell>
          <cell r="F1164"/>
          <cell r="G1164"/>
        </row>
        <row r="1165">
          <cell r="C1165" t="str">
            <v>PL66213 POLOLOCK DIAMOND CUTTING WHEEL TURBO 4"</v>
          </cell>
          <cell r="D1165" t="str">
            <v>120PCS/CTN</v>
          </cell>
          <cell r="E1165">
            <v>250</v>
          </cell>
          <cell r="F1165"/>
          <cell r="G1165"/>
        </row>
        <row r="1166">
          <cell r="C1166"/>
          <cell r="D1166"/>
          <cell r="E1166"/>
          <cell r="F1166"/>
          <cell r="G1166"/>
        </row>
        <row r="1167">
          <cell r="C1167"/>
          <cell r="D1167" t="str">
            <v>DESCRIPTION</v>
          </cell>
          <cell r="E1167" t="str">
            <v>PRICE</v>
          </cell>
          <cell r="F1167"/>
          <cell r="G1167"/>
        </row>
        <row r="1168">
          <cell r="C1168" t="str">
            <v>PL66214 POLOLOCK DIAMOND CUTTING WHEEL TURBO 7"</v>
          </cell>
          <cell r="D1168" t="str">
            <v>40PCS/CTN</v>
          </cell>
          <cell r="E1168">
            <v>110</v>
          </cell>
          <cell r="F1168"/>
          <cell r="G1168"/>
        </row>
        <row r="1169">
          <cell r="C1169" t="str">
            <v>PL66215-1 DIAMOND GRINDING CUP WHEEL 90MM*5MM*20MM</v>
          </cell>
          <cell r="D1169" t="str">
            <v>6PCS*8BOX/CTN</v>
          </cell>
          <cell r="E1169">
            <v>250</v>
          </cell>
          <cell r="F1169"/>
          <cell r="G1169"/>
        </row>
        <row r="1170">
          <cell r="C1170"/>
          <cell r="D1170"/>
          <cell r="E1170"/>
          <cell r="F1170"/>
          <cell r="G1170"/>
        </row>
        <row r="1171">
          <cell r="C1171" t="str">
            <v>PL66181-1 FLAP DISCS（FOR METAL) #36</v>
          </cell>
          <cell r="D1171" t="str">
            <v>200PCS/CTN</v>
          </cell>
          <cell r="E1171">
            <v>25</v>
          </cell>
          <cell r="F1171"/>
          <cell r="G1171"/>
        </row>
        <row r="1172">
          <cell r="C1172" t="str">
            <v>PL66181-2 FLAP DISCS（FOR METAL) #40</v>
          </cell>
          <cell r="D1172" t="str">
            <v>200PCS/CTN</v>
          </cell>
          <cell r="E1172">
            <v>25</v>
          </cell>
          <cell r="F1172"/>
          <cell r="G1172"/>
        </row>
        <row r="1173">
          <cell r="C1173" t="str">
            <v>PL66181-3 FLAP DISCS（FOR METAL) #60</v>
          </cell>
          <cell r="D1173" t="str">
            <v>200PCS/CTN</v>
          </cell>
          <cell r="E1173">
            <v>25</v>
          </cell>
          <cell r="F1173"/>
          <cell r="G1173"/>
        </row>
        <row r="1174">
          <cell r="C1174" t="str">
            <v>PL66181-4 FLAP DISCS（FOR METAL) #80</v>
          </cell>
          <cell r="D1174" t="str">
            <v>200PCS/CTN</v>
          </cell>
          <cell r="E1174">
            <v>25</v>
          </cell>
          <cell r="F1174"/>
          <cell r="G1174"/>
        </row>
        <row r="1175">
          <cell r="C1175" t="str">
            <v>PL66181-5 FLAP DISCS（FOR METAL) #100</v>
          </cell>
          <cell r="D1175" t="str">
            <v>200PCS/CTN</v>
          </cell>
          <cell r="E1175">
            <v>25</v>
          </cell>
          <cell r="F1175"/>
          <cell r="G1175"/>
        </row>
        <row r="1176">
          <cell r="C1176" t="str">
            <v>PL66181-6 FLAP DISCS（FOR METAL) #120</v>
          </cell>
          <cell r="D1176" t="str">
            <v>200PCS/CTN</v>
          </cell>
          <cell r="E1176">
            <v>25</v>
          </cell>
          <cell r="F1176"/>
          <cell r="G1176"/>
        </row>
        <row r="1177">
          <cell r="C1177"/>
          <cell r="D1177"/>
          <cell r="E1177"/>
          <cell r="F1177"/>
          <cell r="G1177"/>
        </row>
        <row r="1178">
          <cell r="C1178" t="str">
            <v>PL66185-1 FLAP DISC（FOR STAINLESS) 4" 40#</v>
          </cell>
          <cell r="D1178" t="str">
            <v>20PCS  *10BOXES
/CTN</v>
          </cell>
          <cell r="E1178">
            <v>50</v>
          </cell>
          <cell r="F1178"/>
          <cell r="G1178"/>
        </row>
        <row r="1179">
          <cell r="C1179" t="str">
            <v>PL66185-2FLAP DISC（FOR STAINLESS) 4”60#</v>
          </cell>
          <cell r="D1179" t="str">
            <v>20PCS  *10BOXES
/CTN</v>
          </cell>
          <cell r="E1179">
            <v>50</v>
          </cell>
          <cell r="F1179"/>
          <cell r="G1179"/>
        </row>
        <row r="1180">
          <cell r="C1180" t="str">
            <v>PL66185-3 FLAP DISC（FOR STAINLESS) 4" 80#</v>
          </cell>
          <cell r="D1180" t="str">
            <v>20PCS  *10BOXES
/CTN</v>
          </cell>
          <cell r="E1180">
            <v>50</v>
          </cell>
          <cell r="F1180"/>
          <cell r="G1180"/>
        </row>
        <row r="1181">
          <cell r="C1181" t="str">
            <v>PL66185-4 FLAP DISC（FOR STAINLESS) 4" 100#</v>
          </cell>
          <cell r="D1181" t="str">
            <v>20PCS  *10BOXES
/CTN</v>
          </cell>
          <cell r="E1181">
            <v>50</v>
          </cell>
          <cell r="F1181"/>
          <cell r="G1181"/>
        </row>
        <row r="1182">
          <cell r="C1182" t="str">
            <v>PL66185-5 FLAP DISC（FOR STAINLESS) 4" 120#</v>
          </cell>
          <cell r="D1182" t="str">
            <v>20PCS  *10BOXES
/CTN</v>
          </cell>
          <cell r="E1182">
            <v>50</v>
          </cell>
          <cell r="F1182"/>
          <cell r="G1182"/>
        </row>
        <row r="1183">
          <cell r="C1183"/>
          <cell r="D1183"/>
          <cell r="E1183"/>
          <cell r="F1183"/>
          <cell r="G1183"/>
        </row>
        <row r="1184">
          <cell r="C1184" t="str">
            <v>PL66120-1 12OZ POLONET CLAW HAMMER W/WOODEN HANDLE</v>
          </cell>
          <cell r="D1184" t="str">
            <v>6PCS*6BOX/CTN (36PCS/CTN)</v>
          </cell>
          <cell r="E1184">
            <v>150</v>
          </cell>
          <cell r="F1184"/>
          <cell r="G1184"/>
        </row>
        <row r="1185">
          <cell r="C1185" t="str">
            <v>PL66120-2 16OZ POLONET CLAW HAMMER W/WOODEN HANDLE</v>
          </cell>
          <cell r="D1185" t="str">
            <v>6PCS*4BOX/CTN (24PCS/CTN)</v>
          </cell>
          <cell r="E1185">
            <v>170</v>
          </cell>
          <cell r="F1185"/>
          <cell r="G1185"/>
        </row>
        <row r="1186">
          <cell r="C1186"/>
          <cell r="D1186"/>
          <cell r="E1186"/>
          <cell r="F1186"/>
          <cell r="G1186"/>
        </row>
        <row r="1187">
          <cell r="C1187"/>
          <cell r="D1187"/>
          <cell r="E1187"/>
          <cell r="F1187"/>
          <cell r="G1187"/>
        </row>
        <row r="1188">
          <cell r="C1188"/>
          <cell r="D1188" t="str">
            <v>DESCRIPTION</v>
          </cell>
          <cell r="E1188" t="str">
            <v>PRICE</v>
          </cell>
          <cell r="F1188" t="str">
            <v>VOLUME LESS</v>
          </cell>
          <cell r="G1188" t="str">
            <v>REGULAR
LESS</v>
          </cell>
        </row>
        <row r="1189">
          <cell r="C1189" t="str">
            <v>PL66121-1 12OZ POLONET CLAW HAMMER W/FIBERGLASS HANDLE</v>
          </cell>
          <cell r="D1189" t="str">
            <v>6PCS*6BOX/CTN (36PCS/CTN)</v>
          </cell>
          <cell r="E1189">
            <v>180</v>
          </cell>
          <cell r="F1189"/>
          <cell r="G1189"/>
        </row>
        <row r="1190">
          <cell r="C1190" t="str">
            <v>PL66121-2 16OZ POLONET CLAW HAMMER W/ FIBERGLASS HANDLE</v>
          </cell>
          <cell r="D1190" t="str">
            <v>6PCS*4BOX/CTN (24PCS/CTN)</v>
          </cell>
          <cell r="E1190">
            <v>190</v>
          </cell>
          <cell r="F1190"/>
          <cell r="G1190"/>
        </row>
        <row r="1191">
          <cell r="C1191"/>
          <cell r="D1191"/>
          <cell r="E1191"/>
          <cell r="F1191"/>
          <cell r="G1191"/>
        </row>
        <row r="1192">
          <cell r="C1192" t="str">
            <v>PL66231 POLONET BORING BIT 35MM</v>
          </cell>
          <cell r="D1192" t="str">
            <v>20PCS/BAG,
200PCS/CTN</v>
          </cell>
          <cell r="E1192">
            <v>140</v>
          </cell>
          <cell r="F1192"/>
          <cell r="G1192"/>
        </row>
        <row r="1193">
          <cell r="C1193"/>
          <cell r="D1193"/>
          <cell r="E1193"/>
          <cell r="F1193"/>
          <cell r="G1193"/>
        </row>
        <row r="1194">
          <cell r="C1194" t="str">
            <v>PL66440-1 POLONET MASKING TAPE 1/2"- 12mm*25Y</v>
          </cell>
          <cell r="D1194" t="str">
            <v>96PCS/CTN</v>
          </cell>
          <cell r="E1194">
            <v>1200</v>
          </cell>
          <cell r="F1194"/>
          <cell r="G1194"/>
        </row>
        <row r="1195">
          <cell r="C1195" t="str">
            <v>PL66440-2 POLONET MASKING TAPE 3/4"- 18mm*25Y</v>
          </cell>
          <cell r="D1195" t="str">
            <v>64PCS/CTN</v>
          </cell>
          <cell r="E1195">
            <v>1200</v>
          </cell>
          <cell r="F1195"/>
          <cell r="G1195"/>
        </row>
        <row r="1196">
          <cell r="C1196" t="str">
            <v>PL66440-3 POLONET MASKING TAPE 1"- 24mm*25Y</v>
          </cell>
          <cell r="D1196" t="str">
            <v>48PCS/CTN</v>
          </cell>
          <cell r="E1196">
            <v>1200</v>
          </cell>
          <cell r="F1196"/>
          <cell r="G1196"/>
        </row>
        <row r="1197">
          <cell r="C1197" t="str">
            <v>PL66440-4 POLONET MASKING TAPE 1-1/2"- 36mm*25Y</v>
          </cell>
          <cell r="D1197" t="str">
            <v>32PCS/CTN</v>
          </cell>
          <cell r="E1197">
            <v>1200</v>
          </cell>
          <cell r="F1197"/>
          <cell r="G1197"/>
        </row>
        <row r="1198">
          <cell r="C1198" t="str">
            <v>PL66440-5 POLONET MASKING TAPE 2"- 48mm*25Y</v>
          </cell>
          <cell r="D1198" t="str">
            <v>24PCS/CTN</v>
          </cell>
          <cell r="E1198">
            <v>1200</v>
          </cell>
          <cell r="F1198"/>
          <cell r="G1198"/>
        </row>
        <row r="1199">
          <cell r="C1199"/>
          <cell r="D1199"/>
          <cell r="E1199"/>
          <cell r="F1199"/>
          <cell r="G1199"/>
        </row>
        <row r="1200">
          <cell r="C1200" t="str">
            <v>PL66420 STAPLE GUN</v>
          </cell>
          <cell r="D1200" t="str">
            <v>24PCS/CTN</v>
          </cell>
          <cell r="E1200">
            <v>290</v>
          </cell>
          <cell r="F1200"/>
          <cell r="G1200"/>
        </row>
        <row r="1201">
          <cell r="C1201"/>
          <cell r="D1201"/>
          <cell r="E1201"/>
          <cell r="F1201"/>
          <cell r="G1201"/>
        </row>
        <row r="1202">
          <cell r="C1202" t="str">
            <v>PL66400 120MM*10MM*5MM CHALK STONE</v>
          </cell>
          <cell r="D1202" t="str">
            <v>10BOX/CTN</v>
          </cell>
          <cell r="E1202">
            <v>400</v>
          </cell>
          <cell r="F1202"/>
          <cell r="G1202"/>
        </row>
        <row r="1203">
          <cell r="C1203"/>
          <cell r="D1203"/>
          <cell r="E1203"/>
          <cell r="F1203"/>
          <cell r="G1203"/>
        </row>
        <row r="1204">
          <cell r="C1204" t="str">
            <v>PL66460-1 PUTTY KNIFE 4"7.5*11*10CM</v>
          </cell>
          <cell r="D1204" t="str">
            <v>60DOZ/CTN</v>
          </cell>
          <cell r="E1204">
            <v>130</v>
          </cell>
          <cell r="F1204"/>
          <cell r="G1204"/>
        </row>
        <row r="1205">
          <cell r="C1205" t="str">
            <v>PL66460-2 PUTTY KNIFE 6"7.8*15*10CM</v>
          </cell>
          <cell r="D1205" t="str">
            <v>48DOZ/CTN</v>
          </cell>
          <cell r="E1205">
            <v>140</v>
          </cell>
          <cell r="F1205"/>
          <cell r="G1205"/>
        </row>
        <row r="1206">
          <cell r="C1206"/>
          <cell r="D1206"/>
          <cell r="E1206"/>
          <cell r="F1206"/>
          <cell r="G1206"/>
        </row>
        <row r="1207">
          <cell r="C1207"/>
          <cell r="D1207" t="str">
            <v>DESCRIPTION</v>
          </cell>
          <cell r="E1207" t="str">
            <v>PRICE</v>
          </cell>
          <cell r="F1207" t="str">
            <v>VOLUME LESS</v>
          </cell>
          <cell r="G1207" t="str">
            <v>REGULAR
LESS</v>
          </cell>
        </row>
        <row r="1208">
          <cell r="C1208"/>
          <cell r="D1208"/>
          <cell r="E1208"/>
          <cell r="F1208"/>
          <cell r="G1208"/>
        </row>
        <row r="1209">
          <cell r="C1209" t="str">
            <v>PL66230 LOCK INSTALLATION KIT 2-1/8" (54MM)</v>
          </cell>
          <cell r="D1209" t="str">
            <v>60SET/CTN</v>
          </cell>
          <cell r="E1209">
            <v>225</v>
          </cell>
          <cell r="F1209"/>
          <cell r="G1209"/>
        </row>
        <row r="1210">
          <cell r="C1210"/>
          <cell r="D1210"/>
          <cell r="E1210"/>
          <cell r="F1210"/>
          <cell r="G1210"/>
        </row>
        <row r="1211">
          <cell r="C1211" t="str">
            <v>PL66480-1 AMETEK PRESSURE GAUGE 2"*#60</v>
          </cell>
          <cell r="D1211" t="str">
            <v>200PCS/CTN</v>
          </cell>
          <cell r="E1211"/>
          <cell r="F1211"/>
          <cell r="G1211"/>
        </row>
        <row r="1212">
          <cell r="C1212" t="str">
            <v>PL66480-2 AMETEK PRESSURE GAUGE 2"*#100</v>
          </cell>
          <cell r="D1212" t="str">
            <v>200PCS/CTN</v>
          </cell>
          <cell r="E1212">
            <v>115</v>
          </cell>
          <cell r="F1212"/>
          <cell r="G1212"/>
        </row>
        <row r="1213">
          <cell r="C1213"/>
          <cell r="D1213" t="str">
            <v>200PCS/CTN</v>
          </cell>
          <cell r="E1213"/>
          <cell r="F1213"/>
          <cell r="G1213"/>
        </row>
        <row r="1214">
          <cell r="C1214"/>
          <cell r="D1214" t="str">
            <v>200PCS/CTN</v>
          </cell>
          <cell r="E1214"/>
          <cell r="F1214"/>
          <cell r="G1214"/>
        </row>
        <row r="1215">
          <cell r="C1215"/>
          <cell r="D1215" t="str">
            <v>200PCS/CTN</v>
          </cell>
          <cell r="E1215"/>
          <cell r="F1215"/>
          <cell r="G1215"/>
        </row>
        <row r="1216">
          <cell r="C1216"/>
          <cell r="D1216" t="str">
            <v>200PCS/CTN</v>
          </cell>
          <cell r="E1216"/>
          <cell r="F1216"/>
          <cell r="G1216"/>
        </row>
        <row r="1217">
          <cell r="C1217"/>
          <cell r="D1217" t="str">
            <v>200PCS/CTN</v>
          </cell>
          <cell r="E1217"/>
          <cell r="F1217"/>
          <cell r="G1217"/>
        </row>
        <row r="1218">
          <cell r="C1218"/>
          <cell r="D1218" t="str">
            <v>200PCS/CTN</v>
          </cell>
          <cell r="E1218"/>
          <cell r="F1218"/>
          <cell r="G1218"/>
        </row>
        <row r="1219">
          <cell r="C1219"/>
          <cell r="D1219"/>
          <cell r="E1219"/>
          <cell r="F1219"/>
          <cell r="G1219"/>
        </row>
        <row r="1220">
          <cell r="C1220" t="str">
            <v>PL66470-1 TRI SQUARE 6"</v>
          </cell>
          <cell r="D1220" t="str">
            <v>12PCS*10BOX/ CTN</v>
          </cell>
          <cell r="E1220">
            <v>45</v>
          </cell>
          <cell r="F1220"/>
          <cell r="G1220"/>
        </row>
        <row r="1221">
          <cell r="C1221" t="str">
            <v>PL66470-2 TRI SQUARE 8"</v>
          </cell>
          <cell r="D1221" t="str">
            <v>12PCS*10BOX/ CTN</v>
          </cell>
          <cell r="E1221">
            <v>50</v>
          </cell>
          <cell r="F1221"/>
          <cell r="G1221"/>
        </row>
        <row r="1222">
          <cell r="C1222" t="str">
            <v>PL66470-3 TRI SQUARE 10"</v>
          </cell>
          <cell r="D1222" t="str">
            <v>12PCS*10BOX/ CTN</v>
          </cell>
          <cell r="E1222">
            <v>55</v>
          </cell>
          <cell r="F1222"/>
          <cell r="G1222"/>
        </row>
        <row r="1223">
          <cell r="C1223" t="str">
            <v>PL66470-4 TRI SQUARE 12"</v>
          </cell>
          <cell r="D1223" t="str">
            <v>12PCS*10BOX/ CTN</v>
          </cell>
          <cell r="E1223">
            <v>65</v>
          </cell>
          <cell r="F1223"/>
          <cell r="G1223"/>
        </row>
        <row r="1224">
          <cell r="C1224"/>
          <cell r="D1224"/>
          <cell r="E1224"/>
          <cell r="F1224"/>
          <cell r="G1224"/>
        </row>
        <row r="1225">
          <cell r="C1225" t="str">
            <v>PL66450 POLONET MINI LEVEL 9''-225MM</v>
          </cell>
          <cell r="D1225" t="str">
            <v>24PCS*4BOXES</v>
          </cell>
          <cell r="E1225">
            <v>110</v>
          </cell>
          <cell r="F1225"/>
          <cell r="G1225"/>
        </row>
        <row r="1226">
          <cell r="C1226"/>
          <cell r="D1226"/>
          <cell r="E1226"/>
          <cell r="F1226"/>
          <cell r="G1226"/>
        </row>
        <row r="1227">
          <cell r="C1227"/>
          <cell r="D1227" t="str">
            <v>DESCRIPTION</v>
          </cell>
          <cell r="E1227" t="str">
            <v>PRICE</v>
          </cell>
          <cell r="F1227" t="str">
            <v>VOLUME LESS</v>
          </cell>
          <cell r="G1227" t="str">
            <v>REGULAR
LESS</v>
          </cell>
        </row>
        <row r="1228">
          <cell r="C1228"/>
          <cell r="D1228"/>
          <cell r="E1228"/>
          <cell r="F1228"/>
          <cell r="G1228"/>
        </row>
        <row r="1229">
          <cell r="C1229" t="str">
            <v>PL66511 POLOLOCK PPR HEATER /FUSHION WELD 1000W</v>
          </cell>
          <cell r="D1229" t="str">
            <v>5 SET/CTN</v>
          </cell>
          <cell r="E1229">
            <v>2000</v>
          </cell>
          <cell r="F1229"/>
          <cell r="G1229"/>
        </row>
        <row r="1230">
          <cell r="C1230"/>
          <cell r="D1230"/>
          <cell r="E1230"/>
          <cell r="F1230"/>
          <cell r="G1230"/>
        </row>
        <row r="1231">
          <cell r="C1231" t="str">
            <v>PL66530-01 TURN BUCKLE 3/16''-5MM</v>
          </cell>
          <cell r="D1231" t="str">
            <v>500PCS/SACK</v>
          </cell>
          <cell r="E1231"/>
          <cell r="F1231"/>
          <cell r="G1231"/>
        </row>
        <row r="1232">
          <cell r="C1232" t="str">
            <v>PL66530-02 TURN BUCKLE 1/4''-6MM</v>
          </cell>
          <cell r="D1232" t="str">
            <v>500PCS/SACK</v>
          </cell>
          <cell r="E1232">
            <v>15</v>
          </cell>
          <cell r="F1232"/>
          <cell r="G1232"/>
        </row>
        <row r="1233">
          <cell r="C1233" t="str">
            <v>PL66530-03 TURN BUCKLE 5/16''-8MM</v>
          </cell>
          <cell r="D1233" t="str">
            <v>300PCS/SACK</v>
          </cell>
          <cell r="E1233">
            <v>20</v>
          </cell>
          <cell r="F1233"/>
          <cell r="G1233"/>
        </row>
        <row r="1234">
          <cell r="C1234" t="str">
            <v>PL66530-04 TURNBUCKLE 3/8''-10MM</v>
          </cell>
          <cell r="D1234" t="str">
            <v>200PCS/SACK</v>
          </cell>
          <cell r="E1234">
            <v>25</v>
          </cell>
          <cell r="F1234"/>
          <cell r="G1234"/>
        </row>
        <row r="1235">
          <cell r="C1235" t="str">
            <v>PL66530-05 TURNBUCKLE 1/2''-12MM</v>
          </cell>
          <cell r="D1235" t="str">
            <v>100PCS/SACK</v>
          </cell>
          <cell r="E1235">
            <v>49</v>
          </cell>
          <cell r="F1235"/>
          <cell r="G1235"/>
        </row>
        <row r="1236">
          <cell r="C1236" t="str">
            <v>PL66530-06 TURNBUCKLE 9/16''-14MM</v>
          </cell>
          <cell r="D1236" t="str">
            <v>80PCS/SACK</v>
          </cell>
          <cell r="E1236"/>
          <cell r="F1236"/>
          <cell r="G1236"/>
        </row>
        <row r="1237">
          <cell r="C1237" t="str">
            <v>PL66530-07 TURNBUCKLE 5/8''-16MM</v>
          </cell>
          <cell r="D1237" t="str">
            <v>50PCS/SACK</v>
          </cell>
          <cell r="E1237">
            <v>85</v>
          </cell>
          <cell r="F1237"/>
          <cell r="G1237"/>
        </row>
        <row r="1238">
          <cell r="C1238" t="str">
            <v>PL66530-08 TURNBUCKLE 11/16''-18MM</v>
          </cell>
          <cell r="D1238" t="str">
            <v>35PCS/SACK</v>
          </cell>
          <cell r="E1238">
            <v>135</v>
          </cell>
          <cell r="F1238"/>
          <cell r="G1238"/>
        </row>
        <row r="1239">
          <cell r="C1239" t="str">
            <v>PL66530-09 TURNBUCKLE 3/4''-20MM</v>
          </cell>
          <cell r="D1239" t="str">
            <v>35PCS/SACK</v>
          </cell>
          <cell r="E1239">
            <v>140</v>
          </cell>
          <cell r="F1239"/>
          <cell r="G1239"/>
        </row>
        <row r="1240">
          <cell r="C1240" t="str">
            <v>PL66530-10 TURNBUCKLE 7/8''-22MM</v>
          </cell>
          <cell r="D1240" t="str">
            <v>20PCS/SACK</v>
          </cell>
          <cell r="E1240">
            <v>220</v>
          </cell>
          <cell r="F1240"/>
          <cell r="G1240"/>
        </row>
        <row r="1241">
          <cell r="C1241" t="str">
            <v>PL66530-11 TURNBUCKLE 1''-24MM</v>
          </cell>
          <cell r="D1241" t="str">
            <v>15PCS/SACK</v>
          </cell>
          <cell r="E1241">
            <v>260</v>
          </cell>
          <cell r="F1241"/>
          <cell r="G1241"/>
        </row>
        <row r="1242">
          <cell r="C1242" t="str">
            <v>PL66530-12 TURNBUCKLE 1-1/2''-36MM</v>
          </cell>
          <cell r="D1242" t="str">
            <v>4PCS/SACK</v>
          </cell>
          <cell r="E1242"/>
          <cell r="F1242"/>
          <cell r="G1242"/>
        </row>
        <row r="1243">
          <cell r="C1243"/>
          <cell r="D1243"/>
          <cell r="E1243"/>
          <cell r="F1243"/>
          <cell r="G1243"/>
        </row>
        <row r="1244">
          <cell r="C1244" t="str">
            <v>PL66520 TUBE CUTTER 3-32MM</v>
          </cell>
          <cell r="D1244" t="str">
            <v>6PCS*8 BOXES/CTN</v>
          </cell>
          <cell r="E1244">
            <v>250</v>
          </cell>
          <cell r="F1244"/>
          <cell r="G1244"/>
        </row>
        <row r="1245">
          <cell r="C1245"/>
          <cell r="D1245"/>
          <cell r="E1245"/>
          <cell r="F1245"/>
          <cell r="G1245"/>
        </row>
        <row r="1246">
          <cell r="C1246" t="str">
            <v>PL66490-1 ALUMINUM DUCT TAPE 2"X2.5丝 X30M</v>
          </cell>
          <cell r="D1246" t="str">
            <v>36PCS/CTN</v>
          </cell>
          <cell r="E1246">
            <v>140</v>
          </cell>
          <cell r="F1246"/>
          <cell r="G1246"/>
        </row>
        <row r="1247">
          <cell r="C1247" t="str">
            <v>PL66490-2 ALUMINUM DUCT TAPE 3"X2.5丝 X30M</v>
          </cell>
          <cell r="D1247" t="str">
            <v>24PCS/CTN</v>
          </cell>
          <cell r="E1247">
            <v>200</v>
          </cell>
          <cell r="F1247"/>
          <cell r="G1247"/>
        </row>
        <row r="1248">
          <cell r="C1248"/>
          <cell r="D1248"/>
          <cell r="E1248"/>
          <cell r="F1248"/>
          <cell r="G1248"/>
        </row>
        <row r="1249">
          <cell r="C1249" t="str">
            <v>PL66451-1 POLONET ALUMINUM LEVEL BAR 12''/300MM</v>
          </cell>
          <cell r="D1249" t="str">
            <v>12PCS*5BOXES
/CTN</v>
          </cell>
          <cell r="E1249">
            <v>110</v>
          </cell>
          <cell r="F1249"/>
          <cell r="G1249"/>
        </row>
        <row r="1250">
          <cell r="C1250" t="str">
            <v>PL66451-3 POLONET ALUMINUM LEVEL BAR 18''/450MM</v>
          </cell>
          <cell r="D1250" t="str">
            <v>12PCS*5BOXES
/CTN</v>
          </cell>
          <cell r="E1250">
            <v>130</v>
          </cell>
          <cell r="F1250"/>
          <cell r="G1250"/>
        </row>
        <row r="1251">
          <cell r="C1251" t="str">
            <v>PL66451-4 POLONET ALUMINUM LEVEL BAR 24''/600MM</v>
          </cell>
          <cell r="D1251" t="str">
            <v>12PCS*5BOXES/ CTN</v>
          </cell>
          <cell r="E1251">
            <v>180</v>
          </cell>
          <cell r="F1251"/>
          <cell r="G1251"/>
        </row>
        <row r="1252">
          <cell r="C1252" t="str">
            <v>PL66451-5 POLONET ALUMINUM LEVEL BAR 32''/800MM</v>
          </cell>
          <cell r="D1252" t="str">
            <v>12PCS*5BOXES/ CTN</v>
          </cell>
          <cell r="E1252">
            <v>210</v>
          </cell>
          <cell r="F1252"/>
          <cell r="G1252"/>
        </row>
        <row r="1253">
          <cell r="C1253" t="str">
            <v>PL66451-6 POLONET ALUMINUM LEVEL BAR 40''/1000MM</v>
          </cell>
          <cell r="D1253" t="str">
            <v>12PCS*5BOXES/ CTN</v>
          </cell>
          <cell r="E1253">
            <v>250</v>
          </cell>
          <cell r="F1253"/>
          <cell r="G1253"/>
        </row>
        <row r="1254">
          <cell r="C1254"/>
          <cell r="D1254"/>
          <cell r="E1254"/>
          <cell r="F1254"/>
          <cell r="G1254"/>
        </row>
        <row r="1255">
          <cell r="C1255"/>
          <cell r="D1255"/>
          <cell r="E1255"/>
          <cell r="F1255"/>
          <cell r="G1255"/>
        </row>
        <row r="1256">
          <cell r="C1256"/>
          <cell r="D1256" t="str">
            <v>DESCRIPTION</v>
          </cell>
          <cell r="E1256" t="str">
            <v>PRICE</v>
          </cell>
          <cell r="F1256" t="str">
            <v>VOLUME LESS</v>
          </cell>
          <cell r="G1256" t="str">
            <v>REGULAR
LESS</v>
          </cell>
        </row>
        <row r="1257">
          <cell r="C1257"/>
          <cell r="D1257"/>
          <cell r="E1257"/>
          <cell r="F1257"/>
          <cell r="G1257"/>
        </row>
        <row r="1258">
          <cell r="C1258" t="str">
            <v>PL66500-1 CUP BRUSH 曲丝3"-PLAIN M10*1.25mm</v>
          </cell>
          <cell r="D1258" t="str">
            <v>100PCS/CTN</v>
          </cell>
          <cell r="E1258">
            <v>80</v>
          </cell>
          <cell r="F1258"/>
          <cell r="G1258"/>
        </row>
        <row r="1259">
          <cell r="C1259" t="str">
            <v>PL66500-2 CUP BRUSH 曲丝3"-PLAIN M10*1.5mm</v>
          </cell>
          <cell r="D1259" t="str">
            <v>100PCS/CTN</v>
          </cell>
          <cell r="E1259">
            <v>80</v>
          </cell>
          <cell r="F1259"/>
          <cell r="G1259"/>
        </row>
        <row r="1260">
          <cell r="C1260"/>
          <cell r="D1260" t="str">
            <v>50PCS/CTN</v>
          </cell>
          <cell r="E1260"/>
          <cell r="F1260"/>
          <cell r="G1260"/>
        </row>
        <row r="1261">
          <cell r="C1261"/>
          <cell r="D1261" t="str">
            <v>50PCS/CTN</v>
          </cell>
          <cell r="E1261"/>
          <cell r="F1261"/>
          <cell r="G1261"/>
        </row>
        <row r="1262">
          <cell r="C1262"/>
          <cell r="D1262"/>
          <cell r="E1262"/>
          <cell r="F1262"/>
          <cell r="G1262"/>
        </row>
        <row r="1263">
          <cell r="C1263" t="str">
            <v>PL66500-5 CUP BRUSH 扭丝3"-TWISTED M10*1.25mm</v>
          </cell>
          <cell r="D1263" t="str">
            <v>100PCS/CTN</v>
          </cell>
          <cell r="E1263">
            <v>90</v>
          </cell>
          <cell r="F1263"/>
          <cell r="G1263"/>
        </row>
        <row r="1264">
          <cell r="C1264" t="str">
            <v>PL66500-6 CUP BRUSH 扭丝3"-TWISTED M10*1.5mm</v>
          </cell>
          <cell r="D1264" t="str">
            <v>100PCS/CTN</v>
          </cell>
          <cell r="E1264">
            <v>90</v>
          </cell>
          <cell r="F1264"/>
          <cell r="G1264"/>
        </row>
        <row r="1265">
          <cell r="C1265"/>
          <cell r="D1265" t="str">
            <v>50PCS/CTN</v>
          </cell>
          <cell r="E1265"/>
          <cell r="F1265"/>
          <cell r="G1265"/>
        </row>
        <row r="1266">
          <cell r="C1266"/>
          <cell r="D1266" t="str">
            <v>50PCS/CTN</v>
          </cell>
          <cell r="E1266"/>
          <cell r="F1266"/>
          <cell r="G1266"/>
        </row>
        <row r="1267">
          <cell r="C1267"/>
          <cell r="D1267"/>
          <cell r="E1267"/>
          <cell r="F1267"/>
          <cell r="G1267"/>
        </row>
        <row r="1268">
          <cell r="C1268" t="str">
            <v>PL66501-1 CIRCULAR WIRE BRUSH 4"</v>
          </cell>
          <cell r="D1268" t="str">
            <v>100PCS/CTN</v>
          </cell>
          <cell r="E1268">
            <v>80</v>
          </cell>
          <cell r="F1268"/>
          <cell r="G1268"/>
        </row>
        <row r="1269">
          <cell r="C1269" t="str">
            <v>PL66501-2 CIRCULAR WIRE BRUSH 6"</v>
          </cell>
          <cell r="D1269" t="str">
            <v>40PCS/CTN</v>
          </cell>
          <cell r="E1269">
            <v>180</v>
          </cell>
          <cell r="F1269"/>
          <cell r="G1269"/>
        </row>
        <row r="1270">
          <cell r="C1270" t="str">
            <v>PL66501-3 CIRCULAR WIRE BRUSH 8"</v>
          </cell>
          <cell r="D1270" t="str">
            <v>20PCS/CTN</v>
          </cell>
          <cell r="E1270">
            <v>230</v>
          </cell>
          <cell r="F1270"/>
          <cell r="G1270"/>
        </row>
        <row r="1271">
          <cell r="C1271"/>
          <cell r="D1271"/>
          <cell r="E1271"/>
          <cell r="F1271"/>
          <cell r="G1271"/>
        </row>
        <row r="1272">
          <cell r="C1272" t="str">
            <v>PL66590-01 SHIP CHAIN 1/8"</v>
          </cell>
          <cell r="D1272" t="str">
            <v>N.W.48KGS/ SACK</v>
          </cell>
          <cell r="E1272" t="str">
            <v>3950/SACK</v>
          </cell>
          <cell r="F1272"/>
          <cell r="G1272"/>
        </row>
        <row r="1273">
          <cell r="C1273" t="str">
            <v>PL66590-02 SHIP CHAIN 3/16"</v>
          </cell>
          <cell r="D1273" t="str">
            <v>N.W.48KGS/ SACK</v>
          </cell>
          <cell r="E1273"/>
          <cell r="F1273"/>
          <cell r="G1273"/>
        </row>
        <row r="1274">
          <cell r="C1274" t="str">
            <v>PL66590-03 SHIP CHAIN 1/4"</v>
          </cell>
          <cell r="D1274" t="str">
            <v>N.W.48KGS/ SACK</v>
          </cell>
          <cell r="E1274"/>
          <cell r="F1274"/>
          <cell r="G1274"/>
        </row>
        <row r="1275">
          <cell r="C1275" t="str">
            <v>PL66590-04 SHIP CHAIN 5/16"</v>
          </cell>
          <cell r="D1275" t="str">
            <v>N.W.48KGS/ SACK</v>
          </cell>
          <cell r="E1275"/>
          <cell r="F1275"/>
          <cell r="G1275"/>
        </row>
        <row r="1276">
          <cell r="C1276" t="str">
            <v>PL66590-05 SHIP CHAIN 3/8"</v>
          </cell>
          <cell r="D1276" t="str">
            <v>N.W.48KGS/ SACK</v>
          </cell>
          <cell r="E1276"/>
          <cell r="F1276"/>
          <cell r="G1276"/>
        </row>
        <row r="1277">
          <cell r="C1277" t="str">
            <v>PL66590-06 SHIP CHAIN 1/2"</v>
          </cell>
          <cell r="D1277" t="str">
            <v>N.W.48KGS/ SACK</v>
          </cell>
          <cell r="E1277"/>
          <cell r="F1277"/>
          <cell r="G1277"/>
        </row>
        <row r="1278">
          <cell r="C1278"/>
          <cell r="D1278"/>
          <cell r="E1278"/>
          <cell r="F1278"/>
          <cell r="G1278"/>
        </row>
        <row r="1279">
          <cell r="C1279"/>
          <cell r="D1279"/>
          <cell r="E1279"/>
          <cell r="F1279"/>
          <cell r="G1279"/>
        </row>
        <row r="1280">
          <cell r="C1280"/>
          <cell r="D1280"/>
          <cell r="E1280"/>
          <cell r="F1280"/>
          <cell r="G1280"/>
        </row>
        <row r="1281">
          <cell r="C1281"/>
          <cell r="D1281" t="str">
            <v>DESCRIPTION</v>
          </cell>
          <cell r="E1281" t="str">
            <v>PRICE</v>
          </cell>
          <cell r="F1281" t="str">
            <v>VOLUME LESS</v>
          </cell>
          <cell r="G1281" t="str">
            <v>REGULAR
LESS</v>
          </cell>
        </row>
        <row r="1282">
          <cell r="C1282"/>
          <cell r="D1282"/>
          <cell r="E1282"/>
          <cell r="F1282"/>
          <cell r="G1282"/>
        </row>
        <row r="1283">
          <cell r="C1283" t="str">
            <v>PL66540-1 CLOTH DUCT TAPE 0.26mm*50mm*30Y GRAY</v>
          </cell>
          <cell r="D1283" t="str">
            <v>48ROLLS/CTN</v>
          </cell>
          <cell r="E1283">
            <v>150</v>
          </cell>
          <cell r="F1283"/>
          <cell r="G1283"/>
        </row>
        <row r="1284">
          <cell r="C1284"/>
          <cell r="D1284"/>
          <cell r="E1284"/>
          <cell r="F1284"/>
          <cell r="G1284"/>
        </row>
        <row r="1285">
          <cell r="C1285" t="str">
            <v>PL66570-01 GALVANIZED SHACKLE U-TYPE 1/4"</v>
          </cell>
          <cell r="D1285" t="str">
            <v>1000PCS/BAG</v>
          </cell>
          <cell r="E1285">
            <v>10</v>
          </cell>
          <cell r="F1285"/>
          <cell r="G1285" t="str">
            <v>LESS 20%</v>
          </cell>
        </row>
        <row r="1286">
          <cell r="C1286" t="str">
            <v>PL66570-02 GALVANIZED SHACKLE U-TYPE 5/16"</v>
          </cell>
          <cell r="D1286" t="str">
            <v>500PCS/BAG</v>
          </cell>
          <cell r="E1286">
            <v>17</v>
          </cell>
          <cell r="F1286"/>
          <cell r="G1286"/>
        </row>
        <row r="1287">
          <cell r="C1287" t="str">
            <v>PL66570-03 GALVANIZED SHACKLE U-TYPE 3/8"</v>
          </cell>
          <cell r="D1287" t="str">
            <v>300PCS/BAG</v>
          </cell>
          <cell r="E1287">
            <v>20</v>
          </cell>
          <cell r="F1287"/>
          <cell r="G1287"/>
        </row>
        <row r="1288">
          <cell r="C1288" t="str">
            <v>PL66570-04 GALVANIZED SHACKLE U-TYPE 1/2"</v>
          </cell>
          <cell r="D1288" t="str">
            <v>200PCS/BAG</v>
          </cell>
          <cell r="E1288">
            <v>30</v>
          </cell>
          <cell r="F1288"/>
          <cell r="G1288"/>
        </row>
        <row r="1289">
          <cell r="C1289" t="str">
            <v>PL66570-05 GALVANIZED SHACKLE U-TYPE 5/8"</v>
          </cell>
          <cell r="D1289" t="str">
            <v>100PCS/BAG</v>
          </cell>
          <cell r="E1289">
            <v>60</v>
          </cell>
          <cell r="F1289"/>
          <cell r="G1289"/>
        </row>
        <row r="1290">
          <cell r="C1290" t="str">
            <v>PL66570-06 GALVANIZED SHACKLE U-TYPE 3/4"</v>
          </cell>
          <cell r="D1290" t="str">
            <v>50PCS/BAG</v>
          </cell>
          <cell r="E1290">
            <v>110</v>
          </cell>
          <cell r="F1290"/>
          <cell r="G1290"/>
        </row>
        <row r="1291">
          <cell r="C1291" t="str">
            <v>PL66570-07 GALVANIZED SHACKLE U-TYPE 7/8"</v>
          </cell>
          <cell r="D1291" t="str">
            <v>25PCS/BAG</v>
          </cell>
          <cell r="E1291">
            <v>170</v>
          </cell>
          <cell r="F1291"/>
          <cell r="G1291"/>
        </row>
        <row r="1292">
          <cell r="C1292" t="str">
            <v>PL66570-08 GALVANIZED SHACKLE U-TYPE 1"</v>
          </cell>
          <cell r="D1292" t="str">
            <v>25PCS/BAG</v>
          </cell>
          <cell r="E1292">
            <v>230</v>
          </cell>
          <cell r="F1292"/>
          <cell r="G1292"/>
        </row>
        <row r="1293">
          <cell r="C1293" t="str">
            <v>PL66570-09 GALVANIZED SHACKLE U-TYPE 1-1/4"</v>
          </cell>
          <cell r="D1293" t="str">
            <v>10PCS/BAG</v>
          </cell>
          <cell r="E1293">
            <v>480</v>
          </cell>
          <cell r="F1293"/>
          <cell r="G1293"/>
        </row>
        <row r="1294">
          <cell r="C1294" t="str">
            <v>PL66570-10 GALVANIZED SHACKLE U-TYPE 1-1/2"</v>
          </cell>
          <cell r="D1294" t="str">
            <v>8PCS/BAG</v>
          </cell>
          <cell r="E1294">
            <v>750</v>
          </cell>
          <cell r="F1294"/>
          <cell r="G1294"/>
        </row>
        <row r="1295">
          <cell r="C1295"/>
          <cell r="D1295"/>
          <cell r="E1295"/>
          <cell r="F1295"/>
          <cell r="G1295"/>
        </row>
        <row r="1296">
          <cell r="C1296"/>
          <cell r="D1296"/>
          <cell r="E1296"/>
          <cell r="F1296"/>
          <cell r="G1296"/>
        </row>
        <row r="1297">
          <cell r="C1297"/>
          <cell r="D1297" t="str">
            <v>DESCRIPTION</v>
          </cell>
          <cell r="E1297" t="str">
            <v>PRICE</v>
          </cell>
          <cell r="F1297" t="str">
            <v>VOLUME LESS</v>
          </cell>
          <cell r="G1297" t="str">
            <v>REGULAR
LESS</v>
          </cell>
        </row>
        <row r="1298">
          <cell r="C1298"/>
          <cell r="D1298"/>
          <cell r="E1298"/>
          <cell r="F1298"/>
          <cell r="G1298"/>
        </row>
        <row r="1299">
          <cell r="C1299" t="str">
            <v>PL66580-01 GALVANIZED CABLE CLIP 3/16"-5mm</v>
          </cell>
          <cell r="D1299" t="str">
            <v>2000PCS/BAG</v>
          </cell>
          <cell r="E1299">
            <v>4.5</v>
          </cell>
          <cell r="F1299"/>
          <cell r="G1299" t="str">
            <v>LESS 20%</v>
          </cell>
        </row>
        <row r="1300">
          <cell r="C1300" t="str">
            <v>PL66580-02 GALVANIZED CABLE CLIP 1/4"-6mm</v>
          </cell>
          <cell r="D1300" t="str">
            <v>1500PCS/BAG</v>
          </cell>
          <cell r="E1300">
            <v>5</v>
          </cell>
          <cell r="F1300"/>
          <cell r="G1300"/>
        </row>
        <row r="1301">
          <cell r="C1301" t="str">
            <v>PL66580-03 GALVANIZED CABLE CLIP 5/16"-8mm</v>
          </cell>
          <cell r="D1301" t="str">
            <v>1000PCS/BAG</v>
          </cell>
          <cell r="E1301">
            <v>6</v>
          </cell>
          <cell r="F1301"/>
          <cell r="G1301"/>
        </row>
        <row r="1302">
          <cell r="C1302" t="str">
            <v>PL66580-04 GALVANIZED CABLE CLIP 3/8"-10mm</v>
          </cell>
          <cell r="D1302" t="str">
            <v>500PCS/BAG</v>
          </cell>
          <cell r="E1302">
            <v>11</v>
          </cell>
          <cell r="F1302"/>
          <cell r="G1302"/>
        </row>
        <row r="1303">
          <cell r="C1303" t="str">
            <v>PL66580-05 GALVANIZED CABLE CLIP 1/2"-12mm</v>
          </cell>
          <cell r="D1303" t="str">
            <v>250PCS/BAG</v>
          </cell>
          <cell r="E1303">
            <v>21</v>
          </cell>
          <cell r="F1303"/>
          <cell r="G1303"/>
        </row>
        <row r="1304">
          <cell r="C1304" t="str">
            <v>PL66580-06 GALVANIZED CABLE CLIP 5/8"-16mm</v>
          </cell>
          <cell r="D1304" t="str">
            <v>200PCS/BAG</v>
          </cell>
          <cell r="E1304">
            <v>35</v>
          </cell>
          <cell r="F1304"/>
          <cell r="G1304"/>
        </row>
        <row r="1305">
          <cell r="C1305" t="str">
            <v>PL66580-07 GALVANIZED CABLE CLIP 3/4"-20mm</v>
          </cell>
          <cell r="D1305" t="str">
            <v>100PCS/BAG</v>
          </cell>
          <cell r="E1305">
            <v>45</v>
          </cell>
          <cell r="F1305"/>
          <cell r="G1305"/>
        </row>
        <row r="1306">
          <cell r="C1306" t="str">
            <v>PL66580-08 GALVANIZED CABLE CLIP 7/8"-22mm</v>
          </cell>
          <cell r="D1306" t="str">
            <v>100PCS/BAG</v>
          </cell>
          <cell r="E1306">
            <v>75</v>
          </cell>
          <cell r="F1306"/>
          <cell r="G1306"/>
        </row>
        <row r="1307">
          <cell r="C1307" t="str">
            <v>PL66580-09 GALVANIZED CABLE CLIP 1"-25mm</v>
          </cell>
          <cell r="D1307" t="str">
            <v>50PCS/BAG</v>
          </cell>
          <cell r="E1307">
            <v>85</v>
          </cell>
          <cell r="F1307"/>
          <cell r="G1307"/>
        </row>
        <row r="1308">
          <cell r="C1308" t="str">
            <v>PL66580-10 GALVANIZED CABLE CLIP 1-1/4"- 32mm</v>
          </cell>
          <cell r="D1308" t="str">
            <v>50PCS/BAG</v>
          </cell>
          <cell r="E1308">
            <v>125</v>
          </cell>
          <cell r="F1308"/>
          <cell r="G1308"/>
        </row>
        <row r="1309">
          <cell r="C1309" t="str">
            <v>PL66580-11 GALVANIZED CABLE CLIP 1-1/2"- 38mm</v>
          </cell>
          <cell r="D1309" t="str">
            <v>30PCS/BAG</v>
          </cell>
          <cell r="E1309">
            <v>190</v>
          </cell>
          <cell r="F1309"/>
          <cell r="G1309"/>
        </row>
        <row r="1310">
          <cell r="C1310"/>
          <cell r="D1310"/>
          <cell r="E1310"/>
          <cell r="F1310"/>
          <cell r="G1310"/>
        </row>
        <row r="1311">
          <cell r="C1311" t="str">
            <v>PL66560-1 1/2" TACKLE PULLEY SINGLE</v>
          </cell>
          <cell r="D1311" t="str">
            <v>12PCS*150BAG/CT N</v>
          </cell>
          <cell r="E1311">
            <v>16.5</v>
          </cell>
          <cell r="F1311"/>
          <cell r="G1311" t="str">
            <v>LESS 20%</v>
          </cell>
        </row>
        <row r="1312">
          <cell r="C1312" t="str">
            <v>PL66560-2 3/4" TACKLE PULLEY SINGLE</v>
          </cell>
          <cell r="D1312" t="str">
            <v>12PCS*80BAG/CTN</v>
          </cell>
          <cell r="E1312">
            <v>17.5</v>
          </cell>
          <cell r="F1312"/>
          <cell r="G1312"/>
        </row>
        <row r="1313">
          <cell r="C1313" t="str">
            <v>PL66560-3 1" TACKLE PULLEY SINGLE</v>
          </cell>
          <cell r="D1313" t="str">
            <v>12PCS*40BAG/CTN</v>
          </cell>
          <cell r="E1313">
            <v>23</v>
          </cell>
          <cell r="F1313"/>
          <cell r="G1313"/>
        </row>
        <row r="1314">
          <cell r="C1314"/>
          <cell r="D1314"/>
          <cell r="E1314"/>
          <cell r="F1314"/>
          <cell r="G1314"/>
        </row>
        <row r="1315">
          <cell r="C1315"/>
          <cell r="D1315" t="str">
            <v>DESCRIPTION</v>
          </cell>
          <cell r="E1315" t="str">
            <v>PRICE</v>
          </cell>
          <cell r="F1315" t="str">
            <v>VOLUME LESS</v>
          </cell>
          <cell r="G1315" t="str">
            <v>REGULAR
LESS</v>
          </cell>
        </row>
        <row r="1316">
          <cell r="C1316" t="str">
            <v>PL66560-4 1-1/4"TACKLE PULLEY SINGLE</v>
          </cell>
          <cell r="D1316" t="str">
            <v>12PCS*25BAG/CTN</v>
          </cell>
          <cell r="E1316">
            <v>33</v>
          </cell>
          <cell r="F1316"/>
          <cell r="G1316" t="str">
            <v>LESS 20%</v>
          </cell>
        </row>
        <row r="1317">
          <cell r="C1317" t="str">
            <v>PL66560-5 1-1/2" TACKLE PULLEY SINGLE</v>
          </cell>
          <cell r="D1317" t="str">
            <v>6PCS*30BAG /CTN</v>
          </cell>
          <cell r="E1317">
            <v>55</v>
          </cell>
          <cell r="F1317"/>
          <cell r="G1317"/>
        </row>
        <row r="1318">
          <cell r="C1318" t="str">
            <v>PL66560-6 2" TACKLE PULLEY SINGLE</v>
          </cell>
          <cell r="D1318" t="str">
            <v>6PCS*18BAG /CTN</v>
          </cell>
          <cell r="E1318">
            <v>76</v>
          </cell>
          <cell r="F1318"/>
          <cell r="G1318"/>
        </row>
        <row r="1319">
          <cell r="C1319" t="str">
            <v>PL66560-7 2-1/2" TACKLE PULLEY SINGLE</v>
          </cell>
          <cell r="D1319" t="str">
            <v>6PCS*10BAG /CTN</v>
          </cell>
          <cell r="E1319">
            <v>130</v>
          </cell>
          <cell r="F1319"/>
          <cell r="G1319"/>
        </row>
        <row r="1320">
          <cell r="C1320" t="str">
            <v>PL66560-8 3" TACKLE PULLEY SINGLE</v>
          </cell>
          <cell r="D1320" t="str">
            <v>6PCS*8BAG /CTN</v>
          </cell>
          <cell r="E1320">
            <v>160</v>
          </cell>
          <cell r="F1320"/>
          <cell r="G1320"/>
        </row>
        <row r="1321">
          <cell r="C1321" t="str">
            <v>PL66561-1 3/4" TACKLE PULLEY DOUBLE</v>
          </cell>
          <cell r="D1321" t="str">
            <v>12PCS*50BAG/CTN</v>
          </cell>
          <cell r="E1321">
            <v>35</v>
          </cell>
          <cell r="F1321"/>
          <cell r="G1321"/>
        </row>
        <row r="1322">
          <cell r="C1322" t="str">
            <v>PL66561-2 1" TACKLE PULLEY DOUBLE</v>
          </cell>
          <cell r="D1322" t="str">
            <v>12PCS*25BAG/CTN</v>
          </cell>
          <cell r="E1322">
            <v>45</v>
          </cell>
          <cell r="F1322"/>
          <cell r="G1322"/>
        </row>
        <row r="1323">
          <cell r="C1323" t="str">
            <v>PL66561-3 1-1/4" TACKLE PULLEY DOUBLE</v>
          </cell>
          <cell r="D1323" t="str">
            <v>12PCS*16BAG/CTN</v>
          </cell>
          <cell r="E1323">
            <v>60</v>
          </cell>
          <cell r="F1323"/>
          <cell r="G1323"/>
        </row>
        <row r="1324">
          <cell r="C1324" t="str">
            <v>PL66561-4 1-1/2" TACKLE PULLEY DOUBLE</v>
          </cell>
          <cell r="D1324" t="str">
            <v>6PCS*18BAG/CTN</v>
          </cell>
          <cell r="E1324">
            <v>110</v>
          </cell>
          <cell r="F1324"/>
          <cell r="G1324"/>
        </row>
        <row r="1325">
          <cell r="C1325" t="str">
            <v>PL66561-5 2" TACKLE PULLEY DOUBLE</v>
          </cell>
          <cell r="D1325" t="str">
            <v>6PCS*12BAG/CTN</v>
          </cell>
          <cell r="E1325">
            <v>150</v>
          </cell>
          <cell r="F1325"/>
          <cell r="G1325"/>
        </row>
        <row r="1326">
          <cell r="C1326" t="str">
            <v>PL66561-6 2-1/2" TACKLE PULLEY DOUBLE</v>
          </cell>
          <cell r="D1326" t="str">
            <v>6PCS*6BAG/CTN</v>
          </cell>
          <cell r="E1326">
            <v>240</v>
          </cell>
          <cell r="F1326"/>
          <cell r="G1326"/>
        </row>
        <row r="1327">
          <cell r="C1327" t="str">
            <v>PL66561-7 3" TACKLE PULLEY DOUBLE</v>
          </cell>
          <cell r="D1327" t="str">
            <v>6PCS*4BAG/CTN</v>
          </cell>
          <cell r="E1327">
            <v>280</v>
          </cell>
          <cell r="F1327"/>
          <cell r="G1327"/>
        </row>
        <row r="1328">
          <cell r="C1328"/>
          <cell r="D1328"/>
          <cell r="E1328"/>
          <cell r="F1328"/>
          <cell r="G1328"/>
        </row>
        <row r="1329">
          <cell r="C1329" t="str">
            <v>PL66550-1 6" RUBBER WHEEL W/RIM&amp;BEARING HEAVY DUTY</v>
          </cell>
          <cell r="D1329" t="str">
            <v>20PCS/BAG</v>
          </cell>
          <cell r="E1329">
            <v>265</v>
          </cell>
          <cell r="F1329"/>
          <cell r="G1329"/>
        </row>
        <row r="1330">
          <cell r="C1330" t="str">
            <v>PL66550-2 8" RUBBER WHEEL W/RIM&amp;BEARING HEAVY DUTY</v>
          </cell>
          <cell r="D1330" t="str">
            <v>10PCS/BAG</v>
          </cell>
          <cell r="E1330">
            <v>450</v>
          </cell>
          <cell r="F1330"/>
          <cell r="G1330"/>
        </row>
        <row r="1331">
          <cell r="C1331" t="str">
            <v>PL66550-3 10" RUBBER WHEEL W/RIM&amp;BEARING HEAVY DUTY</v>
          </cell>
          <cell r="D1331" t="str">
            <v>6PCS/BAG</v>
          </cell>
          <cell r="E1331">
            <v>870</v>
          </cell>
          <cell r="F1331"/>
          <cell r="G1331"/>
        </row>
        <row r="1332">
          <cell r="C1332" t="str">
            <v>PL66550-4 12" RUBBER WHEEL W/RIM&amp;BEARING HEAVY DUTY</v>
          </cell>
          <cell r="D1332" t="str">
            <v>6PCS/BAG</v>
          </cell>
          <cell r="E1332">
            <v>1300</v>
          </cell>
          <cell r="F1332"/>
          <cell r="G1332"/>
        </row>
        <row r="1333">
          <cell r="C1333"/>
          <cell r="D1333"/>
          <cell r="E1333"/>
          <cell r="F1333"/>
          <cell r="G1333"/>
        </row>
        <row r="1334">
          <cell r="C1334" t="str">
            <v>PL55010-1 (LT55001-01) 1/4" DYNA BOLT</v>
          </cell>
          <cell r="D1334" t="str">
            <v>1500PCS/CTN</v>
          </cell>
          <cell r="E1334">
            <v>8</v>
          </cell>
          <cell r="F1334"/>
          <cell r="G1334"/>
        </row>
        <row r="1335">
          <cell r="C1335" t="str">
            <v>PL55010-2 (LT55001-02) 5/16" DYNA BOLT</v>
          </cell>
          <cell r="D1335" t="str">
            <v>800PCS/CTN</v>
          </cell>
          <cell r="E1335">
            <v>12</v>
          </cell>
          <cell r="F1335"/>
          <cell r="G1335"/>
        </row>
        <row r="1336">
          <cell r="C1336" t="str">
            <v>PL55010-3 (LT55001-03) 3/8" DYNA BOLT</v>
          </cell>
          <cell r="D1336" t="str">
            <v>500PCS/CTN</v>
          </cell>
          <cell r="E1336">
            <v>16</v>
          </cell>
          <cell r="F1336"/>
          <cell r="G1336"/>
        </row>
        <row r="1337">
          <cell r="C1337" t="str">
            <v>PL55010-4 (LT55001-04) 1/2" DYNA BOLT</v>
          </cell>
          <cell r="D1337" t="str">
            <v>300PCS/CTN</v>
          </cell>
          <cell r="E1337">
            <v>28</v>
          </cell>
          <cell r="F1337"/>
          <cell r="G1337"/>
        </row>
        <row r="1338">
          <cell r="C1338" t="str">
            <v>PL55010-5 (LT55001-05) 5/8" DYNA BOLT</v>
          </cell>
          <cell r="D1338" t="str">
            <v>120PCS/CTN</v>
          </cell>
          <cell r="E1338">
            <v>50</v>
          </cell>
          <cell r="F1338"/>
          <cell r="G1338"/>
        </row>
        <row r="1339">
          <cell r="C1339"/>
          <cell r="D1339"/>
          <cell r="E1339"/>
          <cell r="F1339"/>
          <cell r="G1339"/>
        </row>
        <row r="1340">
          <cell r="C1340"/>
          <cell r="D1340"/>
          <cell r="E1340"/>
          <cell r="F1340"/>
          <cell r="G1340"/>
        </row>
        <row r="1341">
          <cell r="C1341"/>
          <cell r="D1341" t="str">
            <v>DESCRIPTION</v>
          </cell>
          <cell r="E1341" t="str">
            <v>PRICE</v>
          </cell>
          <cell r="F1341" t="str">
            <v>VOLUME LESS</v>
          </cell>
          <cell r="G1341" t="str">
            <v>REGULAR
LESS</v>
          </cell>
        </row>
        <row r="1342">
          <cell r="C1342"/>
          <cell r="D1342"/>
          <cell r="E1342"/>
          <cell r="F1342"/>
          <cell r="G1342"/>
        </row>
        <row r="1343">
          <cell r="C1343" t="str">
            <v>PL55240 HARDIFLEX NAIL</v>
          </cell>
          <cell r="D1343" t="str">
            <v>24KGS/CTN</v>
          </cell>
          <cell r="E1343">
            <v>1950</v>
          </cell>
          <cell r="F1343"/>
          <cell r="G1343"/>
        </row>
        <row r="1344">
          <cell r="C1344"/>
          <cell r="D1344"/>
          <cell r="E1344"/>
          <cell r="F1344"/>
          <cell r="G1344"/>
        </row>
        <row r="1345">
          <cell r="C1345" t="str">
            <v>PL55050-1 1/2 POWER SMOOTH NAIL</v>
          </cell>
          <cell r="D1345" t="str">
            <v>25BOX/CTN</v>
          </cell>
          <cell r="E1345">
            <v>86</v>
          </cell>
          <cell r="F1345"/>
          <cell r="G1345"/>
        </row>
        <row r="1346">
          <cell r="C1346" t="str">
            <v>PL55050-2 5/8 POWER SMOOTH NAIL</v>
          </cell>
          <cell r="D1346" t="str">
            <v>25BOX/CTN</v>
          </cell>
          <cell r="E1346">
            <v>82</v>
          </cell>
          <cell r="F1346"/>
          <cell r="G1346"/>
        </row>
        <row r="1347">
          <cell r="C1347" t="str">
            <v>PL55050-3 3/4 POWER SMOOTH NAIL</v>
          </cell>
          <cell r="D1347" t="str">
            <v>25BOX/CTN</v>
          </cell>
          <cell r="E1347">
            <v>75</v>
          </cell>
          <cell r="F1347"/>
          <cell r="G1347"/>
        </row>
        <row r="1348">
          <cell r="C1348" t="str">
            <v>PL55050-4 7/8 POWER SMOOTH NAIL</v>
          </cell>
          <cell r="D1348" t="str">
            <v>25BOX/CTN</v>
          </cell>
          <cell r="E1348">
            <v>75</v>
          </cell>
          <cell r="F1348"/>
          <cell r="G1348"/>
        </row>
        <row r="1349">
          <cell r="C1349"/>
          <cell r="D1349"/>
          <cell r="E1349"/>
          <cell r="F1349"/>
          <cell r="G1349"/>
        </row>
        <row r="1350">
          <cell r="C1350" t="str">
            <v>PL55060-1 ROOFING NAIL PLAIN 2" *9G</v>
          </cell>
          <cell r="D1350" t="str">
            <v>1 CTN</v>
          </cell>
          <cell r="E1350">
            <v>1675</v>
          </cell>
          <cell r="F1350"/>
          <cell r="G1350"/>
        </row>
        <row r="1351">
          <cell r="C1351" t="str">
            <v>PL55060-2 ROOFING NAIL TWISTED 2-1/2"*9G</v>
          </cell>
          <cell r="D1351" t="str">
            <v>1 CTN</v>
          </cell>
          <cell r="E1351">
            <v>1675</v>
          </cell>
          <cell r="F1351"/>
          <cell r="G1351"/>
        </row>
        <row r="1352">
          <cell r="C1352"/>
          <cell r="D1352"/>
          <cell r="E1352"/>
          <cell r="F1352"/>
          <cell r="G1352"/>
        </row>
        <row r="1353">
          <cell r="C1353" t="str">
            <v>PL55110-1 CONCRETE NAIL 1"</v>
          </cell>
          <cell r="D1353" t="str">
            <v>21KG/1CTN</v>
          </cell>
          <cell r="E1353">
            <v>1675</v>
          </cell>
          <cell r="F1353"/>
          <cell r="G1353"/>
        </row>
        <row r="1354">
          <cell r="C1354" t="str">
            <v>PL55110-2 CONCRETE NAIL 1.5" ( 1" 1/2 )</v>
          </cell>
          <cell r="D1354" t="str">
            <v>21KG/1CTN</v>
          </cell>
          <cell r="E1354">
            <v>1675</v>
          </cell>
          <cell r="F1354"/>
          <cell r="G1354"/>
        </row>
        <row r="1355">
          <cell r="C1355" t="str">
            <v>PL55110-3 CONCRETE NAIL 2"</v>
          </cell>
          <cell r="D1355" t="str">
            <v>21KG/1CTN</v>
          </cell>
          <cell r="E1355">
            <v>1675</v>
          </cell>
          <cell r="F1355"/>
          <cell r="G1355"/>
        </row>
        <row r="1356">
          <cell r="C1356" t="str">
            <v>PL55110-4 CONCRETE NAIL 2.5" ( 2" 1/2)</v>
          </cell>
          <cell r="D1356" t="str">
            <v>21KG/1CTN</v>
          </cell>
          <cell r="E1356">
            <v>1675</v>
          </cell>
          <cell r="F1356"/>
          <cell r="G1356"/>
        </row>
        <row r="1357">
          <cell r="C1357" t="str">
            <v>PL55110-5 CONCRETE NAIL 3"</v>
          </cell>
          <cell r="D1357" t="str">
            <v>21KG/1CTN</v>
          </cell>
          <cell r="E1357">
            <v>1675</v>
          </cell>
          <cell r="F1357"/>
          <cell r="G1357"/>
        </row>
        <row r="1358">
          <cell r="C1358" t="str">
            <v>PL55110-6 CONCRETE NAIL 4"</v>
          </cell>
          <cell r="D1358" t="str">
            <v>21KG/1CTN</v>
          </cell>
          <cell r="E1358">
            <v>1675</v>
          </cell>
          <cell r="F1358"/>
          <cell r="G1358"/>
        </row>
        <row r="1359">
          <cell r="C1359"/>
          <cell r="D1359"/>
          <cell r="E1359"/>
          <cell r="F1359"/>
          <cell r="G1359"/>
        </row>
        <row r="1360">
          <cell r="C1360" t="str">
            <v>PL55111-1 CONCRETE SLIM NAIL 1"</v>
          </cell>
          <cell r="D1360" t="str">
            <v>20BOX/CTN</v>
          </cell>
          <cell r="E1360">
            <v>150</v>
          </cell>
          <cell r="F1360"/>
          <cell r="G1360"/>
        </row>
        <row r="1361">
          <cell r="C1361" t="str">
            <v>PL55111-2 CONCRETE SLIM NAIL 1"1/2</v>
          </cell>
          <cell r="D1361" t="str">
            <v>20BOX/CTN</v>
          </cell>
          <cell r="E1361">
            <v>150</v>
          </cell>
          <cell r="F1361"/>
          <cell r="G1361"/>
        </row>
        <row r="1362">
          <cell r="C1362" t="str">
            <v>PL55111-3 CONCRETE SLIM NAIL 2"</v>
          </cell>
          <cell r="D1362" t="str">
            <v>20BOX/CTN</v>
          </cell>
          <cell r="E1362">
            <v>150</v>
          </cell>
          <cell r="F1362"/>
          <cell r="G1362"/>
        </row>
        <row r="1363">
          <cell r="C1363"/>
          <cell r="D1363"/>
          <cell r="E1363"/>
          <cell r="F1363"/>
          <cell r="G1363"/>
        </row>
        <row r="1364">
          <cell r="C1364"/>
          <cell r="D1364" t="str">
            <v>DESCRIPTION</v>
          </cell>
          <cell r="E1364" t="str">
            <v>PRICE</v>
          </cell>
          <cell r="F1364" t="str">
            <v>VOLUME LESS</v>
          </cell>
          <cell r="G1364" t="str">
            <v>REGULAR
LESS</v>
          </cell>
        </row>
        <row r="1365">
          <cell r="C1365"/>
          <cell r="D1365"/>
          <cell r="E1365"/>
          <cell r="F1365"/>
          <cell r="G1365"/>
        </row>
        <row r="1366">
          <cell r="C1366" t="str">
            <v>PL55160-1 1/2"*20MM POLONET PVC CLAMP BLUE</v>
          </cell>
          <cell r="D1366" t="str">
            <v>50PACKS/CTN</v>
          </cell>
          <cell r="E1366">
            <v>110</v>
          </cell>
          <cell r="F1366"/>
          <cell r="G1366"/>
        </row>
        <row r="1367">
          <cell r="C1367" t="str">
            <v>PL55160-2 3/4"*25MM POLONET PVC CLAMP BLUE</v>
          </cell>
          <cell r="D1367" t="str">
            <v>50PACKS/CTN</v>
          </cell>
          <cell r="E1367">
            <v>135</v>
          </cell>
          <cell r="F1367"/>
          <cell r="G1367"/>
        </row>
        <row r="1368">
          <cell r="C1368" t="str">
            <v>PL55160-3 1"*32MM POLONET PVC CLAMP BLUE</v>
          </cell>
          <cell r="D1368" t="str">
            <v>50PACKS/CTN</v>
          </cell>
          <cell r="E1368">
            <v>140</v>
          </cell>
          <cell r="F1368"/>
          <cell r="G1368"/>
        </row>
        <row r="1369">
          <cell r="C1369" t="str">
            <v>PL55160-4 1/2"*20MM POLONET PVC CLAMP ORANGE</v>
          </cell>
          <cell r="D1369" t="str">
            <v>50PACKS/CTN</v>
          </cell>
          <cell r="E1369">
            <v>110</v>
          </cell>
          <cell r="F1369"/>
          <cell r="G1369"/>
        </row>
        <row r="1370">
          <cell r="C1370" t="str">
            <v>PL55160-5 3/4"*25MM POLONET PVC CLAMP ORANGE</v>
          </cell>
          <cell r="D1370" t="str">
            <v>50PACKS/CTN</v>
          </cell>
          <cell r="E1370">
            <v>135</v>
          </cell>
          <cell r="F1370"/>
          <cell r="G1370"/>
        </row>
        <row r="1371">
          <cell r="C1371" t="str">
            <v>PL55160-6 1"*32MM POLONET PVC CLAMP ORANGE</v>
          </cell>
          <cell r="D1371" t="str">
            <v>50PACKS/CTN</v>
          </cell>
          <cell r="E1371">
            <v>140</v>
          </cell>
          <cell r="F1371"/>
          <cell r="G1371"/>
        </row>
        <row r="1372">
          <cell r="C1372"/>
          <cell r="D1372"/>
          <cell r="E1372"/>
          <cell r="F1372"/>
          <cell r="G1372"/>
        </row>
        <row r="1373">
          <cell r="C1373" t="str">
            <v>PL550200-1 (LT55002-123) WELDED WIRE(GALVANIZED) BWG16*1/2"*3'*22M(N.W31.2)</v>
          </cell>
          <cell r="D1373" t="str">
            <v>1 ROLL</v>
          </cell>
          <cell r="E1373">
            <v>5000</v>
          </cell>
          <cell r="F1373"/>
          <cell r="G1373" t="str">
            <v>LESS 20%</v>
          </cell>
        </row>
        <row r="1374">
          <cell r="C1374" t="str">
            <v>PL550200-2 (LT55002-124) WELDED WIRE GALVANIZED BWG16*1/2"*4'*22M(N.W41.8)</v>
          </cell>
          <cell r="D1374" t="str">
            <v>1 ROLL</v>
          </cell>
          <cell r="E1374">
            <v>6500</v>
          </cell>
          <cell r="F1374"/>
          <cell r="G1374"/>
        </row>
        <row r="1375">
          <cell r="C1375" t="str">
            <v>PL550200-3 (LT55002-13) WELDED WIRE(GALVANIZED） BWG16*1"*3'*22M(N.W19.8)</v>
          </cell>
          <cell r="D1375" t="str">
            <v>1 ROLL</v>
          </cell>
          <cell r="E1375">
            <v>3000</v>
          </cell>
          <cell r="F1375"/>
          <cell r="G1375"/>
        </row>
        <row r="1376">
          <cell r="C1376" t="str">
            <v>PL550200-4 WELDED WIRE(GALVANIZED） BWG16*1"*4'*22M(N.W26.4)</v>
          </cell>
          <cell r="D1376" t="str">
            <v>1ROLL</v>
          </cell>
          <cell r="E1376">
            <v>3800</v>
          </cell>
          <cell r="F1376"/>
          <cell r="G1376"/>
        </row>
        <row r="1377">
          <cell r="C1377" t="str">
            <v>PL550201-1 GALVANIZED WELDED WIRE BWG21(0.69MM)*1/2"*3’*22m (N.W9.6)</v>
          </cell>
          <cell r="D1377" t="str">
            <v>1 ROLL</v>
          </cell>
          <cell r="E1377">
            <v>1400</v>
          </cell>
          <cell r="F1377" t="str">
            <v>LESS 25</v>
          </cell>
          <cell r="G1377"/>
        </row>
        <row r="1378">
          <cell r="C1378" t="str">
            <v>PL550201-2 GALVANIZED WELDED WIRE BWG21(0.69MM)*1/2"*4’*22m (N.W12.8)</v>
          </cell>
          <cell r="D1378" t="str">
            <v>1 ROLL</v>
          </cell>
          <cell r="E1378">
            <v>1900</v>
          </cell>
          <cell r="F1378"/>
          <cell r="G1378"/>
        </row>
        <row r="1379">
          <cell r="C1379" t="str">
            <v>PL550201-3 GALVANIZED WELDED WIRE BWG19(0.93MM)*1"*3’*22m(N.W8.8)</v>
          </cell>
          <cell r="D1379" t="str">
            <v>1 ROLL</v>
          </cell>
          <cell r="E1379">
            <v>1400</v>
          </cell>
          <cell r="F1379"/>
          <cell r="G1379"/>
        </row>
        <row r="1380">
          <cell r="C1380" t="str">
            <v>PL550201-4 GALVANIZED WELDED WIRE BWG19(0.93MM)*1"*4’*22m (N.W11.9)</v>
          </cell>
          <cell r="D1380" t="str">
            <v>1 ROLL</v>
          </cell>
          <cell r="E1380">
            <v>1900</v>
          </cell>
          <cell r="F1380"/>
          <cell r="G1380"/>
        </row>
        <row r="1381">
          <cell r="C1381"/>
          <cell r="D1381"/>
          <cell r="E1381"/>
          <cell r="F1381"/>
          <cell r="G1381"/>
        </row>
        <row r="1382">
          <cell r="C1382"/>
          <cell r="D1382" t="str">
            <v>DESCRIPTION</v>
          </cell>
          <cell r="E1382" t="str">
            <v>PRICE</v>
          </cell>
          <cell r="F1382" t="str">
            <v>VOLUME LESS</v>
          </cell>
          <cell r="G1382" t="str">
            <v>REGULAR
LESS</v>
          </cell>
        </row>
        <row r="1383">
          <cell r="C1383"/>
          <cell r="D1383"/>
          <cell r="E1383"/>
          <cell r="F1383"/>
          <cell r="G1383"/>
        </row>
        <row r="1384">
          <cell r="C1384" t="str">
            <v>PL550202-1 COATED WELDED WIRE BWG19**1/2"*3'*22M (N.W11.5)</v>
          </cell>
          <cell r="D1384" t="str">
            <v>1 ROLL</v>
          </cell>
          <cell r="E1384">
            <v>2250</v>
          </cell>
          <cell r="F1384"/>
          <cell r="G1384" t="str">
            <v>LESS 25%</v>
          </cell>
        </row>
        <row r="1385">
          <cell r="C1385" t="str">
            <v>PL550202-2 COATED WELDED WIRE BWG19**1/2"*4'*22M(N.W15.4)</v>
          </cell>
          <cell r="D1385" t="str">
            <v>1 ROLL</v>
          </cell>
          <cell r="E1385">
            <v>3300</v>
          </cell>
          <cell r="F1385"/>
          <cell r="G1385"/>
        </row>
        <row r="1386">
          <cell r="C1386" t="str">
            <v>PL550202-3 COATED WELDED WIRE 1*3(N.W5.8)</v>
          </cell>
          <cell r="D1386" t="str">
            <v>1 ROLL</v>
          </cell>
          <cell r="E1386">
            <v>2500</v>
          </cell>
          <cell r="F1386"/>
          <cell r="G1386"/>
        </row>
        <row r="1387">
          <cell r="C1387" t="str">
            <v>PL550202-4 COATED WELDED WIRE BWG21**1"*4'*22M(N.W7.7)</v>
          </cell>
          <cell r="D1387" t="str">
            <v>1 ROLL</v>
          </cell>
          <cell r="E1387">
            <v>2700</v>
          </cell>
          <cell r="F1387"/>
          <cell r="G1387"/>
        </row>
        <row r="1388">
          <cell r="C1388"/>
          <cell r="D1388"/>
          <cell r="E1388"/>
          <cell r="F1388"/>
          <cell r="G1388"/>
        </row>
        <row r="1389">
          <cell r="C1389" t="str">
            <v>PL550203-1 (LT55015-1) POLONET BARBED WIRE #15 (N.W10)</v>
          </cell>
          <cell r="D1389" t="str">
            <v>1ROLL</v>
          </cell>
          <cell r="E1389">
            <v>870</v>
          </cell>
          <cell r="F1389"/>
          <cell r="G1389"/>
        </row>
        <row r="1390">
          <cell r="C1390" t="str">
            <v>PL550203-2 (LT55015-2) POLONET BARBED WIRE #20(N.W15)</v>
          </cell>
          <cell r="D1390" t="str">
            <v>1ROLL</v>
          </cell>
          <cell r="E1390">
            <v>1160</v>
          </cell>
          <cell r="F1390"/>
          <cell r="G1390"/>
        </row>
        <row r="1391">
          <cell r="C1391" t="str">
            <v>PL550203-3 (LT55015-3) POLONET BARBED WIRE #25(N.W20)</v>
          </cell>
          <cell r="D1391" t="str">
            <v>1ROLL</v>
          </cell>
          <cell r="E1391">
            <v>1450</v>
          </cell>
          <cell r="F1391"/>
          <cell r="G1391"/>
        </row>
        <row r="1392">
          <cell r="C1392" t="str">
            <v>PL550203-4 (LT55015-4) POLONET BARBED WIRE #30(N.W25)</v>
          </cell>
          <cell r="D1392" t="str">
            <v>1ROLL</v>
          </cell>
          <cell r="E1392">
            <v>1740</v>
          </cell>
          <cell r="F1392"/>
          <cell r="G1392"/>
        </row>
        <row r="1393">
          <cell r="C1393"/>
          <cell r="D1393"/>
          <cell r="E1393"/>
          <cell r="F1393"/>
          <cell r="G1393"/>
        </row>
        <row r="1394">
          <cell r="C1394" t="str">
            <v>PL550204-1 GALV. CYCLONE WIRE 1.9mm*2"*2"*3'*4M(N.W14.06)</v>
          </cell>
          <cell r="D1394" t="str">
            <v>5ROLL/bundle</v>
          </cell>
          <cell r="E1394">
            <v>255</v>
          </cell>
          <cell r="F1394"/>
          <cell r="G1394"/>
        </row>
        <row r="1395">
          <cell r="C1395" t="str">
            <v>PL550204-2 GALV. CYCLONE WIRE 1.9mm*2"*2"*4'*4M(N.W18.46)</v>
          </cell>
          <cell r="D1395" t="str">
            <v>5ROLL/bundle</v>
          </cell>
          <cell r="E1395">
            <v>340</v>
          </cell>
          <cell r="F1395"/>
          <cell r="G1395"/>
        </row>
        <row r="1396">
          <cell r="C1396" t="str">
            <v>PL550204-3 GALV. CYCLONE WIRE 1.9mm*2"*2"*5'*4M (N.W23.28)</v>
          </cell>
          <cell r="D1396" t="str">
            <v>5ROLL/bundle</v>
          </cell>
          <cell r="E1396">
            <v>425</v>
          </cell>
          <cell r="F1396"/>
          <cell r="G1396"/>
        </row>
        <row r="1397">
          <cell r="C1397" t="str">
            <v>PL550204-4 GALV. CYCLONE WIRE 1.9mm*2"*2"*6'*4M (N.W27.48)</v>
          </cell>
          <cell r="D1397" t="str">
            <v>5ROLL/bundle</v>
          </cell>
          <cell r="E1397">
            <v>510</v>
          </cell>
          <cell r="F1397"/>
          <cell r="G1397"/>
        </row>
        <row r="1398">
          <cell r="C1398" t="str">
            <v>PL550204-5 GALV. CYCLONE WIRE 2.0mm*4"*4"*3'*4M (N.W8.18)</v>
          </cell>
          <cell r="D1398" t="str">
            <v>5ROLL/bundle</v>
          </cell>
          <cell r="E1398">
            <v>165</v>
          </cell>
          <cell r="F1398"/>
          <cell r="G1398"/>
        </row>
        <row r="1399">
          <cell r="C1399"/>
          <cell r="D1399"/>
          <cell r="E1399"/>
          <cell r="F1399"/>
          <cell r="G1399"/>
        </row>
        <row r="1400">
          <cell r="C1400"/>
          <cell r="D1400" t="str">
            <v>DESCRIPTION</v>
          </cell>
          <cell r="E1400" t="str">
            <v>PRICE</v>
          </cell>
          <cell r="F1400" t="str">
            <v>VOLUME LESS</v>
          </cell>
          <cell r="G1400" t="str">
            <v>REGULAR
LESS</v>
          </cell>
        </row>
        <row r="1401">
          <cell r="C1401" t="str">
            <v>PL550204-6 GALV. CYCLONE WIRE 2.0mm*4"*4"*4'*4M (N.W11)</v>
          </cell>
          <cell r="D1401" t="str">
            <v>5ROLL/bundle</v>
          </cell>
          <cell r="E1401">
            <v>220</v>
          </cell>
          <cell r="F1401"/>
          <cell r="G1401"/>
        </row>
        <row r="1402">
          <cell r="C1402" t="str">
            <v>PL550204-7 GALV. CYCLONE WIRE 2.0mm*4"*4"*5'*4m (N.W13.38)</v>
          </cell>
          <cell r="D1402" t="str">
            <v>5ROLL/bundle</v>
          </cell>
          <cell r="E1402">
            <v>275</v>
          </cell>
          <cell r="F1402"/>
          <cell r="G1402"/>
        </row>
        <row r="1403">
          <cell r="C1403" t="str">
            <v>PL550204-8 GALV. CYCLONE WIRE 2.0mm*4"*4"*6'*4m (N.W15.56)</v>
          </cell>
          <cell r="D1403" t="str">
            <v>5ROLL/bundle</v>
          </cell>
          <cell r="E1403">
            <v>330</v>
          </cell>
          <cell r="F1403"/>
          <cell r="G1403"/>
        </row>
        <row r="1404">
          <cell r="C1404"/>
          <cell r="D1404"/>
          <cell r="E1404"/>
          <cell r="F1404"/>
          <cell r="G1404"/>
        </row>
        <row r="1405">
          <cell r="C1405" t="str">
            <v>PL550204-11 POLONET HOT DIPPED CYCLONE WIRE 2.75MM 2"*2"*3"*10M</v>
          </cell>
          <cell r="D1405" t="str">
            <v>1ROLL</v>
          </cell>
          <cell r="E1405" t="str">
            <v>1470/ROLL</v>
          </cell>
          <cell r="F1405"/>
          <cell r="G1405"/>
        </row>
        <row r="1406">
          <cell r="C1406" t="str">
            <v>PL550204-12 POLONET HOT DIPPED CYCLONE WIRE 2.75MM 2"*2"*4"*10M</v>
          </cell>
          <cell r="D1406" t="str">
            <v>1ROLL</v>
          </cell>
          <cell r="E1406" t="str">
            <v>1960/ROLL</v>
          </cell>
          <cell r="F1406"/>
          <cell r="G1406"/>
        </row>
        <row r="1407">
          <cell r="C1407" t="str">
            <v>PL550204-13 POLONET HOT DIPPED CYCLONE WIRE 2.75MM 2"*2"*5"10M</v>
          </cell>
          <cell r="D1407" t="str">
            <v>1ROLL</v>
          </cell>
          <cell r="E1407" t="str">
            <v>2450/ROLL</v>
          </cell>
          <cell r="F1407"/>
          <cell r="G1407"/>
        </row>
        <row r="1408">
          <cell r="C1408" t="str">
            <v>PL550204-14 POLONET HOT DIPPED CYCLONE WIRE 2.75MM 2"*2"*6"10M</v>
          </cell>
          <cell r="D1408" t="str">
            <v>1ROLL</v>
          </cell>
          <cell r="E1408" t="str">
            <v>2940/ROLL</v>
          </cell>
          <cell r="F1408"/>
          <cell r="G1408"/>
        </row>
        <row r="1409">
          <cell r="C1409"/>
          <cell r="D1409"/>
          <cell r="E1409"/>
          <cell r="F1409"/>
          <cell r="G1409"/>
        </row>
        <row r="1410">
          <cell r="C1410" t="str">
            <v>PL550205-1 HOG WIRE 1M*25M*7MESH 7hole (N.W9.16)</v>
          </cell>
          <cell r="D1410" t="str">
            <v>1ROLL</v>
          </cell>
          <cell r="E1410">
            <v>880</v>
          </cell>
          <cell r="F1410"/>
          <cell r="G1410"/>
        </row>
        <row r="1411">
          <cell r="C1411" t="str">
            <v>PL550205-2 HOG WIRE 1.1M*25M*8MESH 8hole (N.W10.2)</v>
          </cell>
          <cell r="D1411" t="str">
            <v>1ROLL</v>
          </cell>
          <cell r="E1411">
            <v>950</v>
          </cell>
          <cell r="F1411"/>
          <cell r="G1411"/>
        </row>
        <row r="1412">
          <cell r="C1412" t="str">
            <v>PL550205-3 HOG WIRE 1.2M*25M*9MESH 9hole (N.W11.2)</v>
          </cell>
          <cell r="D1412" t="str">
            <v>1ROLL</v>
          </cell>
          <cell r="E1412">
            <v>1050</v>
          </cell>
          <cell r="F1412"/>
          <cell r="G1412"/>
        </row>
        <row r="1413">
          <cell r="C1413" t="str">
            <v>PL550205-4 HOG WIRE 1.4M*25M*10MESH 10hole (N.W12.7)</v>
          </cell>
          <cell r="D1413" t="str">
            <v>1ROLL</v>
          </cell>
          <cell r="E1413">
            <v>1250</v>
          </cell>
          <cell r="F1413"/>
          <cell r="G1413"/>
        </row>
        <row r="1414">
          <cell r="C1414"/>
          <cell r="D1414"/>
          <cell r="E1414"/>
          <cell r="F1414"/>
          <cell r="G1414"/>
        </row>
        <row r="1415">
          <cell r="C1415" t="str">
            <v>PL550207-1 (LT55022-1) ROUND BAND RING BTO-22 COMBAT WIRE W/CLIP</v>
          </cell>
          <cell r="D1415" t="str">
            <v>1 ROLL</v>
          </cell>
          <cell r="E1415">
            <v>480</v>
          </cell>
          <cell r="F1415"/>
          <cell r="G1415"/>
        </row>
        <row r="1416">
          <cell r="C1416" t="str">
            <v>PL550207-2 (LT55022-2) HALF ROUND WITHOUT RING BTO-22 COMBAT WIRE W/O CLIP</v>
          </cell>
          <cell r="D1416" t="str">
            <v>1 ROLL</v>
          </cell>
          <cell r="E1416">
            <v>520</v>
          </cell>
          <cell r="F1416"/>
          <cell r="G1416"/>
        </row>
        <row r="1417">
          <cell r="C1417"/>
          <cell r="D1417"/>
          <cell r="E1417"/>
          <cell r="F1417"/>
          <cell r="G1417"/>
        </row>
        <row r="1418">
          <cell r="C1418"/>
          <cell r="D1418" t="str">
            <v>DESCRIPTION</v>
          </cell>
          <cell r="E1418" t="str">
            <v>PRICE</v>
          </cell>
          <cell r="F1418" t="str">
            <v>VOLUME LESS</v>
          </cell>
          <cell r="G1418" t="str">
            <v>REGULAR
LESS</v>
          </cell>
        </row>
        <row r="1419">
          <cell r="C1419"/>
          <cell r="D1419"/>
          <cell r="E1419"/>
          <cell r="F1419"/>
          <cell r="G1419"/>
        </row>
        <row r="1420">
          <cell r="C1420" t="str">
            <v>PLASTECH-1 POLOLOCK THYLENE SCREEN 1/8X3</v>
          </cell>
          <cell r="D1420" t="str">
            <v>1 ROLL</v>
          </cell>
          <cell r="E1420">
            <v>2260</v>
          </cell>
          <cell r="F1420"/>
          <cell r="G1420" t="str">
            <v>LESS 35</v>
          </cell>
        </row>
        <row r="1421">
          <cell r="C1421" t="str">
            <v>PLASTECH-2 POLOLOCK THYLENE SCREEN 1/8X4</v>
          </cell>
          <cell r="D1421" t="str">
            <v>1 ROLL</v>
          </cell>
          <cell r="E1421">
            <v>3160</v>
          </cell>
          <cell r="F1421"/>
          <cell r="G1421"/>
        </row>
        <row r="1422">
          <cell r="C1422" t="str">
            <v>PLASTECH-3 POLOLOCK THYLENE SCREEN 1/4X3</v>
          </cell>
          <cell r="D1422" t="str">
            <v>1 ROLL</v>
          </cell>
          <cell r="E1422">
            <v>2170</v>
          </cell>
          <cell r="F1422"/>
          <cell r="G1422"/>
        </row>
        <row r="1423">
          <cell r="C1423" t="str">
            <v>PLASTECH-4 POLOLOCK THYLENE SCREEN 1/4X4</v>
          </cell>
          <cell r="D1423" t="str">
            <v>1 ROLL</v>
          </cell>
          <cell r="E1423">
            <v>3160</v>
          </cell>
          <cell r="F1423"/>
          <cell r="G1423"/>
        </row>
        <row r="1424">
          <cell r="C1424" t="str">
            <v>PLASTECH-5 POLOLOCK THYLENE SCREEN 3/8X3</v>
          </cell>
          <cell r="D1424" t="str">
            <v>1 ROLL</v>
          </cell>
          <cell r="E1424">
            <v>3055</v>
          </cell>
          <cell r="F1424"/>
          <cell r="G1424"/>
        </row>
        <row r="1425">
          <cell r="C1425" t="str">
            <v>PLASTECH-6 POLOLOCK THYLENE SCREEN 3/8X4</v>
          </cell>
          <cell r="D1425" t="str">
            <v>1 ROLL</v>
          </cell>
          <cell r="E1425">
            <v>3990</v>
          </cell>
          <cell r="F1425"/>
          <cell r="G1425"/>
        </row>
        <row r="1426">
          <cell r="C1426" t="str">
            <v>PLASTECH-7 POLOLOCK THYLENE SCREEN 1/2X3</v>
          </cell>
          <cell r="D1426" t="str">
            <v>1 ROLL</v>
          </cell>
          <cell r="E1426">
            <v>3315</v>
          </cell>
          <cell r="F1426"/>
          <cell r="G1426"/>
        </row>
        <row r="1427">
          <cell r="C1427" t="str">
            <v>PLASTECH-8 POLOLOCK THYLENE SCREEN 1/2X4</v>
          </cell>
          <cell r="D1427" t="str">
            <v>1 ROLL</v>
          </cell>
          <cell r="E1427">
            <v>4400</v>
          </cell>
          <cell r="F1427"/>
          <cell r="G1427"/>
        </row>
        <row r="1428">
          <cell r="C1428" t="str">
            <v>PLASTECH-9 POLOLOCK THYLENE SCREEN 1X3</v>
          </cell>
          <cell r="D1428" t="str">
            <v>1 ROLL</v>
          </cell>
          <cell r="E1428">
            <v>3315</v>
          </cell>
          <cell r="F1428"/>
          <cell r="G1428"/>
        </row>
        <row r="1429">
          <cell r="C1429" t="str">
            <v>PLASTECH-10 POLOLOCK THYLENE SCREEN 3/4X3</v>
          </cell>
          <cell r="D1429" t="str">
            <v>1 ROLL</v>
          </cell>
          <cell r="E1429">
            <v>3180</v>
          </cell>
          <cell r="F1429"/>
          <cell r="G1429"/>
        </row>
        <row r="1430">
          <cell r="C1430" t="str">
            <v>PLASTECH-11 POLOLOCK THYLENE SCREEN 3/4X4</v>
          </cell>
          <cell r="D1430" t="str">
            <v>1 ROLL</v>
          </cell>
          <cell r="E1430">
            <v>4400</v>
          </cell>
          <cell r="F1430"/>
          <cell r="G1430"/>
        </row>
        <row r="1431">
          <cell r="C1431" t="str">
            <v>PLASTECH-12 POLOLOCK THYLENE SCREEN 1X4</v>
          </cell>
          <cell r="D1431" t="str">
            <v>1 ROLL</v>
          </cell>
          <cell r="E1431">
            <v>4505</v>
          </cell>
          <cell r="F1431"/>
          <cell r="G1431"/>
        </row>
        <row r="1432">
          <cell r="C1432"/>
          <cell r="D1432"/>
          <cell r="E1432"/>
          <cell r="F1432"/>
          <cell r="G1432"/>
        </row>
        <row r="1433">
          <cell r="C1433" t="str">
            <v>PL55190 POLONET #6*500M SERVICE DROP WIRE</v>
          </cell>
          <cell r="D1433" t="str">
            <v>1ROLL</v>
          </cell>
          <cell r="E1433">
            <v>11000</v>
          </cell>
          <cell r="F1433"/>
          <cell r="G1433"/>
        </row>
        <row r="1434">
          <cell r="C1434"/>
          <cell r="D1434" t="str">
            <v>1ROLL</v>
          </cell>
          <cell r="E1434"/>
          <cell r="F1434"/>
          <cell r="G1434"/>
        </row>
        <row r="1435">
          <cell r="C1435"/>
          <cell r="D1435"/>
          <cell r="E1435"/>
          <cell r="F1435"/>
          <cell r="G1435"/>
        </row>
        <row r="1436">
          <cell r="C1436" t="str">
            <v>PL550208-1 POLOLOCK EXPANDED WIRE 3FT (N.W5.7)</v>
          </cell>
          <cell r="D1436" t="str">
            <v>1ROLL</v>
          </cell>
          <cell r="E1436">
            <v>2440</v>
          </cell>
          <cell r="F1436"/>
          <cell r="G1436"/>
        </row>
        <row r="1437">
          <cell r="C1437" t="str">
            <v>PL550208-2 POLOLOCK EXPANDED WIRE 4FT (N.W7.6)</v>
          </cell>
          <cell r="D1437" t="str">
            <v>1 ROLL</v>
          </cell>
          <cell r="E1437">
            <v>2880</v>
          </cell>
          <cell r="F1437"/>
          <cell r="G1437"/>
        </row>
        <row r="1438">
          <cell r="C1438"/>
          <cell r="D1438"/>
          <cell r="E1438"/>
          <cell r="F1438"/>
          <cell r="G1438"/>
        </row>
        <row r="1439">
          <cell r="C1439" t="str">
            <v>PL55030-1 ANNEALED WIRE #16</v>
          </cell>
          <cell r="D1439" t="str">
            <v>20KG/ROLL</v>
          </cell>
          <cell r="E1439">
            <v>1150</v>
          </cell>
          <cell r="F1439"/>
          <cell r="G1439"/>
        </row>
        <row r="1440">
          <cell r="C1440" t="str">
            <v>PL55030-2 ANNEALED WIRE #18</v>
          </cell>
          <cell r="D1440" t="str">
            <v>20KG/ROLL</v>
          </cell>
          <cell r="E1440">
            <v>1250</v>
          </cell>
          <cell r="F1440"/>
          <cell r="G1440"/>
        </row>
        <row r="1441">
          <cell r="C1441"/>
          <cell r="D1441"/>
          <cell r="E1441"/>
          <cell r="F1441"/>
          <cell r="G1441"/>
        </row>
        <row r="1442">
          <cell r="C1442"/>
          <cell r="D1442" t="str">
            <v>DESCRIPTION</v>
          </cell>
          <cell r="E1442" t="str">
            <v>PRICE</v>
          </cell>
          <cell r="F1442" t="str">
            <v>VOLUME LESS</v>
          </cell>
          <cell r="G1442" t="str">
            <v>REGULAR
LESS</v>
          </cell>
        </row>
        <row r="1443">
          <cell r="C1443"/>
          <cell r="D1443"/>
          <cell r="E1443"/>
          <cell r="F1443"/>
          <cell r="G1443"/>
        </row>
        <row r="1444">
          <cell r="C1444" t="str">
            <v>PL55080-S1 GYPSUM BOARD SCREW FOR STEEL 3.5mm*1"（25MM）</v>
          </cell>
          <cell r="D1444" t="str">
            <v>1000PCS*
20BOX/CTN</v>
          </cell>
          <cell r="E1444">
            <v>0.32</v>
          </cell>
          <cell r="F1444"/>
          <cell r="G1444"/>
        </row>
        <row r="1445">
          <cell r="C1445" t="str">
            <v>PL55080-S2 GYPSUM BOARD SCREW FOR STEEL 3.5mm*1-1/4"（32MM）</v>
          </cell>
          <cell r="D1445" t="str">
            <v>1000PCS*
10BOX/CTN</v>
          </cell>
          <cell r="E1445">
            <v>0.42</v>
          </cell>
          <cell r="F1445"/>
          <cell r="G1445"/>
        </row>
        <row r="1446">
          <cell r="C1446" t="str">
            <v>PL55080-S3 GYPSUM BOARD SCREW FOR STEEL 3.5mm*1-1/2"（40MM）</v>
          </cell>
          <cell r="D1446" t="str">
            <v>500PCS*
20BOX/CTN</v>
          </cell>
          <cell r="E1446">
            <v>0.45</v>
          </cell>
          <cell r="F1446"/>
          <cell r="G1446"/>
        </row>
        <row r="1447">
          <cell r="C1447" t="str">
            <v>PL55080-S4 GYPSUM BOARD SCREW FOR STEEL 3.5mm*2"（50MM）</v>
          </cell>
          <cell r="D1447" t="str">
            <v>500PCS/BOX</v>
          </cell>
          <cell r="E1447">
            <v>0.5</v>
          </cell>
          <cell r="F1447"/>
          <cell r="G1447"/>
        </row>
        <row r="1448">
          <cell r="C1448" t="str">
            <v>PL55080-S5 GYPSUM BOARD SCREW FOR STEEL 4.2mm*2-1/2"（63MM）</v>
          </cell>
          <cell r="D1448" t="str">
            <v>440PCS*
16BOX/CTN</v>
          </cell>
          <cell r="E1448">
            <v>0.75</v>
          </cell>
          <cell r="F1448"/>
          <cell r="G1448"/>
        </row>
        <row r="1449">
          <cell r="C1449" t="str">
            <v>PL55080-S6 GYPSUM BOARD SCREW FOR STEEL 4.2mm*3"（75MM）</v>
          </cell>
          <cell r="D1449" t="str">
            <v>20BOX/CTN</v>
          </cell>
          <cell r="E1449">
            <v>1</v>
          </cell>
          <cell r="F1449"/>
          <cell r="G1449"/>
        </row>
        <row r="1450">
          <cell r="C1450"/>
          <cell r="D1450"/>
          <cell r="E1450"/>
          <cell r="F1450"/>
          <cell r="G1450"/>
        </row>
        <row r="1451">
          <cell r="C1451" t="str">
            <v>PL55080-W1 GYPSUM BOARD SCREW FOR WOOD 3.5mm*1"（25MM）</v>
          </cell>
          <cell r="D1451" t="str">
            <v>1000PCS*
20BOX/CTN</v>
          </cell>
          <cell r="E1451">
            <v>0.28999999999999998</v>
          </cell>
          <cell r="F1451"/>
          <cell r="G1451"/>
        </row>
        <row r="1452">
          <cell r="C1452" t="str">
            <v>PL55080-W2 GYPSUM BOARD SCREW FOR WOOD 3.5mm*1-1/4"（32MM）</v>
          </cell>
          <cell r="D1452" t="str">
            <v>500PCS*
20BOX/CTN</v>
          </cell>
          <cell r="E1452">
            <v>0.35</v>
          </cell>
          <cell r="F1452"/>
          <cell r="G1452"/>
        </row>
        <row r="1453">
          <cell r="C1453" t="str">
            <v>PL55080-W3 GYPSUM BOARD SCREW FOR WOOD 3.5mm*1-1/2"（40MM）</v>
          </cell>
          <cell r="D1453" t="str">
            <v>500PCS*
20BOX/CTN</v>
          </cell>
          <cell r="E1453">
            <v>0.35</v>
          </cell>
          <cell r="F1453"/>
          <cell r="G1453"/>
        </row>
        <row r="1454">
          <cell r="C1454" t="str">
            <v>PL55080-W4 GYPSUM BOARD SCREW FOR WOOD 3.5mm*2" (50MM)</v>
          </cell>
          <cell r="D1454" t="str">
            <v>500PCS*
20BOX/CTN</v>
          </cell>
          <cell r="E1454">
            <v>0.45</v>
          </cell>
          <cell r="F1454"/>
          <cell r="G1454"/>
        </row>
        <row r="1455">
          <cell r="C1455" t="str">
            <v>PL55080-W5 GYPSUM BOARD SCREW FOR WOOD 4.2mm*2-1/2"（63MM）</v>
          </cell>
          <cell r="D1455" t="str">
            <v>440PCS*
10BOX/CTN</v>
          </cell>
          <cell r="E1455">
            <v>0.65</v>
          </cell>
          <cell r="F1455"/>
          <cell r="G1455"/>
        </row>
        <row r="1456">
          <cell r="C1456" t="str">
            <v>PL55080-W6 GYPSUM BOARD SCREW FOR WOOD 4.2mm*3" (75MM)</v>
          </cell>
          <cell r="D1456" t="str">
            <v>325PCS*
20BOX/CTN</v>
          </cell>
          <cell r="E1456">
            <v>0.9</v>
          </cell>
          <cell r="F1456"/>
          <cell r="G1456"/>
        </row>
        <row r="1457">
          <cell r="C1457"/>
          <cell r="D1457"/>
          <cell r="E1457"/>
          <cell r="F1457"/>
          <cell r="G1457"/>
        </row>
        <row r="1458">
          <cell r="C1458" t="str">
            <v>PL55081-S1 TEK SCREW FOR METAL 4.4*25MM 1"</v>
          </cell>
          <cell r="D1458" t="str">
            <v>6500PCS/CTN</v>
          </cell>
          <cell r="E1458">
            <v>0.55000000000000004</v>
          </cell>
          <cell r="F1458"/>
          <cell r="G1458" t="str">
            <v>LESS 15%</v>
          </cell>
        </row>
        <row r="1459">
          <cell r="C1459" t="str">
            <v>PL55081-S2 TEK SCREW FOR METAL 4.4*35MM 1"-3/8</v>
          </cell>
          <cell r="D1459" t="str">
            <v>5000PCS/CTN</v>
          </cell>
          <cell r="E1459">
            <v>0.65</v>
          </cell>
          <cell r="F1459"/>
          <cell r="G1459"/>
        </row>
        <row r="1460">
          <cell r="C1460" t="str">
            <v>PL55081-S3 TEK SCREW FOR METAL 4.4*45MM 1"3/4</v>
          </cell>
          <cell r="D1460" t="str">
            <v>4000PCS/CTN</v>
          </cell>
          <cell r="E1460">
            <v>0.75</v>
          </cell>
          <cell r="F1460"/>
          <cell r="G1460"/>
        </row>
        <row r="1461">
          <cell r="C1461" t="str">
            <v>PL55081-S4 TEK SCREW FOR METAL 4.4*50MM 2"</v>
          </cell>
          <cell r="D1461" t="str">
            <v>3000PCS/CTN</v>
          </cell>
          <cell r="E1461">
            <v>0.85</v>
          </cell>
          <cell r="F1461"/>
          <cell r="G1461"/>
        </row>
        <row r="1462">
          <cell r="C1462" t="str">
            <v>PL55081-S5 TEK SCREW FOR METAL 4.5*55MM 2"1/4</v>
          </cell>
          <cell r="D1462" t="str">
            <v>3000PCS/CTN</v>
          </cell>
          <cell r="E1462">
            <v>0.95</v>
          </cell>
          <cell r="F1462"/>
          <cell r="G1462"/>
        </row>
        <row r="1463">
          <cell r="C1463"/>
          <cell r="D1463"/>
          <cell r="E1463"/>
          <cell r="F1463"/>
          <cell r="G1463"/>
        </row>
        <row r="1464">
          <cell r="C1464"/>
          <cell r="D1464" t="str">
            <v>DESCRIPTION</v>
          </cell>
          <cell r="E1464" t="str">
            <v>PRICE</v>
          </cell>
          <cell r="F1464" t="str">
            <v>VOLUME LESS</v>
          </cell>
          <cell r="G1464" t="str">
            <v>REGULAR
LESS</v>
          </cell>
        </row>
        <row r="1465">
          <cell r="C1465" t="str">
            <v>PL55081-S6 TEK SCREW FOR METAL 4.5*65MM 2"1/2</v>
          </cell>
          <cell r="D1465" t="str">
            <v>2500PCS/CTN</v>
          </cell>
          <cell r="E1465">
            <v>0.95</v>
          </cell>
          <cell r="F1465"/>
          <cell r="G1465" t="str">
            <v>LESS 15%</v>
          </cell>
        </row>
        <row r="1466">
          <cell r="C1466" t="str">
            <v>PL55081-S7 TEK SCREW FOR METAL 4.5*75MM 3"</v>
          </cell>
          <cell r="D1466" t="str">
            <v>2500PCS/CTN</v>
          </cell>
          <cell r="E1466">
            <v>1.2</v>
          </cell>
          <cell r="F1466"/>
          <cell r="G1466"/>
        </row>
        <row r="1467">
          <cell r="C1467" t="str">
            <v>PL55081-S8 TEK SCREW FOR METAL 4.7*100MM 4"</v>
          </cell>
          <cell r="D1467" t="str">
            <v>1800PCS/CTN</v>
          </cell>
          <cell r="E1467">
            <v>1.65</v>
          </cell>
          <cell r="F1467"/>
          <cell r="G1467"/>
        </row>
        <row r="1468">
          <cell r="C1468" t="str">
            <v>PL55081-W1 TEK SCREW FOR WOOD 4.4*25MM 1"</v>
          </cell>
          <cell r="D1468" t="str">
            <v>6500PCS/CTN</v>
          </cell>
          <cell r="E1468">
            <v>0.55000000000000004</v>
          </cell>
          <cell r="F1468"/>
          <cell r="G1468" t="str">
            <v>LESS 15%</v>
          </cell>
        </row>
        <row r="1469">
          <cell r="C1469" t="str">
            <v>PL55081-W2 TEK SCREW FOR WOOD 4.4*35MM 1"- 3/8</v>
          </cell>
          <cell r="D1469" t="str">
            <v>5000PCS/CTN</v>
          </cell>
          <cell r="E1469">
            <v>0.65</v>
          </cell>
          <cell r="F1469"/>
          <cell r="G1469"/>
        </row>
        <row r="1470">
          <cell r="C1470" t="str">
            <v>PL55081-W3 TEK SCREW FOR WOOD 4.4*45MM 1"3/4</v>
          </cell>
          <cell r="D1470" t="str">
            <v>4000PCS/CTN</v>
          </cell>
          <cell r="E1470">
            <v>0.75</v>
          </cell>
          <cell r="F1470"/>
          <cell r="G1470"/>
        </row>
        <row r="1471">
          <cell r="C1471" t="str">
            <v>PL55081-W4 TEK SCREW FOR WOOD 50MM 2"</v>
          </cell>
          <cell r="D1471" t="str">
            <v>3000PCS/CTN</v>
          </cell>
          <cell r="E1471">
            <v>0.85</v>
          </cell>
          <cell r="F1471"/>
          <cell r="G1471"/>
        </row>
        <row r="1472">
          <cell r="C1472" t="str">
            <v>PL55081-W5 TEK SCREW FOR WOOD 4.5*55MM 2"1/4</v>
          </cell>
          <cell r="D1472" t="str">
            <v>3000PCS/CTN</v>
          </cell>
          <cell r="E1472">
            <v>0.85</v>
          </cell>
          <cell r="F1472"/>
          <cell r="G1472"/>
        </row>
        <row r="1473">
          <cell r="C1473" t="str">
            <v>PL55081-W6 TEK SCREW FOR WOOD 65MM 2"1/2</v>
          </cell>
          <cell r="D1473" t="str">
            <v>2500PCS/CTN</v>
          </cell>
          <cell r="E1473">
            <v>0.95</v>
          </cell>
          <cell r="F1473"/>
          <cell r="G1473"/>
        </row>
        <row r="1474">
          <cell r="C1474" t="str">
            <v>PL55081-W7 TEK SCREW FOR WOOD 75MM 3"</v>
          </cell>
          <cell r="D1474" t="str">
            <v>2500PCS/CTN</v>
          </cell>
          <cell r="E1474">
            <v>1.2</v>
          </cell>
          <cell r="F1474"/>
          <cell r="G1474"/>
        </row>
        <row r="1475">
          <cell r="C1475" t="str">
            <v>PL55081-W8 TEK SCREW FOR WOOD 4.7*100MM 4"</v>
          </cell>
          <cell r="D1475" t="str">
            <v>1800PCS/CTN</v>
          </cell>
          <cell r="E1475">
            <v>1.65</v>
          </cell>
          <cell r="F1475"/>
          <cell r="G1475"/>
        </row>
        <row r="1476">
          <cell r="C1476"/>
          <cell r="D1476"/>
          <cell r="E1476"/>
          <cell r="F1476"/>
          <cell r="G1476"/>
        </row>
        <row r="1477">
          <cell r="C1477" t="str">
            <v>PL55082-00 (LT55020-1) LAGSCREW 1/4" x 1"</v>
          </cell>
          <cell r="D1477" t="str">
            <v>16BOX/CTN</v>
          </cell>
          <cell r="E1477">
            <v>190</v>
          </cell>
          <cell r="F1477"/>
          <cell r="G1477"/>
        </row>
        <row r="1478">
          <cell r="C1478" t="str">
            <v>PL55082-01 (LT55020-2) LAGSCREW 1/4" x 1-1/2"</v>
          </cell>
          <cell r="D1478" t="str">
            <v>200PCS/BOX @1.75KLS</v>
          </cell>
          <cell r="E1478">
            <v>250</v>
          </cell>
          <cell r="F1478"/>
          <cell r="G1478"/>
        </row>
        <row r="1479">
          <cell r="C1479" t="str">
            <v>PL55082-02 (LT55020-3) LAGSCREW 1/4" x 2"</v>
          </cell>
          <cell r="D1479" t="str">
            <v>200PCS/BOX @2.25KLS</v>
          </cell>
          <cell r="E1479">
            <v>325</v>
          </cell>
          <cell r="F1479"/>
          <cell r="G1479"/>
        </row>
        <row r="1480">
          <cell r="C1480" t="str">
            <v>PL55082-03 (LT55020-4) LAGSCREW 1/4" x 2-1/2"</v>
          </cell>
          <cell r="D1480" t="str">
            <v>200PCS/BOX @2.75KLS</v>
          </cell>
          <cell r="E1480">
            <v>400</v>
          </cell>
          <cell r="F1480"/>
          <cell r="G1480"/>
        </row>
        <row r="1481">
          <cell r="C1481" t="str">
            <v>PL55082-04 (LT55020-5) LAGSCREW 1/4" x 3"</v>
          </cell>
          <cell r="D1481" t="str">
            <v>200PCS/BOX @3.75KLS</v>
          </cell>
          <cell r="E1481">
            <v>440</v>
          </cell>
          <cell r="F1481"/>
          <cell r="G1481"/>
        </row>
        <row r="1482">
          <cell r="C1482" t="str">
            <v>PL55082-05 (LT55020-6) LAGSCREW 1/4" x 3-1/2"</v>
          </cell>
          <cell r="D1482" t="str">
            <v>6BOX/CTN</v>
          </cell>
          <cell r="E1482">
            <v>430</v>
          </cell>
          <cell r="F1482"/>
          <cell r="G1482"/>
        </row>
        <row r="1483">
          <cell r="C1483" t="str">
            <v>PL55082-06 (LT55020-7) LAGSCREW 1/4" x 4"</v>
          </cell>
          <cell r="D1483" t="str">
            <v>200PCS/BOX @4KLS</v>
          </cell>
          <cell r="E1483">
            <v>594</v>
          </cell>
          <cell r="F1483"/>
          <cell r="G1483"/>
        </row>
        <row r="1484">
          <cell r="C1484" t="str">
            <v>PL55082-07 (LT55020-8) LAGSCREW 5/16" x 1"</v>
          </cell>
          <cell r="D1484" t="str">
            <v>10BOX/CTN</v>
          </cell>
          <cell r="E1484">
            <v>297</v>
          </cell>
          <cell r="F1484"/>
          <cell r="G1484"/>
        </row>
        <row r="1485">
          <cell r="C1485" t="str">
            <v>PL55082-08 (LT55020-9) LAGSCREW 5/16" x 1-1/2"</v>
          </cell>
          <cell r="D1485" t="str">
            <v>200PCS/BOX @2.75KLS</v>
          </cell>
          <cell r="E1485">
            <v>396</v>
          </cell>
          <cell r="F1485"/>
          <cell r="G1485"/>
        </row>
        <row r="1486">
          <cell r="C1486"/>
          <cell r="D1486"/>
          <cell r="E1486"/>
          <cell r="F1486"/>
          <cell r="G1486"/>
        </row>
        <row r="1487">
          <cell r="C1487"/>
          <cell r="D1487" t="str">
            <v>DESCRIPTION</v>
          </cell>
          <cell r="E1487" t="str">
            <v>PRICE</v>
          </cell>
          <cell r="F1487" t="str">
            <v>VOLUME LESS</v>
          </cell>
          <cell r="G1487" t="str">
            <v>REGULAR
LESS</v>
          </cell>
        </row>
        <row r="1488">
          <cell r="C1488" t="str">
            <v>PL55082-09 (LT55020-10) LAGSCREW 5/16" x 2"</v>
          </cell>
          <cell r="D1488" t="str">
            <v>200PCS/BOX @3.5KLS</v>
          </cell>
          <cell r="E1488">
            <v>504</v>
          </cell>
          <cell r="F1488"/>
          <cell r="G1488"/>
        </row>
        <row r="1489">
          <cell r="C1489" t="str">
            <v>PL55082-10 (LT55020-11) LAGSCREW 5/16" x 2- 1/2"</v>
          </cell>
          <cell r="D1489" t="str">
            <v>200PCS/BOX @4.25KLS</v>
          </cell>
          <cell r="E1489">
            <v>594</v>
          </cell>
          <cell r="F1489"/>
          <cell r="G1489"/>
        </row>
        <row r="1490">
          <cell r="C1490" t="str">
            <v>PL55082-11 (LT55020-12) LAGSCREW 5/16" x 3"</v>
          </cell>
          <cell r="D1490" t="str">
            <v>200PCS/BOX @4.75KLS</v>
          </cell>
          <cell r="E1490">
            <v>711</v>
          </cell>
          <cell r="F1490"/>
          <cell r="G1490"/>
        </row>
        <row r="1491">
          <cell r="C1491" t="str">
            <v>PL55082-12 (LT55020-13) LAGSCREW 5/16" x 3- 1/2"</v>
          </cell>
          <cell r="D1491" t="str">
            <v>200PCS/BOX @5.25KLS</v>
          </cell>
          <cell r="E1491">
            <v>810</v>
          </cell>
          <cell r="F1491"/>
          <cell r="G1491"/>
        </row>
        <row r="1492">
          <cell r="C1492" t="str">
            <v>PL55082-13 (LT55020-14) LAGSCREW 5/16" x 4"</v>
          </cell>
          <cell r="D1492" t="str">
            <v>3B0X/CTN</v>
          </cell>
          <cell r="E1492">
            <v>918</v>
          </cell>
          <cell r="F1492"/>
          <cell r="G1492"/>
        </row>
        <row r="1493">
          <cell r="C1493" t="str">
            <v>PL55082-14 (LT55020-15) LAGSCREW 3/8" x 1"</v>
          </cell>
          <cell r="D1493" t="str">
            <v>12BOX/CTN</v>
          </cell>
          <cell r="E1493">
            <v>216</v>
          </cell>
          <cell r="F1493"/>
          <cell r="G1493"/>
        </row>
        <row r="1494">
          <cell r="C1494" t="str">
            <v>PL55082-15 (LT55020-16) LAGSCREW 3/8" x 1-1/2"</v>
          </cell>
          <cell r="D1494" t="str">
            <v>10BOX/CTN</v>
          </cell>
          <cell r="E1494">
            <v>288</v>
          </cell>
          <cell r="F1494"/>
          <cell r="G1494"/>
        </row>
        <row r="1495">
          <cell r="C1495" t="str">
            <v>PL55082-16 (LT55020-17) LAGSCREW 3/8" x 2"</v>
          </cell>
          <cell r="D1495" t="str">
            <v>100PCS/BOX @2.5KLS</v>
          </cell>
          <cell r="E1495">
            <v>369</v>
          </cell>
          <cell r="F1495"/>
          <cell r="G1495"/>
        </row>
        <row r="1496">
          <cell r="C1496" t="str">
            <v>PL55082-17 (LT55020-18) LAGSCREW 3/8" x 2-1/2"</v>
          </cell>
          <cell r="D1496" t="str">
            <v>6BOX/CTN</v>
          </cell>
          <cell r="E1496">
            <v>450</v>
          </cell>
          <cell r="F1496"/>
          <cell r="G1496"/>
        </row>
        <row r="1497">
          <cell r="C1497" t="str">
            <v>PL55082-18 (LT55020-19) LAGSCREW 3/8" x 3"</v>
          </cell>
          <cell r="D1497" t="str">
            <v>100PCS/BOX @3.5KLS</v>
          </cell>
          <cell r="E1497">
            <v>522</v>
          </cell>
          <cell r="F1497"/>
          <cell r="G1497"/>
        </row>
        <row r="1498">
          <cell r="C1498" t="str">
            <v>PL55082-19 (LT55020-20) LAGSCREW 3/8" x 3-1/2"</v>
          </cell>
          <cell r="D1498" t="str">
            <v>100PCS/BOX @4KLS</v>
          </cell>
          <cell r="E1498">
            <v>603</v>
          </cell>
          <cell r="F1498"/>
          <cell r="G1498"/>
        </row>
        <row r="1499">
          <cell r="C1499" t="str">
            <v>PL55082-20 (LT55020-21) LAGSCREW 3/8" x 4"</v>
          </cell>
          <cell r="D1499" t="str">
            <v>5BOX/CTN</v>
          </cell>
          <cell r="E1499">
            <v>666</v>
          </cell>
          <cell r="F1499"/>
          <cell r="G1499"/>
        </row>
        <row r="1500">
          <cell r="C1500" t="str">
            <v>PL55082-22 (LT55020-23) LAGSCREW 1/2" x 1-1/2"</v>
          </cell>
          <cell r="D1500" t="str">
            <v>10BOX/CTN</v>
          </cell>
          <cell r="E1500">
            <v>297</v>
          </cell>
          <cell r="F1500"/>
          <cell r="G1500"/>
        </row>
        <row r="1501">
          <cell r="C1501" t="str">
            <v>PL55082-23 (LT55020-24) LAGSCREW 1/2" x 2"</v>
          </cell>
          <cell r="D1501" t="str">
            <v>8BOX/CTN</v>
          </cell>
          <cell r="E1501">
            <v>378</v>
          </cell>
          <cell r="F1501"/>
          <cell r="G1501"/>
        </row>
        <row r="1502">
          <cell r="C1502" t="str">
            <v>PL55082-24 (LT55020-25) LAGSCREW 1/2" x 2-1/2"</v>
          </cell>
          <cell r="D1502" t="str">
            <v>6BOX/CTN</v>
          </cell>
          <cell r="E1502">
            <v>450</v>
          </cell>
          <cell r="F1502"/>
          <cell r="G1502"/>
        </row>
        <row r="1503">
          <cell r="C1503" t="str">
            <v>PL55082-25 (LT55020-26) LAGSCREW 1/2" x 3"</v>
          </cell>
          <cell r="D1503" t="str">
            <v>6BOX/CTN</v>
          </cell>
          <cell r="E1503">
            <v>522</v>
          </cell>
          <cell r="F1503"/>
          <cell r="G1503"/>
        </row>
        <row r="1504">
          <cell r="C1504" t="str">
            <v>PL55082-26 (LT55020-27) LAGSCREW 1/2" x 3-1/2"</v>
          </cell>
          <cell r="D1504" t="str">
            <v>6BOX/CTN</v>
          </cell>
          <cell r="E1504">
            <v>576</v>
          </cell>
          <cell r="F1504"/>
          <cell r="G1504"/>
        </row>
        <row r="1505">
          <cell r="C1505" t="str">
            <v>PL55082-27 (LT55020-28) LAGSCREW 1/2" x 4"</v>
          </cell>
          <cell r="D1505" t="str">
            <v>5BOX/CTN</v>
          </cell>
          <cell r="E1505">
            <v>648</v>
          </cell>
          <cell r="F1505"/>
          <cell r="G1505"/>
        </row>
        <row r="1506">
          <cell r="C1506"/>
          <cell r="D1506"/>
          <cell r="E1506"/>
          <cell r="F1506"/>
          <cell r="G1506"/>
        </row>
        <row r="1507">
          <cell r="C1507"/>
          <cell r="D1507"/>
          <cell r="E1507"/>
          <cell r="F1507"/>
          <cell r="G1507"/>
        </row>
        <row r="1508">
          <cell r="C1508"/>
          <cell r="D1508" t="str">
            <v>DESCRIPTION</v>
          </cell>
          <cell r="E1508" t="str">
            <v>PRICE</v>
          </cell>
          <cell r="F1508" t="str">
            <v>VOLUME LESS</v>
          </cell>
          <cell r="G1508" t="str">
            <v>REGULAR
LESS</v>
          </cell>
        </row>
        <row r="1509">
          <cell r="C1509"/>
          <cell r="D1509"/>
          <cell r="E1509"/>
          <cell r="F1509"/>
          <cell r="G1509"/>
        </row>
        <row r="1510">
          <cell r="C1510" t="str">
            <v>PL55220-1 J. BOLT W/ RUBBER WASHER 2-1/2"</v>
          </cell>
          <cell r="D1510" t="str">
            <v>1000SETS/ CTN</v>
          </cell>
          <cell r="E1510">
            <v>4.2</v>
          </cell>
          <cell r="F1510"/>
          <cell r="G1510"/>
        </row>
        <row r="1511">
          <cell r="C1511" t="str">
            <v>PL55220-2 J. BOLT W/ RUBBER WASHER 3"</v>
          </cell>
          <cell r="D1511" t="str">
            <v>1000SETS/C TN</v>
          </cell>
          <cell r="E1511">
            <v>4.5</v>
          </cell>
          <cell r="F1511"/>
          <cell r="G1511"/>
        </row>
        <row r="1512">
          <cell r="C1512"/>
          <cell r="D1512"/>
          <cell r="E1512"/>
          <cell r="F1512"/>
          <cell r="G1512"/>
        </row>
        <row r="1513">
          <cell r="C1513" t="str">
            <v>PL55084-01 1/2" PAN HEAD SCREW</v>
          </cell>
          <cell r="D1513" t="str">
            <v>1000PCS/ BOX*16BOXES/C TN</v>
          </cell>
          <cell r="E1513">
            <v>1.1000000000000001</v>
          </cell>
          <cell r="F1513"/>
          <cell r="G1513"/>
        </row>
        <row r="1514">
          <cell r="C1514"/>
          <cell r="D1514"/>
          <cell r="E1514"/>
          <cell r="F1514"/>
          <cell r="G1514"/>
        </row>
        <row r="1515">
          <cell r="C1515" t="str">
            <v>PL55070-1 EXPANSION SHIELD 1/4"*25mm</v>
          </cell>
          <cell r="D1515" t="str">
            <v>1200PCS/CTN</v>
          </cell>
          <cell r="E1515">
            <v>8</v>
          </cell>
          <cell r="F1515"/>
          <cell r="G1515"/>
        </row>
        <row r="1516">
          <cell r="C1516" t="str">
            <v>PL55070-2 EXPANSION SHIELD 1/4"*40mm</v>
          </cell>
          <cell r="D1516" t="str">
            <v>1200PCS/CTN</v>
          </cell>
          <cell r="E1516">
            <v>11</v>
          </cell>
          <cell r="F1516"/>
          <cell r="G1516"/>
        </row>
        <row r="1517">
          <cell r="C1517" t="str">
            <v>PL55070-3 EXPANSION SHIELD 5/16"*30mm</v>
          </cell>
          <cell r="D1517" t="str">
            <v>1200PCS/CTN</v>
          </cell>
          <cell r="E1517">
            <v>9</v>
          </cell>
          <cell r="F1517"/>
          <cell r="G1517"/>
        </row>
        <row r="1518">
          <cell r="C1518" t="str">
            <v>PL55070-4 EXPANSION SHIELD 5/16"*45mm</v>
          </cell>
          <cell r="D1518" t="str">
            <v>1200PCS/CTN</v>
          </cell>
          <cell r="E1518">
            <v>12</v>
          </cell>
          <cell r="F1518"/>
          <cell r="G1518"/>
        </row>
        <row r="1519">
          <cell r="C1519" t="str">
            <v>PL55070-5 EXPANSION SHIELD 3/8"*45mm</v>
          </cell>
          <cell r="D1519" t="str">
            <v>600PCS/CTN</v>
          </cell>
          <cell r="E1519">
            <v>18</v>
          </cell>
          <cell r="F1519"/>
          <cell r="G1519"/>
        </row>
        <row r="1520">
          <cell r="C1520" t="str">
            <v>PL55070-6 EXPANSION SHIELD 3/8"*60mm</v>
          </cell>
          <cell r="D1520" t="str">
            <v>600PCS/CTN</v>
          </cell>
          <cell r="E1520">
            <v>23</v>
          </cell>
          <cell r="F1520"/>
          <cell r="G1520"/>
        </row>
        <row r="1521">
          <cell r="C1521" t="str">
            <v>PL55070-7 EXPANSION SHIELD 1/2"*50mm</v>
          </cell>
          <cell r="D1521" t="str">
            <v>400PCS/CTN</v>
          </cell>
          <cell r="E1521">
            <v>24</v>
          </cell>
          <cell r="F1521"/>
          <cell r="G1521"/>
        </row>
        <row r="1522">
          <cell r="C1522" t="str">
            <v>PL55070-8 EXPANSION SHIELD 1/2"*75mm</v>
          </cell>
          <cell r="D1522" t="str">
            <v>400PCS/CTN</v>
          </cell>
          <cell r="E1522">
            <v>32</v>
          </cell>
          <cell r="F1522"/>
          <cell r="G1522"/>
        </row>
        <row r="1523">
          <cell r="C1523"/>
          <cell r="D1523"/>
          <cell r="E1523"/>
          <cell r="F1523"/>
          <cell r="G1523"/>
        </row>
        <row r="1524">
          <cell r="C1524" t="str">
            <v>PL55101-1 GOLD ALUMINUM STAIR NOSING</v>
          </cell>
          <cell r="D1524" t="str">
            <v>20PCS/CTN</v>
          </cell>
          <cell r="E1524">
            <v>400</v>
          </cell>
          <cell r="F1524"/>
          <cell r="G1524"/>
        </row>
        <row r="1525">
          <cell r="C1525" t="str">
            <v>PL55101-2 SILVER ALUMINUM STAIR NOSING</v>
          </cell>
          <cell r="D1525" t="str">
            <v>50PCS/CTN</v>
          </cell>
          <cell r="E1525">
            <v>265</v>
          </cell>
          <cell r="F1525"/>
          <cell r="G1525"/>
        </row>
        <row r="1526">
          <cell r="C1526" t="str">
            <v>PL55100-1 ALUMINUM TILE TRIM GOLD</v>
          </cell>
          <cell r="D1526" t="str">
            <v>100PCS/CTN</v>
          </cell>
          <cell r="E1526">
            <v>95</v>
          </cell>
          <cell r="F1526"/>
          <cell r="G1526"/>
        </row>
        <row r="1527">
          <cell r="C1527"/>
          <cell r="D1527"/>
          <cell r="E1527"/>
          <cell r="F1527"/>
          <cell r="G1527"/>
        </row>
        <row r="1528">
          <cell r="C1528"/>
          <cell r="D1528" t="str">
            <v>DESCRIPTION</v>
          </cell>
          <cell r="E1528" t="str">
            <v>PRICE</v>
          </cell>
          <cell r="F1528" t="str">
            <v>VOLUME LESS</v>
          </cell>
          <cell r="G1528" t="str">
            <v>REGULAR
LESS</v>
          </cell>
        </row>
        <row r="1529">
          <cell r="C1529" t="str">
            <v>PL55100-2 ALUMINUM TILE TRIM SILVER</v>
          </cell>
          <cell r="D1529" t="str">
            <v>100PCS/CTN</v>
          </cell>
          <cell r="E1529">
            <v>95</v>
          </cell>
          <cell r="F1529"/>
          <cell r="G1529"/>
        </row>
        <row r="1530">
          <cell r="C1530" t="str">
            <v>LT55014-SS SILVER TILE DECORATIVE STRIP SQUARE 1*50</v>
          </cell>
          <cell r="D1530" t="str">
            <v>50PCS/CTN</v>
          </cell>
          <cell r="E1530">
            <v>175</v>
          </cell>
          <cell r="F1530"/>
          <cell r="G1530"/>
        </row>
        <row r="1531">
          <cell r="C1531" t="str">
            <v>LT55014-SG GOLD TILE DECORATIVE STRIP SQUARE 1*50</v>
          </cell>
          <cell r="D1531" t="str">
            <v>50PCS/CTN</v>
          </cell>
          <cell r="E1531">
            <v>165</v>
          </cell>
          <cell r="F1531"/>
          <cell r="G1531"/>
        </row>
        <row r="1532">
          <cell r="C1532" t="str">
            <v>LT55014-LS SILVER TILE DECORATIVE STRIP 1*100</v>
          </cell>
          <cell r="D1532" t="str">
            <v>100PCS/CTN</v>
          </cell>
          <cell r="E1532">
            <v>165</v>
          </cell>
          <cell r="F1532"/>
          <cell r="G1532"/>
        </row>
        <row r="1533">
          <cell r="C1533"/>
          <cell r="D1533"/>
          <cell r="E1533"/>
          <cell r="F1533"/>
          <cell r="G1533"/>
        </row>
        <row r="1534">
          <cell r="C1534" t="str">
            <v>PL55180 W-CLIP</v>
          </cell>
          <cell r="D1534" t="str">
            <v>2000PCS/CTN</v>
          </cell>
          <cell r="E1534">
            <v>2.2999999999999998</v>
          </cell>
          <cell r="F1534"/>
          <cell r="G1534"/>
        </row>
        <row r="1535">
          <cell r="C1535"/>
          <cell r="D1535"/>
          <cell r="E1535"/>
          <cell r="F1535"/>
          <cell r="G1535"/>
        </row>
        <row r="1536">
          <cell r="C1536" t="str">
            <v>PL55120-1 1/4*3M THREADED ROD</v>
          </cell>
          <cell r="D1536" t="str">
            <v>50PCS/BDL</v>
          </cell>
          <cell r="E1536">
            <v>40</v>
          </cell>
          <cell r="F1536"/>
          <cell r="G1536"/>
        </row>
        <row r="1537">
          <cell r="C1537" t="str">
            <v>PL55120-2 5/16*3M THREADED ROD</v>
          </cell>
          <cell r="D1537" t="str">
            <v>25PCS/BDL</v>
          </cell>
          <cell r="E1537">
            <v>59</v>
          </cell>
          <cell r="F1537"/>
          <cell r="G1537"/>
        </row>
        <row r="1538">
          <cell r="C1538" t="str">
            <v>PL55120-3 3/8*3M THREADED ROD</v>
          </cell>
          <cell r="D1538" t="str">
            <v>25PCS/BDL</v>
          </cell>
          <cell r="E1538">
            <v>80</v>
          </cell>
          <cell r="F1538"/>
          <cell r="G1538"/>
        </row>
        <row r="1539">
          <cell r="C1539" t="str">
            <v>PL55120-4 1/2*3M THREADED ROD</v>
          </cell>
          <cell r="D1539" t="str">
            <v>15PCS/BDL</v>
          </cell>
          <cell r="E1539">
            <v>160</v>
          </cell>
          <cell r="F1539"/>
          <cell r="G1539"/>
        </row>
        <row r="1540">
          <cell r="C1540"/>
          <cell r="D1540"/>
          <cell r="E1540"/>
          <cell r="F1540"/>
          <cell r="G1540"/>
        </row>
        <row r="1541">
          <cell r="C1541"/>
          <cell r="D1541"/>
          <cell r="E1541"/>
          <cell r="F1541"/>
          <cell r="G1541"/>
        </row>
        <row r="1542">
          <cell r="C1542"/>
          <cell r="D1542"/>
          <cell r="E1542"/>
          <cell r="F1542"/>
          <cell r="G1542"/>
        </row>
        <row r="1543">
          <cell r="C1543"/>
          <cell r="D1543" t="str">
            <v>DESCRIPTION</v>
          </cell>
          <cell r="E1543" t="str">
            <v>PRICE</v>
          </cell>
          <cell r="F1543" t="str">
            <v>VOLUME LESS</v>
          </cell>
          <cell r="G1543" t="str">
            <v>REGULAR
LESS</v>
          </cell>
        </row>
        <row r="1544">
          <cell r="C1544"/>
          <cell r="D1544"/>
          <cell r="E1544"/>
          <cell r="F1544"/>
          <cell r="G1544"/>
        </row>
        <row r="1545">
          <cell r="C1545" t="str">
            <v>PL55200-1 1/4" HEX NUT</v>
          </cell>
          <cell r="D1545" t="str">
            <v>9000PCS/CTN</v>
          </cell>
          <cell r="E1545">
            <v>0.55000000000000004</v>
          </cell>
          <cell r="F1545"/>
          <cell r="G1545"/>
        </row>
        <row r="1546">
          <cell r="C1546" t="str">
            <v>PL55200-2 5/16" HEX NUT</v>
          </cell>
          <cell r="D1546" t="str">
            <v>4000PCS/CTN</v>
          </cell>
          <cell r="E1546">
            <v>1.1499999999999999</v>
          </cell>
          <cell r="F1546"/>
          <cell r="G1546"/>
        </row>
        <row r="1547">
          <cell r="C1547" t="str">
            <v>PL55200-3 3/8" HEX NUT</v>
          </cell>
          <cell r="D1547" t="str">
            <v>3000PCS/CTN</v>
          </cell>
          <cell r="E1547">
            <v>1.25</v>
          </cell>
          <cell r="F1547"/>
          <cell r="G1547"/>
        </row>
        <row r="1548">
          <cell r="C1548" t="str">
            <v>PL55200-4 1/2" HEX NUT</v>
          </cell>
          <cell r="D1548" t="str">
            <v>1000PCS/CTN</v>
          </cell>
          <cell r="E1548">
            <v>4.13</v>
          </cell>
          <cell r="F1548"/>
          <cell r="G1548"/>
        </row>
        <row r="1549">
          <cell r="C1549"/>
          <cell r="D1549"/>
          <cell r="E1549"/>
          <cell r="F1549"/>
          <cell r="G1549"/>
        </row>
        <row r="1550">
          <cell r="C1550" t="str">
            <v>PL55230-1 GRIP ANCHOR 1/4"</v>
          </cell>
          <cell r="D1550" t="str">
            <v>2000 PCS/CTN</v>
          </cell>
          <cell r="E1550">
            <v>2.5</v>
          </cell>
          <cell r="F1550"/>
          <cell r="G1550"/>
        </row>
        <row r="1551">
          <cell r="C1551" t="str">
            <v>PL55230-2 GRIP ANCHOR 5/16"</v>
          </cell>
          <cell r="D1551" t="str">
            <v>2000 PCS/CTN</v>
          </cell>
          <cell r="E1551">
            <v>3.2</v>
          </cell>
          <cell r="F1551"/>
          <cell r="G1551"/>
        </row>
        <row r="1552">
          <cell r="C1552" t="str">
            <v>PL55230-3 GRIP ANCHOR 3/8"</v>
          </cell>
          <cell r="D1552" t="str">
            <v>1000SETS/CTN</v>
          </cell>
          <cell r="E1552">
            <v>3.8</v>
          </cell>
          <cell r="F1552"/>
          <cell r="G1552"/>
        </row>
        <row r="1553">
          <cell r="C1553" t="str">
            <v>PL55230-4 GRIP ANCHOR 1/2"</v>
          </cell>
          <cell r="D1553" t="str">
            <v>500SETS/CTN</v>
          </cell>
          <cell r="E1553">
            <v>8</v>
          </cell>
          <cell r="F1553"/>
          <cell r="G1553"/>
        </row>
        <row r="1554">
          <cell r="C1554"/>
          <cell r="D1554"/>
          <cell r="E1554"/>
          <cell r="F1554"/>
          <cell r="G1554"/>
        </row>
        <row r="1555">
          <cell r="C1555"/>
          <cell r="D1555" t="str">
            <v>20BOX/CTN</v>
          </cell>
          <cell r="E1555"/>
          <cell r="F1555"/>
          <cell r="G1555"/>
        </row>
        <row r="1556">
          <cell r="C1556"/>
          <cell r="D1556" t="str">
            <v>20BOX/CTN</v>
          </cell>
          <cell r="E1556"/>
          <cell r="F1556"/>
          <cell r="G1556"/>
        </row>
        <row r="1557">
          <cell r="C1557"/>
          <cell r="D1557" t="str">
            <v>20BOX/CTN</v>
          </cell>
          <cell r="E1557"/>
          <cell r="F1557"/>
          <cell r="G1557"/>
        </row>
        <row r="1558">
          <cell r="C1558"/>
          <cell r="D1558" t="str">
            <v>20BOX/CTN</v>
          </cell>
          <cell r="E1558"/>
          <cell r="F1558"/>
          <cell r="G1558"/>
        </row>
        <row r="1559">
          <cell r="C1559"/>
          <cell r="D1559" t="str">
            <v>20BOX/CTN</v>
          </cell>
          <cell r="E1559"/>
          <cell r="F1559"/>
          <cell r="G1559"/>
        </row>
        <row r="1560">
          <cell r="C1560"/>
          <cell r="D1560" t="str">
            <v>20BOX/CTN</v>
          </cell>
          <cell r="E1560"/>
          <cell r="F1560"/>
          <cell r="G1560"/>
        </row>
        <row r="1561">
          <cell r="C1561"/>
          <cell r="D1561" t="str">
            <v>20BOX/CTN</v>
          </cell>
          <cell r="E1561"/>
          <cell r="F1561"/>
          <cell r="G1561"/>
        </row>
        <row r="1562">
          <cell r="C1562"/>
          <cell r="D1562" t="str">
            <v>20BOX/CTN</v>
          </cell>
          <cell r="E1562"/>
          <cell r="F1562"/>
          <cell r="G1562"/>
        </row>
        <row r="1563">
          <cell r="C1563"/>
          <cell r="D1563" t="str">
            <v>20BOX/CTN</v>
          </cell>
          <cell r="E1563"/>
          <cell r="F1563"/>
          <cell r="G1563"/>
        </row>
        <row r="1564">
          <cell r="C1564"/>
          <cell r="D1564" t="str">
            <v>20BOX/CTN</v>
          </cell>
          <cell r="E1564"/>
          <cell r="F1564"/>
          <cell r="G1564"/>
        </row>
        <row r="1565">
          <cell r="C1565"/>
          <cell r="D1565"/>
          <cell r="E1565"/>
          <cell r="F1565"/>
          <cell r="G1565"/>
        </row>
        <row r="1566">
          <cell r="C1566"/>
          <cell r="D1566" t="str">
            <v>DESCRIPTION</v>
          </cell>
          <cell r="E1566" t="str">
            <v>PRICE</v>
          </cell>
          <cell r="F1566" t="str">
            <v>VOLUME LESS</v>
          </cell>
          <cell r="G1566" t="str">
            <v>REGULAR
LESS</v>
          </cell>
        </row>
        <row r="1567">
          <cell r="C1567"/>
          <cell r="D1567" t="str">
            <v>20BOX/CTN</v>
          </cell>
          <cell r="E1567"/>
          <cell r="F1567"/>
          <cell r="G1567"/>
        </row>
        <row r="1568">
          <cell r="C1568"/>
          <cell r="D1568" t="str">
            <v>20BOX/CTN</v>
          </cell>
          <cell r="E1568"/>
          <cell r="F1568"/>
          <cell r="G1568"/>
        </row>
        <row r="1569">
          <cell r="C1569"/>
          <cell r="D1569" t="str">
            <v>20BOX/CTN</v>
          </cell>
          <cell r="E1569"/>
          <cell r="F1569"/>
          <cell r="G1569"/>
        </row>
        <row r="1570">
          <cell r="C1570"/>
          <cell r="D1570" t="str">
            <v>20BOX/CTN</v>
          </cell>
          <cell r="E1570"/>
          <cell r="F1570"/>
          <cell r="G1570"/>
        </row>
        <row r="1571">
          <cell r="C1571"/>
          <cell r="D1571" t="str">
            <v>20BOX/CTN</v>
          </cell>
          <cell r="E1571"/>
          <cell r="F1571"/>
          <cell r="G1571"/>
        </row>
        <row r="1572">
          <cell r="C1572"/>
          <cell r="D1572" t="str">
            <v>20BOX/CTN</v>
          </cell>
          <cell r="E1572"/>
          <cell r="F1572"/>
          <cell r="G1572"/>
        </row>
        <row r="1573">
          <cell r="C1573"/>
          <cell r="D1573"/>
          <cell r="E1573"/>
          <cell r="F1573"/>
          <cell r="G1573"/>
        </row>
        <row r="1574">
          <cell r="C1574" t="str">
            <v>PL55041-00 BLIND RIVETS 1/8"*3/8"</v>
          </cell>
          <cell r="D1574" t="str">
            <v>20BOX/CTN</v>
          </cell>
          <cell r="E1574">
            <v>400</v>
          </cell>
          <cell r="F1574" t="str">
            <v>LESS 70, 20</v>
          </cell>
          <cell r="G1574"/>
        </row>
        <row r="1575">
          <cell r="C1575" t="str">
            <v>PL55041-01 BLIND RIVETS 1/8"*1/2"</v>
          </cell>
          <cell r="D1575" t="str">
            <v>20BOX/CTN</v>
          </cell>
          <cell r="E1575">
            <v>440</v>
          </cell>
          <cell r="F1575"/>
          <cell r="G1575"/>
        </row>
        <row r="1576">
          <cell r="C1576" t="str">
            <v>PL55041-02 BLIND RIVETS 1/8"*5/8"</v>
          </cell>
          <cell r="D1576" t="str">
            <v>20BOX/CTN</v>
          </cell>
          <cell r="E1576">
            <v>550</v>
          </cell>
          <cell r="F1576"/>
          <cell r="G1576"/>
        </row>
        <row r="1577">
          <cell r="C1577" t="str">
            <v>PL55041-03 BLIND RIVETS 1/8"*3/4"</v>
          </cell>
          <cell r="D1577" t="str">
            <v>20BOX/CTN</v>
          </cell>
          <cell r="E1577">
            <v>600</v>
          </cell>
          <cell r="F1577"/>
          <cell r="G1577"/>
        </row>
        <row r="1578">
          <cell r="C1578" t="str">
            <v>PL55041-04 (LT55013-5) BLIND RIVETS 1/8"*1"</v>
          </cell>
          <cell r="D1578" t="str">
            <v>20BOX/CTN</v>
          </cell>
          <cell r="E1578">
            <v>650</v>
          </cell>
          <cell r="F1578"/>
          <cell r="G1578"/>
        </row>
        <row r="1579">
          <cell r="C1579" t="str">
            <v>PL55041-05 BLIND RIVETS 5/32"*3/8"</v>
          </cell>
          <cell r="D1579" t="str">
            <v>20BOX/CTN</v>
          </cell>
          <cell r="E1579">
            <v>500</v>
          </cell>
          <cell r="F1579"/>
          <cell r="G1579"/>
        </row>
        <row r="1580">
          <cell r="C1580" t="str">
            <v>PL55041-06 BLIND RIVETS 5/32"*1/2"</v>
          </cell>
          <cell r="D1580" t="str">
            <v>20BOX/CTN</v>
          </cell>
          <cell r="E1580">
            <v>520</v>
          </cell>
          <cell r="F1580"/>
          <cell r="G1580"/>
        </row>
        <row r="1581">
          <cell r="C1581" t="str">
            <v>PL55041-07 BLIND RIVETS 5/32"*5/8"</v>
          </cell>
          <cell r="D1581" t="str">
            <v>20BOX/CTN</v>
          </cell>
          <cell r="E1581">
            <v>640</v>
          </cell>
          <cell r="F1581"/>
          <cell r="G1581"/>
        </row>
        <row r="1582">
          <cell r="C1582" t="str">
            <v>PL55041-08 BLIND RIVETS 5/32"*3/4"</v>
          </cell>
          <cell r="D1582" t="str">
            <v>20BOX/CTN</v>
          </cell>
          <cell r="E1582">
            <v>700</v>
          </cell>
          <cell r="F1582"/>
          <cell r="G1582"/>
        </row>
        <row r="1583">
          <cell r="C1583" t="str">
            <v>PL55041-09 BLIND RIVETS 5/32"*1"</v>
          </cell>
          <cell r="D1583" t="str">
            <v>20BOX/CTN</v>
          </cell>
          <cell r="E1583">
            <v>980</v>
          </cell>
          <cell r="F1583"/>
          <cell r="G1583"/>
        </row>
        <row r="1584">
          <cell r="C1584" t="str">
            <v>PL55041-10 BLIND RIVETS 3/16"*3/8"</v>
          </cell>
          <cell r="D1584" t="str">
            <v>20BOX/CTN</v>
          </cell>
          <cell r="E1584">
            <v>630</v>
          </cell>
          <cell r="F1584"/>
          <cell r="G1584"/>
        </row>
        <row r="1585">
          <cell r="C1585" t="str">
            <v>PL55041-11 BLIND RIVETS 3/16"*1/2"</v>
          </cell>
          <cell r="D1585" t="str">
            <v>20BOX/CTN</v>
          </cell>
          <cell r="E1585">
            <v>700</v>
          </cell>
          <cell r="F1585"/>
          <cell r="G1585"/>
        </row>
        <row r="1586">
          <cell r="C1586" t="str">
            <v>PL55041-12 (LT55013-13) BLIND RIVETS 3/16"*5/8"</v>
          </cell>
          <cell r="D1586" t="str">
            <v>20BOX/CTN</v>
          </cell>
          <cell r="E1586">
            <v>880</v>
          </cell>
          <cell r="F1586"/>
          <cell r="G1586"/>
        </row>
        <row r="1587">
          <cell r="C1587" t="str">
            <v>PL55041-13 BLIND RIVETS 3/16"*3/4"</v>
          </cell>
          <cell r="D1587" t="str">
            <v>20BOX/CTN</v>
          </cell>
          <cell r="E1587">
            <v>940</v>
          </cell>
          <cell r="F1587"/>
          <cell r="G1587"/>
        </row>
        <row r="1588">
          <cell r="C1588" t="str">
            <v>PL55041-14 BLIND RIVETS 3/16"*1"</v>
          </cell>
          <cell r="D1588" t="str">
            <v>20BOX/CTN</v>
          </cell>
          <cell r="E1588"/>
          <cell r="F1588"/>
          <cell r="G1588"/>
        </row>
        <row r="1589">
          <cell r="C1589"/>
          <cell r="D1589"/>
          <cell r="E1589"/>
          <cell r="F1589"/>
          <cell r="G1589"/>
        </row>
        <row r="1590">
          <cell r="C1590" t="str">
            <v>PL550206-1 HARDWARE CLOTH 1/8"*8目*8目*3'*9m</v>
          </cell>
          <cell r="D1590" t="str">
            <v>1ROLL</v>
          </cell>
          <cell r="E1590">
            <v>550</v>
          </cell>
          <cell r="F1590"/>
          <cell r="G1590"/>
        </row>
        <row r="1591">
          <cell r="C1591" t="str">
            <v>PL550206-2 HARDWARE CLOTH 1/4"*4目*4目*3'*8m (N.W2.8)</v>
          </cell>
          <cell r="D1591" t="str">
            <v>1ROLL</v>
          </cell>
          <cell r="E1591"/>
          <cell r="F1591"/>
          <cell r="G1591"/>
        </row>
        <row r="1592">
          <cell r="C1592"/>
          <cell r="D1592"/>
          <cell r="E1592"/>
          <cell r="F1592"/>
          <cell r="G1592"/>
        </row>
        <row r="1593">
          <cell r="C1593" t="str">
            <v>PL55150-1 50M POLOLOCK FIBER GLASS MESH CLOTH</v>
          </cell>
          <cell r="D1593" t="str">
            <v>4PCS/CTN</v>
          </cell>
          <cell r="E1593">
            <v>1320</v>
          </cell>
          <cell r="F1593"/>
          <cell r="G1593"/>
        </row>
        <row r="1594">
          <cell r="C1594" t="str">
            <v>PL55150-2 (LT55024-100) 100M POLOLOCK FIBER GLASS MESH CLOTH</v>
          </cell>
          <cell r="D1594" t="str">
            <v>2PCS/CTN</v>
          </cell>
          <cell r="E1594">
            <v>2320</v>
          </cell>
          <cell r="F1594"/>
          <cell r="G1594"/>
        </row>
        <row r="1595">
          <cell r="C1595"/>
          <cell r="D1595"/>
          <cell r="E1595"/>
          <cell r="F1595"/>
          <cell r="G1595"/>
        </row>
        <row r="1596">
          <cell r="C1596"/>
          <cell r="D1596" t="str">
            <v>DESCRIPTION</v>
          </cell>
          <cell r="E1596" t="str">
            <v>PRICE</v>
          </cell>
          <cell r="F1596" t="str">
            <v>VOLUME LESS</v>
          </cell>
          <cell r="G1596" t="str">
            <v>REGULAR
LESS</v>
          </cell>
        </row>
        <row r="1597">
          <cell r="C1597"/>
          <cell r="D1597"/>
          <cell r="E1597"/>
          <cell r="F1597"/>
          <cell r="G1597"/>
        </row>
        <row r="1598">
          <cell r="C1598" t="str">
            <v>PL55130-1 SCAFFOLDING CLAMP SWIVEL 1- 1/2"活动型</v>
          </cell>
          <cell r="D1598" t="str">
            <v>30PCS/CTN</v>
          </cell>
          <cell r="E1598">
            <v>49</v>
          </cell>
          <cell r="F1598"/>
          <cell r="G1598"/>
        </row>
        <row r="1599">
          <cell r="C1599" t="str">
            <v>PL55130-2 SCAFFOLDING CLAMP SWIVEL FIXED 1-1/2"固定型</v>
          </cell>
          <cell r="D1599" t="str">
            <v>30PCS/CTN</v>
          </cell>
          <cell r="E1599">
            <v>49</v>
          </cell>
          <cell r="F1599"/>
          <cell r="G1599"/>
        </row>
        <row r="1600">
          <cell r="C1600"/>
          <cell r="D1600"/>
          <cell r="E1600"/>
          <cell r="F1600"/>
          <cell r="G1600"/>
        </row>
        <row r="1601">
          <cell r="C1601" t="str">
            <v>PL55181-1 #38 HANG THE KEEL</v>
          </cell>
          <cell r="D1601" t="str">
            <v>500PCS/CTN</v>
          </cell>
          <cell r="E1601">
            <v>6.5</v>
          </cell>
          <cell r="F1601"/>
          <cell r="G1601"/>
        </row>
        <row r="1602">
          <cell r="C1602"/>
          <cell r="D1602"/>
          <cell r="E1602"/>
          <cell r="F1602"/>
          <cell r="G1602"/>
        </row>
        <row r="1603">
          <cell r="C1603" t="str">
            <v>PL55151-1 (LT77001-25) GYPSUM TAPE 25MM* 1"</v>
          </cell>
          <cell r="D1603" t="str">
            <v>96PCS/CTN</v>
          </cell>
          <cell r="E1603">
            <v>28</v>
          </cell>
          <cell r="F1603"/>
          <cell r="G1603"/>
        </row>
        <row r="1604">
          <cell r="C1604" t="str">
            <v>PL55151-2 GYPSUM TAPE 38MM* 1"1/2</v>
          </cell>
          <cell r="D1604" t="str">
            <v>60PCS/CTN</v>
          </cell>
          <cell r="E1604">
            <v>60</v>
          </cell>
          <cell r="F1604"/>
          <cell r="G1604"/>
        </row>
        <row r="1605">
          <cell r="C1605" t="str">
            <v>PL55151-3 GYPSUM TAPE 50MM 2"</v>
          </cell>
          <cell r="D1605" t="str">
            <v>60PCS/CTN</v>
          </cell>
          <cell r="E1605">
            <v>110</v>
          </cell>
          <cell r="F1605"/>
          <cell r="G1605"/>
        </row>
        <row r="1606">
          <cell r="C1606"/>
          <cell r="D1606"/>
          <cell r="E1606"/>
          <cell r="F1606"/>
          <cell r="G1606"/>
        </row>
        <row r="1607">
          <cell r="C1607" t="str">
            <v>PL55140-1 SACKOLINE 2.44m * 100m *92GSM (BLUE ORANGE) #28</v>
          </cell>
          <cell r="D1607" t="str">
            <v>1 ROLL</v>
          </cell>
          <cell r="E1607">
            <v>3120</v>
          </cell>
          <cell r="F1607"/>
          <cell r="G1607"/>
        </row>
        <row r="1608">
          <cell r="C1608" t="str">
            <v>PL55140-3 SACKOLINE 2.44m * 100m * 92GSM (blue orange) #32</v>
          </cell>
          <cell r="D1608" t="str">
            <v>1 ROLL</v>
          </cell>
          <cell r="E1608">
            <v>3600</v>
          </cell>
          <cell r="F1608"/>
          <cell r="G1608"/>
        </row>
        <row r="1609">
          <cell r="C1609" t="str">
            <v>PL55140-4 SACKOLINE 2.44m * 100m * 127GSM (BLUE ORANGE) #40</v>
          </cell>
          <cell r="D1609" t="str">
            <v>1 ROLL</v>
          </cell>
          <cell r="E1609">
            <v>4920</v>
          </cell>
          <cell r="F1609"/>
          <cell r="G1609"/>
        </row>
        <row r="1610">
          <cell r="C1610" t="str">
            <v>PL55140-5 SACKOLINE 3.66m * 100m * 115GSM (BLUE ORANGE) #52</v>
          </cell>
          <cell r="D1610" t="str">
            <v>1 ROLL</v>
          </cell>
          <cell r="E1610">
            <v>7100</v>
          </cell>
          <cell r="F1610"/>
          <cell r="G1610"/>
        </row>
        <row r="1611">
          <cell r="C1611"/>
          <cell r="D1611"/>
          <cell r="E1611"/>
          <cell r="F1611"/>
          <cell r="G1611"/>
        </row>
        <row r="1612">
          <cell r="C1612"/>
          <cell r="D1612"/>
          <cell r="E1612"/>
          <cell r="F1612"/>
          <cell r="G1612"/>
        </row>
        <row r="1613">
          <cell r="C1613"/>
          <cell r="D1613"/>
          <cell r="E1613"/>
          <cell r="F1613"/>
          <cell r="G1613"/>
        </row>
        <row r="1614">
          <cell r="C1614"/>
          <cell r="D1614" t="str">
            <v>DESCRIPTION</v>
          </cell>
          <cell r="E1614" t="str">
            <v>PRICE</v>
          </cell>
          <cell r="F1614" t="str">
            <v>VOLUME LESS</v>
          </cell>
          <cell r="G1614" t="str">
            <v>REGULAR
LESS</v>
          </cell>
        </row>
        <row r="1615">
          <cell r="C1615"/>
          <cell r="D1615"/>
          <cell r="E1615"/>
          <cell r="F1615"/>
          <cell r="G1615"/>
        </row>
        <row r="1616">
          <cell r="C1616" t="str">
            <v>PL55141-1 SACKOLINE 2.44*100MM*92GSM (BLACK)#28</v>
          </cell>
          <cell r="D1616" t="str">
            <v>1 ROLL</v>
          </cell>
          <cell r="E1616">
            <v>3120</v>
          </cell>
          <cell r="F1616"/>
          <cell r="G1616"/>
        </row>
        <row r="1617">
          <cell r="C1617" t="str">
            <v>PL55141-3 SACKOLINE 2.44*100MM*127GSM (BLACK)#40</v>
          </cell>
          <cell r="D1617" t="str">
            <v>1 ROLL</v>
          </cell>
          <cell r="E1617">
            <v>3600</v>
          </cell>
          <cell r="F1617"/>
          <cell r="G1617"/>
        </row>
        <row r="1618">
          <cell r="C1618" t="str">
            <v>PL55141-4 SACKOLINE 2.44*100MM*115GSM (BLACK)#50</v>
          </cell>
          <cell r="D1618" t="str">
            <v>1 ROLL</v>
          </cell>
          <cell r="E1618">
            <v>7100</v>
          </cell>
          <cell r="F1618"/>
          <cell r="G1618"/>
        </row>
        <row r="1619">
          <cell r="C1619"/>
          <cell r="D1619"/>
          <cell r="E1619"/>
          <cell r="F1619"/>
          <cell r="G1619"/>
        </row>
        <row r="1620">
          <cell r="C1620" t="str">
            <v>PL55170-1 SILICONE SEALANT CLEAR</v>
          </cell>
          <cell r="D1620" t="str">
            <v>24PCS/CTN</v>
          </cell>
          <cell r="E1620">
            <v>105</v>
          </cell>
          <cell r="F1620"/>
          <cell r="G1620"/>
        </row>
        <row r="1621">
          <cell r="C1621" t="str">
            <v>PL55170-2 SILICONE SEALANT WHITE</v>
          </cell>
          <cell r="D1621" t="str">
            <v>24PCS/CTN</v>
          </cell>
          <cell r="E1621">
            <v>105</v>
          </cell>
          <cell r="F1621"/>
          <cell r="G1621"/>
        </row>
        <row r="1622">
          <cell r="C1622" t="str">
            <v>PL55170-3 SILICONE SEALANT BLACK</v>
          </cell>
          <cell r="D1622" t="str">
            <v>24PCS/CTN</v>
          </cell>
          <cell r="E1622">
            <v>105</v>
          </cell>
          <cell r="F1622"/>
          <cell r="G1622"/>
        </row>
        <row r="1623">
          <cell r="C1623" t="str">
            <v>PL55170-4 SILICONE SEALANT BROWN</v>
          </cell>
          <cell r="D1623" t="str">
            <v>24PCS/CTN</v>
          </cell>
          <cell r="E1623">
            <v>105</v>
          </cell>
          <cell r="F1623"/>
          <cell r="G1623"/>
        </row>
        <row r="1624">
          <cell r="C1624" t="str">
            <v>PL55170-5 SILICONE SEALANT GRAY</v>
          </cell>
          <cell r="D1624" t="str">
            <v>24PCS/CTN</v>
          </cell>
          <cell r="E1624">
            <v>105</v>
          </cell>
          <cell r="F1624"/>
          <cell r="G1624"/>
        </row>
        <row r="1625">
          <cell r="C1625" t="str">
            <v>PL55171 ACRYLIC CAULKING SEALANT</v>
          </cell>
          <cell r="D1625" t="str">
            <v>24PCS/CTN</v>
          </cell>
          <cell r="E1625">
            <v>105</v>
          </cell>
          <cell r="F1625"/>
          <cell r="G1625"/>
        </row>
        <row r="1626">
          <cell r="C1626"/>
          <cell r="D1626"/>
          <cell r="E1626"/>
          <cell r="F1626"/>
          <cell r="G1626"/>
        </row>
        <row r="1627">
          <cell r="C1627" t="str">
            <v>PL550209-1 ALUMINUM SCREEN 3FT</v>
          </cell>
          <cell r="D1627" t="str">
            <v>1ROLL</v>
          </cell>
          <cell r="E1627">
            <v>3000</v>
          </cell>
          <cell r="F1627"/>
          <cell r="G1627" t="str">
            <v>LESS 15%</v>
          </cell>
        </row>
        <row r="1628">
          <cell r="C1628" t="str">
            <v>PL550209-2 ALUMINUM SCREEN 4FT</v>
          </cell>
          <cell r="D1628" t="str">
            <v>1 ROLL</v>
          </cell>
          <cell r="E1628">
            <v>4000</v>
          </cell>
          <cell r="F1628"/>
          <cell r="G1628"/>
        </row>
        <row r="1629">
          <cell r="C1629"/>
          <cell r="D1629"/>
          <cell r="E1629"/>
          <cell r="F1629"/>
          <cell r="G1629"/>
        </row>
        <row r="1630">
          <cell r="C1630"/>
          <cell r="D1630" t="str">
            <v>DESCRIPTION</v>
          </cell>
          <cell r="E1630" t="str">
            <v>PRICE</v>
          </cell>
          <cell r="F1630" t="str">
            <v>VOLUME LESS</v>
          </cell>
          <cell r="G1630" t="str">
            <v>REGULAR
LESS</v>
          </cell>
        </row>
        <row r="1631">
          <cell r="C1631"/>
          <cell r="D1631"/>
          <cell r="E1631"/>
          <cell r="F1631"/>
          <cell r="G1631"/>
        </row>
        <row r="1632">
          <cell r="C1632" t="str">
            <v>PL55210-1 SINGLE HOLE CLAMP 1/2"</v>
          </cell>
          <cell r="D1632" t="str">
            <v>100PCS*20BAG/ CTN</v>
          </cell>
          <cell r="E1632">
            <v>3</v>
          </cell>
          <cell r="F1632"/>
          <cell r="G1632"/>
        </row>
        <row r="1633">
          <cell r="C1633" t="str">
            <v>PL55210-2 SINGLE HOLE CLAMP 3/4"</v>
          </cell>
          <cell r="D1633" t="str">
            <v>100PCS*20BAG/ CTN</v>
          </cell>
          <cell r="E1633">
            <v>4</v>
          </cell>
          <cell r="F1633"/>
          <cell r="G1633"/>
        </row>
        <row r="1634">
          <cell r="C1634" t="str">
            <v>PL55210-3 SINGLE HOLE CLAMP 1"</v>
          </cell>
          <cell r="D1634" t="str">
            <v>100PCS*10BAG/ CTN</v>
          </cell>
          <cell r="E1634">
            <v>6</v>
          </cell>
          <cell r="F1634"/>
          <cell r="G1634"/>
        </row>
        <row r="1635">
          <cell r="C1635" t="str">
            <v>PL55210-4 DOUBLE HOLE CLAMP 1/2"</v>
          </cell>
          <cell r="D1635" t="str">
            <v>100PCS*20BAG/ CTN</v>
          </cell>
          <cell r="E1635">
            <v>4</v>
          </cell>
          <cell r="F1635"/>
          <cell r="G1635"/>
        </row>
        <row r="1636">
          <cell r="C1636" t="str">
            <v>PL55210-5 DOUBLE HOLE CLAMP 3/4"</v>
          </cell>
          <cell r="D1636" t="str">
            <v>100PCS*20BAG/ CTN</v>
          </cell>
          <cell r="E1636">
            <v>5</v>
          </cell>
          <cell r="F1636"/>
          <cell r="G1636"/>
        </row>
        <row r="1637">
          <cell r="C1637" t="str">
            <v>PL55210-6 DOUBLE HOLE CLAMP 1"</v>
          </cell>
          <cell r="D1637" t="str">
            <v>100PCS*10BAG/ CTN</v>
          </cell>
          <cell r="E1637">
            <v>7</v>
          </cell>
          <cell r="F1637"/>
          <cell r="G1637"/>
        </row>
        <row r="1638">
          <cell r="C1638"/>
          <cell r="D1638"/>
          <cell r="E1638"/>
          <cell r="F1638"/>
          <cell r="G1638"/>
        </row>
        <row r="1639">
          <cell r="C1639" t="str">
            <v>PL55250-1 INSULATED STAPLE 1/2"-16*9*1.6mm</v>
          </cell>
          <cell r="D1639" t="str">
            <v>10S.BOX*
32BOXES/CTN</v>
          </cell>
          <cell r="E1639">
            <v>36</v>
          </cell>
          <cell r="F1639"/>
          <cell r="G1639"/>
        </row>
        <row r="1640">
          <cell r="C1640" t="str">
            <v>PL55250-2 INSULATED STAPLE 3/4"-18*11*1.6mm</v>
          </cell>
          <cell r="D1640" t="str">
            <v>10S.BOX*
24BOXES/CTN</v>
          </cell>
          <cell r="E1640">
            <v>40</v>
          </cell>
          <cell r="F1640"/>
          <cell r="G1640"/>
        </row>
        <row r="1641">
          <cell r="C1641" t="str">
            <v>PL55250-3" INSULATED STAPLE 1"-21*13*1.8mm</v>
          </cell>
          <cell r="D1641" t="str">
            <v>10S.BOX*
18BOXES/CTN</v>
          </cell>
          <cell r="E1641">
            <v>45</v>
          </cell>
          <cell r="F1641"/>
          <cell r="G1641"/>
        </row>
        <row r="1642">
          <cell r="C1642"/>
          <cell r="D1642"/>
          <cell r="E1642"/>
          <cell r="F1642"/>
          <cell r="G1642"/>
        </row>
        <row r="1643">
          <cell r="C1643" t="str">
            <v>PL55270-1 5# TOX WALL PLUG W/STOPPER</v>
          </cell>
          <cell r="D1643" t="str">
            <v>100PCS/BAG
*200BAGS /CTN</v>
          </cell>
          <cell r="E1643">
            <v>19</v>
          </cell>
          <cell r="F1643"/>
          <cell r="G1643"/>
        </row>
        <row r="1644">
          <cell r="C1644" t="str">
            <v>PL55270-2 6# TOX WALL PLUG W/STOPPER</v>
          </cell>
          <cell r="D1644" t="str">
            <v>100PCS/BAG
*200BAGS /CTN</v>
          </cell>
          <cell r="E1644">
            <v>20</v>
          </cell>
          <cell r="F1644"/>
          <cell r="G1644"/>
        </row>
        <row r="1645">
          <cell r="C1645" t="str">
            <v>PL55270-3 8# TOX WALL PLUG W/STOPPER</v>
          </cell>
          <cell r="D1645" t="str">
            <v>100PCS/BAG
*200BAGS /CTN</v>
          </cell>
          <cell r="E1645">
            <v>40</v>
          </cell>
          <cell r="F1645"/>
          <cell r="G1645"/>
        </row>
        <row r="1646">
          <cell r="C1646" t="str">
            <v>PL55270-4 10# TOX WALL PLUG W/STOPPER</v>
          </cell>
          <cell r="D1646" t="str">
            <v>100PCS/BAG
*100BAGS /CTN</v>
          </cell>
          <cell r="E1646">
            <v>60</v>
          </cell>
          <cell r="F1646"/>
          <cell r="G1646"/>
        </row>
        <row r="1647">
          <cell r="C1647"/>
          <cell r="D1647"/>
          <cell r="E1647"/>
          <cell r="F1647"/>
          <cell r="G1647"/>
        </row>
        <row r="1648">
          <cell r="C1648" t="str">
            <v>PL55271-1 TOX W/SCREW #5&amp;6*1"（3.5*26mm）</v>
          </cell>
          <cell r="D1648" t="str">
            <v>10BAG*6BOX
/CTN</v>
          </cell>
          <cell r="E1648">
            <v>60</v>
          </cell>
          <cell r="F1648"/>
          <cell r="G1648"/>
        </row>
        <row r="1649">
          <cell r="C1649" t="str">
            <v>PL55271-2 TOX W/SCREW #6&amp;8*1"（4.2*26mm）</v>
          </cell>
          <cell r="D1649" t="str">
            <v>10BAG*6BOX
/CTN</v>
          </cell>
          <cell r="E1649">
            <v>74</v>
          </cell>
          <cell r="F1649"/>
          <cell r="G1649"/>
        </row>
        <row r="1650">
          <cell r="C1650" t="str">
            <v>PL55271-3 TOX W/SCREW #8&amp;10*1-1/2" （4.8*37mm）</v>
          </cell>
          <cell r="D1650" t="str">
            <v>10BAG*6BOX
/CTN</v>
          </cell>
          <cell r="E1650">
            <v>74</v>
          </cell>
          <cell r="F1650"/>
          <cell r="G1650"/>
        </row>
        <row r="1651">
          <cell r="C1651" t="str">
            <v>PL55271-4 TOX W/SCREW #10&amp;10*1-3/4" （4.8*43mm）</v>
          </cell>
          <cell r="D1651" t="str">
            <v>10BAG*6BOX
/CTN</v>
          </cell>
          <cell r="E1651">
            <v>95</v>
          </cell>
          <cell r="F1651"/>
          <cell r="G1651"/>
        </row>
        <row r="1652">
          <cell r="C1652"/>
          <cell r="D1652"/>
          <cell r="E1652"/>
          <cell r="F1652"/>
          <cell r="G1652"/>
        </row>
        <row r="1653">
          <cell r="C1653"/>
          <cell r="D1653" t="str">
            <v>DESCRIPTION</v>
          </cell>
          <cell r="E1653" t="str">
            <v>PRICE</v>
          </cell>
          <cell r="F1653" t="str">
            <v>VOLUME LESS</v>
          </cell>
          <cell r="G1653" t="str">
            <v>REGULAR
LESS</v>
          </cell>
        </row>
        <row r="1654">
          <cell r="C1654"/>
          <cell r="D1654"/>
          <cell r="E1654"/>
          <cell r="F1654"/>
          <cell r="G1654"/>
        </row>
        <row r="1655">
          <cell r="C1655" t="str">
            <v>J275011 SQUARE PIPE CLAMP 1/4"-6mm</v>
          </cell>
          <cell r="D1655" t="str">
            <v>25S.BOX
*12BOXES/ CTN</v>
          </cell>
          <cell r="E1655">
            <v>22</v>
          </cell>
          <cell r="F1655"/>
          <cell r="G1655"/>
        </row>
        <row r="1656">
          <cell r="C1656" t="str">
            <v>J275012 SQUARE PIPE CLAMP 5/16"-8mm</v>
          </cell>
          <cell r="D1656" t="str">
            <v>25S.BOX
*10BOXES/ CTN</v>
          </cell>
          <cell r="E1656">
            <v>27</v>
          </cell>
          <cell r="F1656"/>
          <cell r="G1656"/>
        </row>
        <row r="1657">
          <cell r="C1657" t="str">
            <v>J275013 SQUARE PIPE CLAMP 3/8"-10mm</v>
          </cell>
          <cell r="D1657" t="str">
            <v>25S.BOX
*8BOXES/CTN</v>
          </cell>
          <cell r="E1657">
            <v>40</v>
          </cell>
          <cell r="F1657"/>
          <cell r="G1657"/>
        </row>
        <row r="1658">
          <cell r="C1658" t="str">
            <v>PL55260-4 SQUARE PIPE CLAMP 1/2"-12mm</v>
          </cell>
          <cell r="D1658" t="str">
            <v>25BAGS*
6BOXES/CTN</v>
          </cell>
          <cell r="E1658">
            <v>25</v>
          </cell>
          <cell r="F1658"/>
          <cell r="G1658"/>
        </row>
        <row r="1659">
          <cell r="C1659" t="str">
            <v>J275001 CIRCULAR PIPE CLAMP 1/4"-6mm</v>
          </cell>
          <cell r="D1659" t="str">
            <v>25S.BOX*
12BOXES/CTN</v>
          </cell>
          <cell r="E1659">
            <v>24</v>
          </cell>
          <cell r="F1659"/>
          <cell r="G1659"/>
        </row>
        <row r="1660">
          <cell r="C1660" t="str">
            <v>PL55261-2 CIRCULAR PIPE CLAMP 5/16"-8mm</v>
          </cell>
          <cell r="D1660" t="str">
            <v>25BAGS*
10BOXES/CTN</v>
          </cell>
          <cell r="E1660">
            <v>29</v>
          </cell>
          <cell r="F1660"/>
          <cell r="G1660"/>
        </row>
        <row r="1661">
          <cell r="C1661" t="str">
            <v>PL55261-3 CIRCULAR PIPE CLAMP 3/8"-10mm</v>
          </cell>
          <cell r="D1661" t="str">
            <v>25BAGS*
8BOXES/CTN</v>
          </cell>
          <cell r="E1661">
            <v>38</v>
          </cell>
          <cell r="F1661"/>
          <cell r="G1661"/>
        </row>
        <row r="1662">
          <cell r="C1662" t="str">
            <v>PL55261-4 CIRCULAR PIPE CLAMP 1/2"-12mm</v>
          </cell>
          <cell r="D1662" t="str">
            <v>25BAGS*
8BOXES/CTN</v>
          </cell>
          <cell r="E1662">
            <v>50</v>
          </cell>
          <cell r="F1662"/>
          <cell r="G1662"/>
        </row>
        <row r="1663">
          <cell r="C1663" t="str">
            <v>J275005 CIRCULAR PIPE CLAMP 3/4"-18mm</v>
          </cell>
          <cell r="D1663" t="str">
            <v>12S.BOX*5BOXES
/CTN</v>
          </cell>
          <cell r="E1663">
            <v>112</v>
          </cell>
          <cell r="F1663"/>
          <cell r="G1663"/>
        </row>
        <row r="1664">
          <cell r="C1664" t="str">
            <v>J275006 CIRCULAR PIPE CLAMP 1"-25mm</v>
          </cell>
          <cell r="D1664" t="str">
            <v>12S.BOX*5BOXES
/CTN</v>
          </cell>
          <cell r="E1664">
            <v>112</v>
          </cell>
          <cell r="F1664"/>
          <cell r="G1664"/>
        </row>
        <row r="1665">
          <cell r="C1665"/>
          <cell r="D1665"/>
          <cell r="E1665"/>
          <cell r="F1665"/>
          <cell r="G1665"/>
        </row>
        <row r="1666">
          <cell r="C1666" t="str">
            <v>PL88181-01 POLOLOCK STAINLESS NARROW BUTT HINGES W/ SCREW 1.5''</v>
          </cell>
          <cell r="D1666" t="str">
            <v>2PAIRS*
25CARDS*
8BOXES/CTN</v>
          </cell>
          <cell r="E1666">
            <v>89</v>
          </cell>
          <cell r="F1666"/>
          <cell r="G1666"/>
        </row>
        <row r="1667">
          <cell r="C1667" t="str">
            <v>PL88181-02 POLOLOCK STAINLESS NARROW BUTT HINGES W/ SCREW 2''</v>
          </cell>
          <cell r="D1667" t="str">
            <v>2PAIRS*
25CARDS*
4BOXES/CTN</v>
          </cell>
          <cell r="E1667">
            <v>100</v>
          </cell>
          <cell r="F1667"/>
          <cell r="G1667"/>
        </row>
        <row r="1668">
          <cell r="C1668" t="str">
            <v>PL88181-03 POLOLOCK STAINLESS NARROW BUTT HINGES W/ SCREW 2.5''</v>
          </cell>
          <cell r="D1668" t="str">
            <v>1PAIR*
25CARDS*
8BOXES/CTN</v>
          </cell>
          <cell r="E1668">
            <v>65</v>
          </cell>
          <cell r="F1668"/>
          <cell r="G1668"/>
        </row>
        <row r="1669">
          <cell r="C1669" t="str">
            <v>PL88181-04 POLOLOCK STAINLESS NARROW BUTT HINGES W/ SCREW 3''</v>
          </cell>
          <cell r="D1669" t="str">
            <v>1PAIR*
25CARDS*
4BOXES/CTN</v>
          </cell>
          <cell r="E1669">
            <v>76</v>
          </cell>
          <cell r="F1669"/>
          <cell r="G1669"/>
        </row>
        <row r="1670">
          <cell r="C1670" t="str">
            <v>PL88181-05 POLOLOCK STAINLESS NARROW BUTT HINGES W/ SCREW 3.5''</v>
          </cell>
          <cell r="D1670" t="str">
            <v>1PAIR*
25CARDS*
4BOXES/CTN</v>
          </cell>
          <cell r="E1670">
            <v>95</v>
          </cell>
          <cell r="F1670"/>
          <cell r="G1670"/>
        </row>
        <row r="1671">
          <cell r="C1671"/>
          <cell r="D1671"/>
          <cell r="E1671"/>
          <cell r="F1671"/>
          <cell r="G1671"/>
        </row>
        <row r="1672">
          <cell r="C1672"/>
          <cell r="D1672"/>
          <cell r="E1672"/>
          <cell r="F1672"/>
          <cell r="G1672"/>
        </row>
        <row r="1673">
          <cell r="C1673"/>
          <cell r="D1673" t="str">
            <v>DESCRIPTION</v>
          </cell>
          <cell r="E1673" t="str">
            <v>PRICE</v>
          </cell>
          <cell r="F1673" t="str">
            <v>VOLUME LESS</v>
          </cell>
          <cell r="G1673" t="str">
            <v>REGULAR
LESS</v>
          </cell>
        </row>
        <row r="1674">
          <cell r="C1674"/>
          <cell r="D1674"/>
          <cell r="E1674"/>
          <cell r="F1674"/>
          <cell r="G1674"/>
        </row>
        <row r="1675">
          <cell r="C1675" t="str">
            <v>PL88181-06 STAINLESS DUAL HINGE STAINLESS 4"*3"*2.5MM</v>
          </cell>
          <cell r="D1675" t="str">
            <v>6PAIRS*8BOX/ CTN</v>
          </cell>
          <cell r="E1675">
            <v>115</v>
          </cell>
          <cell r="F1675"/>
          <cell r="G1675"/>
        </row>
        <row r="1676">
          <cell r="C1676" t="str">
            <v>PL88181-07 STAINLESS DUAL HINGE MATTE BLACK 4"*3"*2.5MM</v>
          </cell>
          <cell r="D1676" t="str">
            <v>6PAIRS*8BOX/ CTN</v>
          </cell>
          <cell r="E1676">
            <v>130</v>
          </cell>
          <cell r="F1676"/>
          <cell r="G1676"/>
        </row>
        <row r="1677">
          <cell r="C1677"/>
          <cell r="D1677"/>
          <cell r="E1677"/>
          <cell r="F1677"/>
          <cell r="G1677"/>
        </row>
        <row r="1678">
          <cell r="C1678" t="str">
            <v>PL88182-1 (LT88003-1) POLONET NARROW BUTTS BRASS PLATED 1"</v>
          </cell>
          <cell r="D1678" t="str">
            <v>100DOZ/CTN</v>
          </cell>
          <cell r="E1678">
            <v>63</v>
          </cell>
          <cell r="F1678"/>
          <cell r="G1678"/>
        </row>
        <row r="1679">
          <cell r="C1679" t="str">
            <v>PL88182-2 (LT88003-1.5) POLONET NARROW BUTTS BRASS PLATED 1.5"</v>
          </cell>
          <cell r="D1679" t="str">
            <v>50DOZ/CTN</v>
          </cell>
          <cell r="E1679">
            <v>80</v>
          </cell>
          <cell r="F1679"/>
          <cell r="G1679"/>
        </row>
        <row r="1680">
          <cell r="C1680" t="str">
            <v>PL88182-3 (LT88003-2) POLONET NARROW BUTTS BRASS PLATED 2"</v>
          </cell>
          <cell r="D1680" t="str">
            <v>50DOZ/CTN</v>
          </cell>
          <cell r="E1680">
            <v>139</v>
          </cell>
          <cell r="F1680"/>
          <cell r="G1680"/>
        </row>
        <row r="1681">
          <cell r="C1681" t="str">
            <v>PL88182-4 (LT88003-2.5) POLONET NARROW BUTTS BRASS PLATED 2.5"</v>
          </cell>
          <cell r="D1681" t="str">
            <v>25DOZ/CTN</v>
          </cell>
          <cell r="E1681">
            <v>189</v>
          </cell>
          <cell r="F1681"/>
          <cell r="G1681"/>
        </row>
        <row r="1682">
          <cell r="C1682" t="str">
            <v>PL88182-5 (LT88003-3) POLONET NARROW BUTTS BRASS PLATED 3"</v>
          </cell>
          <cell r="D1682" t="str">
            <v>15DOZ/CTN</v>
          </cell>
          <cell r="E1682">
            <v>248</v>
          </cell>
          <cell r="F1682"/>
          <cell r="G1682"/>
        </row>
        <row r="1683">
          <cell r="C1683" t="str">
            <v>PL88182-6 (LT88003-3.5) POLONET NARROW BUTTS BRASS PLATED 3.5"</v>
          </cell>
          <cell r="D1683" t="str">
            <v>10DOZ/CTN</v>
          </cell>
          <cell r="E1683">
            <v>365</v>
          </cell>
          <cell r="F1683"/>
          <cell r="G1683"/>
        </row>
        <row r="1684">
          <cell r="C1684"/>
          <cell r="D1684"/>
          <cell r="E1684"/>
          <cell r="F1684"/>
          <cell r="G1684"/>
        </row>
        <row r="1685">
          <cell r="C1685"/>
          <cell r="D1685" t="str">
            <v>DESCRIPTION</v>
          </cell>
          <cell r="E1685" t="str">
            <v>PRICE</v>
          </cell>
          <cell r="F1685" t="str">
            <v>VOLUME LESS</v>
          </cell>
          <cell r="G1685" t="str">
            <v>REGULAR
LESS</v>
          </cell>
        </row>
        <row r="1686">
          <cell r="C1686" t="str">
            <v>PL88182-7 (LT88003-4) POLONET NARROWS BUTTS BRASS PLATED 4"</v>
          </cell>
          <cell r="D1686" t="str">
            <v>7.5 DOZ/CTN</v>
          </cell>
          <cell r="E1686">
            <v>540</v>
          </cell>
          <cell r="F1686"/>
          <cell r="G1686"/>
        </row>
        <row r="1687">
          <cell r="C1687"/>
          <cell r="D1687"/>
          <cell r="E1687"/>
          <cell r="F1687"/>
          <cell r="G1687"/>
        </row>
        <row r="1688">
          <cell r="C1688" t="str">
            <v>PL88183-1 NARROW BUTTS 838- B 1"</v>
          </cell>
          <cell r="D1688" t="str">
            <v>100DOZ.P/ CTN</v>
          </cell>
          <cell r="E1688">
            <v>50</v>
          </cell>
          <cell r="F1688"/>
          <cell r="G1688" t="str">
            <v>NET</v>
          </cell>
        </row>
        <row r="1689">
          <cell r="C1689" t="str">
            <v>PL88183-2 NARROW BUTTS 838- B 1.5"</v>
          </cell>
          <cell r="D1689" t="str">
            <v>50DOZ.P/CTN</v>
          </cell>
          <cell r="E1689">
            <v>72</v>
          </cell>
          <cell r="F1689"/>
          <cell r="G1689"/>
        </row>
        <row r="1690">
          <cell r="C1690" t="str">
            <v>PL88183-3 NARROW BUTTS 838- B 2"</v>
          </cell>
          <cell r="D1690" t="str">
            <v>30DOZ.P/CTN</v>
          </cell>
          <cell r="E1690">
            <v>100</v>
          </cell>
          <cell r="F1690"/>
          <cell r="G1690"/>
        </row>
        <row r="1691">
          <cell r="C1691" t="str">
            <v>PL88183-4 NARROW BUTTS 838- B 2.5"</v>
          </cell>
          <cell r="D1691" t="str">
            <v>30DOZ.P/CTN</v>
          </cell>
          <cell r="E1691">
            <v>148</v>
          </cell>
          <cell r="F1691"/>
          <cell r="G1691"/>
        </row>
        <row r="1692">
          <cell r="C1692" t="str">
            <v>PL88183-5 NARROW BUTTS 838-B 3"</v>
          </cell>
          <cell r="D1692" t="str">
            <v>20DOZ.P/CTN</v>
          </cell>
          <cell r="E1692">
            <v>215</v>
          </cell>
          <cell r="F1692"/>
          <cell r="G1692"/>
        </row>
        <row r="1693">
          <cell r="C1693" t="str">
            <v>PL88183-6 NARROW BUTTS 838- B 3.5"</v>
          </cell>
          <cell r="D1693" t="str">
            <v>20DOZ.P/CTN</v>
          </cell>
          <cell r="E1693">
            <v>320</v>
          </cell>
          <cell r="F1693"/>
          <cell r="G1693"/>
        </row>
        <row r="1694">
          <cell r="C1694" t="str">
            <v>PL88183-7 NARROW BUTTS 838- B 4"</v>
          </cell>
          <cell r="D1694" t="str">
            <v>10DOZ.P/CTN</v>
          </cell>
          <cell r="E1694">
            <v>352</v>
          </cell>
          <cell r="F1694"/>
          <cell r="G1694"/>
        </row>
        <row r="1695">
          <cell r="C1695"/>
          <cell r="D1695"/>
          <cell r="E1695"/>
          <cell r="F1695"/>
          <cell r="G1695"/>
        </row>
        <row r="1696">
          <cell r="C1696"/>
          <cell r="D1696"/>
          <cell r="E1696"/>
          <cell r="F1696"/>
          <cell r="G1696"/>
        </row>
        <row r="1697">
          <cell r="C1697"/>
          <cell r="D1697" t="str">
            <v>DESCRIPTION</v>
          </cell>
          <cell r="E1697" t="str">
            <v>PRICE</v>
          </cell>
          <cell r="F1697" t="str">
            <v>VOLUME LESS</v>
          </cell>
          <cell r="G1697" t="str">
            <v>REGULAR
LESS</v>
          </cell>
        </row>
        <row r="1698">
          <cell r="C1698"/>
          <cell r="D1698"/>
          <cell r="E1698"/>
          <cell r="F1698"/>
          <cell r="G1698"/>
        </row>
        <row r="1699">
          <cell r="C1699" t="str">
            <v>PL88184-1 NARROW BUTTS 505- B 1"</v>
          </cell>
          <cell r="D1699" t="str">
            <v>200DOZ.P/ CTN</v>
          </cell>
          <cell r="E1699">
            <v>47</v>
          </cell>
          <cell r="F1699"/>
          <cell r="G1699"/>
        </row>
        <row r="1700">
          <cell r="C1700" t="str">
            <v>PL88184-2 NARROW BUTTS 505- B 1.5"</v>
          </cell>
          <cell r="D1700" t="str">
            <v>100DOZ.P/ CTN</v>
          </cell>
          <cell r="E1700">
            <v>52</v>
          </cell>
          <cell r="F1700"/>
          <cell r="G1700"/>
        </row>
        <row r="1701">
          <cell r="C1701" t="str">
            <v>PL88184-3 NARROW BUTTS 505- B 2"</v>
          </cell>
          <cell r="D1701" t="str">
            <v>50DOZ.P/CTN</v>
          </cell>
          <cell r="E1701">
            <v>76</v>
          </cell>
          <cell r="F1701"/>
          <cell r="G1701"/>
        </row>
        <row r="1702">
          <cell r="C1702" t="str">
            <v>PL88184-4 NARROW BUTTS 505- B 2.5"</v>
          </cell>
          <cell r="D1702" t="str">
            <v>50DOZ.P/CTN</v>
          </cell>
          <cell r="E1702">
            <v>106</v>
          </cell>
          <cell r="F1702"/>
          <cell r="G1702"/>
        </row>
        <row r="1703">
          <cell r="C1703" t="str">
            <v>PL88184-5 NARROW BUTTS 505- B 3"</v>
          </cell>
          <cell r="D1703" t="str">
            <v>30DOZ.P/CTN</v>
          </cell>
          <cell r="E1703">
            <v>141</v>
          </cell>
          <cell r="F1703"/>
          <cell r="G1703"/>
        </row>
        <row r="1704">
          <cell r="C1704" t="str">
            <v>PL88184-6 NARROW BUTTS 505- B 3.5"</v>
          </cell>
          <cell r="D1704" t="str">
            <v>20DOZ.P/CTN</v>
          </cell>
          <cell r="E1704">
            <v>180</v>
          </cell>
          <cell r="F1704"/>
          <cell r="G1704"/>
        </row>
        <row r="1705">
          <cell r="C1705" t="str">
            <v>PL88184-7 NARROW BUTTS 505-B 4"</v>
          </cell>
          <cell r="D1705" t="str">
            <v>20DOZ.P/CTN</v>
          </cell>
          <cell r="E1705">
            <v>216</v>
          </cell>
          <cell r="F1705"/>
          <cell r="G1705"/>
        </row>
        <row r="1706">
          <cell r="C1706"/>
          <cell r="D1706"/>
          <cell r="E1706"/>
          <cell r="F1706"/>
          <cell r="G1706"/>
        </row>
        <row r="1707">
          <cell r="C1707" t="str">
            <v>PL88080-01 CYLINDRICAL HINGES 3/8' - 11*60MM</v>
          </cell>
          <cell r="D1707" t="str">
            <v>480PCS/CTN</v>
          </cell>
          <cell r="E1707">
            <v>12</v>
          </cell>
          <cell r="F1707"/>
          <cell r="G1707"/>
        </row>
        <row r="1708">
          <cell r="C1708" t="str">
            <v>PL88080-02 CYLINDRICAL HINGES 1/2"-13*70MM</v>
          </cell>
          <cell r="D1708" t="str">
            <v>360PCS/CTN</v>
          </cell>
          <cell r="E1708">
            <v>14</v>
          </cell>
          <cell r="F1708"/>
          <cell r="G1708"/>
        </row>
        <row r="1709">
          <cell r="C1709" t="str">
            <v>PL88080-03 CYLINDRICAL HINGES 5/8"-16*80MM</v>
          </cell>
          <cell r="D1709" t="str">
            <v>180PCS/CTN</v>
          </cell>
          <cell r="E1709">
            <v>21</v>
          </cell>
          <cell r="F1709"/>
          <cell r="G1709"/>
        </row>
        <row r="1710">
          <cell r="C1710"/>
          <cell r="D1710"/>
          <cell r="E1710"/>
          <cell r="F1710"/>
          <cell r="G1710"/>
        </row>
        <row r="1711">
          <cell r="C1711"/>
          <cell r="D1711" t="str">
            <v>DESCRIPTION</v>
          </cell>
          <cell r="E1711" t="str">
            <v>PRICE</v>
          </cell>
          <cell r="F1711" t="str">
            <v>VOLUME LESS</v>
          </cell>
          <cell r="G1711" t="str">
            <v>REGULAR
LESS</v>
          </cell>
        </row>
        <row r="1712">
          <cell r="C1712"/>
          <cell r="D1712" t="str">
            <v>144PCS/CTN</v>
          </cell>
          <cell r="E1712"/>
          <cell r="F1712"/>
          <cell r="G1712"/>
        </row>
        <row r="1713">
          <cell r="C1713" t="str">
            <v>PL88080-05 CYLINDRICAL HINGES 3/4-18*90MM</v>
          </cell>
          <cell r="D1713" t="str">
            <v>144PCS/CTN</v>
          </cell>
          <cell r="E1713">
            <v>29</v>
          </cell>
          <cell r="F1713"/>
          <cell r="G1713"/>
        </row>
        <row r="1714">
          <cell r="C1714"/>
          <cell r="D1714" t="str">
            <v>84PCS/CTN</v>
          </cell>
          <cell r="E1714"/>
          <cell r="F1714"/>
          <cell r="G1714"/>
        </row>
        <row r="1715">
          <cell r="C1715" t="str">
            <v>PL88080-07 CYLINDRICAL HINGES 1"- 24*110MM</v>
          </cell>
          <cell r="D1715" t="str">
            <v>84PCS/CTN</v>
          </cell>
          <cell r="E1715">
            <v>46</v>
          </cell>
          <cell r="F1715"/>
          <cell r="G1715"/>
        </row>
        <row r="1716">
          <cell r="C1716" t="str">
            <v>PL88080-08 CYLINDRICAL HINGES 1- 1/2"38*110M</v>
          </cell>
          <cell r="D1716" t="str">
            <v>25PCS/CTN</v>
          </cell>
          <cell r="E1716">
            <v>150</v>
          </cell>
          <cell r="F1716"/>
          <cell r="G1716"/>
        </row>
        <row r="1717">
          <cell r="C1717"/>
          <cell r="D1717"/>
          <cell r="E1717"/>
          <cell r="F1717"/>
          <cell r="G1717"/>
        </row>
        <row r="1718">
          <cell r="C1718" t="str">
            <v>PL88180-1 (PL88015-3) 3X3 POLOLOCK LOOSE PIN HINGES</v>
          </cell>
          <cell r="D1718" t="str">
            <v>100PAIRS/ CTN</v>
          </cell>
          <cell r="E1718">
            <v>47</v>
          </cell>
          <cell r="F1718"/>
          <cell r="G1718"/>
        </row>
        <row r="1719">
          <cell r="C1719" t="str">
            <v/>
          </cell>
          <cell r="D1719"/>
          <cell r="E1719"/>
          <cell r="F1719"/>
          <cell r="G1719"/>
        </row>
        <row r="1720">
          <cell r="C1720" t="str">
            <v>PL88180-2 (PL88015-3.5) 3.5X3.5 POLOLOCK LOOSE PIN HINGES</v>
          </cell>
          <cell r="D1720" t="str">
            <v>80PAIRS/CTN</v>
          </cell>
          <cell r="E1720">
            <v>56</v>
          </cell>
          <cell r="F1720"/>
          <cell r="G1720"/>
        </row>
        <row r="1721">
          <cell r="C1721" t="str">
            <v/>
          </cell>
          <cell r="D1721"/>
          <cell r="E1721"/>
          <cell r="F1721"/>
          <cell r="G1721"/>
        </row>
        <row r="1722">
          <cell r="C1722" t="str">
            <v/>
          </cell>
          <cell r="D1722"/>
          <cell r="E1722"/>
          <cell r="F1722"/>
          <cell r="G1722"/>
        </row>
        <row r="1723">
          <cell r="C1723" t="str">
            <v/>
          </cell>
          <cell r="D1723"/>
          <cell r="E1723"/>
          <cell r="F1723"/>
          <cell r="G1723"/>
        </row>
        <row r="1724">
          <cell r="C1724" t="str">
            <v>PL88180-3 (PL88015-4) 4X4 POLOLOCK LOOSE PIN HINGES</v>
          </cell>
          <cell r="D1724" t="str">
            <v>50PAIRS/CTN</v>
          </cell>
          <cell r="E1724">
            <v>65</v>
          </cell>
          <cell r="F1724"/>
          <cell r="G1724"/>
        </row>
        <row r="1725">
          <cell r="C1725"/>
          <cell r="D1725"/>
          <cell r="E1725"/>
          <cell r="F1725"/>
          <cell r="G1725"/>
        </row>
        <row r="1726">
          <cell r="C1726" t="str">
            <v>PL88180-7 LOOSE PIN HINGES (STAINLESS) 3''*3''*1.9MM</v>
          </cell>
          <cell r="D1726" t="str">
            <v>50PAIRS/CTN</v>
          </cell>
          <cell r="E1726">
            <v>65</v>
          </cell>
          <cell r="F1726"/>
          <cell r="G1726"/>
        </row>
        <row r="1727">
          <cell r="C1727" t="str">
            <v>PL88180-8 LOOSE PIN HINGES (STAINLESS) 3.5''*3.5''*1.9MM</v>
          </cell>
          <cell r="D1727" t="str">
            <v>50PAIRS/CTN</v>
          </cell>
          <cell r="E1727">
            <v>80</v>
          </cell>
          <cell r="F1727"/>
          <cell r="G1727"/>
        </row>
        <row r="1728">
          <cell r="C1728" t="str">
            <v>PL88180-9 LOOSE PIN HINGES (STAINLESS) 4''*4''*1.9MM</v>
          </cell>
          <cell r="D1728" t="str">
            <v>50PAIRS/CTN</v>
          </cell>
          <cell r="E1728">
            <v>95</v>
          </cell>
          <cell r="F1728"/>
          <cell r="G1728"/>
        </row>
        <row r="1729">
          <cell r="C1729"/>
          <cell r="D1729"/>
          <cell r="E1729"/>
          <cell r="F1729"/>
          <cell r="G1729"/>
        </row>
        <row r="1730">
          <cell r="C1730"/>
          <cell r="D1730" t="str">
            <v>DESCRIPTION</v>
          </cell>
          <cell r="E1730" t="str">
            <v>PRICE</v>
          </cell>
          <cell r="F1730" t="str">
            <v>VOLUME LESS</v>
          </cell>
          <cell r="G1730" t="str">
            <v>REGULAR
LESS</v>
          </cell>
        </row>
        <row r="1731">
          <cell r="C1731"/>
          <cell r="D1731"/>
          <cell r="E1731"/>
          <cell r="F1731"/>
          <cell r="G1731"/>
        </row>
        <row r="1732">
          <cell r="C1732" t="str">
            <v>PL88185-1 POLOLOCK LOOSE PIN HINGES 3''*3''*2MM</v>
          </cell>
          <cell r="D1732" t="str">
            <v>5PRS*10BOX/ CTN</v>
          </cell>
          <cell r="E1732">
            <v>65</v>
          </cell>
          <cell r="F1732"/>
          <cell r="G1732"/>
        </row>
        <row r="1733">
          <cell r="C1733" t="str">
            <v>PL88185-2 POLOLOCK LOOSE PIN HINGES 3.5''*3.5''*2MM</v>
          </cell>
          <cell r="D1733" t="str">
            <v>5PRS*10BOX/ CTN</v>
          </cell>
          <cell r="E1733">
            <v>80</v>
          </cell>
          <cell r="F1733"/>
          <cell r="G1733"/>
        </row>
        <row r="1734">
          <cell r="C1734" t="str">
            <v>PL88185-3 POLOLOCK LOOSE PIN HINGES 4''*4''*2MM</v>
          </cell>
          <cell r="D1734" t="str">
            <v>5PRS*10BOX/ CTN</v>
          </cell>
          <cell r="E1734">
            <v>90</v>
          </cell>
          <cell r="F1734"/>
          <cell r="G1734"/>
        </row>
        <row r="1735">
          <cell r="C1735"/>
          <cell r="D1735"/>
          <cell r="E1735"/>
          <cell r="F1735"/>
          <cell r="G1735"/>
        </row>
        <row r="1736">
          <cell r="C1736" t="str">
            <v>PL88181-1 3X3 POLOLOCK STAINLESS BALL BEARING HINGES</v>
          </cell>
          <cell r="D1736" t="str">
            <v>50PAIRS/CTN</v>
          </cell>
          <cell r="E1736">
            <v>145</v>
          </cell>
          <cell r="F1736"/>
          <cell r="G1736"/>
        </row>
        <row r="1737">
          <cell r="C1737" t="str">
            <v>PL88181-2 3.5X3.5 POLOLOCK STAINLESS BALL BEARING HINGES</v>
          </cell>
          <cell r="D1737" t="str">
            <v>40PAIRSCTN</v>
          </cell>
          <cell r="E1737">
            <v>176</v>
          </cell>
          <cell r="F1737"/>
          <cell r="G1737"/>
        </row>
        <row r="1738">
          <cell r="C1738" t="str">
            <v>PL88181-3 4X4 POLOLOCK STAINLESS BALL EARING HINGES</v>
          </cell>
          <cell r="D1738" t="str">
            <v>30PAIRS/CTN</v>
          </cell>
          <cell r="E1738">
            <v>208</v>
          </cell>
          <cell r="F1738"/>
          <cell r="G1738"/>
        </row>
        <row r="1739">
          <cell r="C1739" t="str">
            <v>PL88181-4 4X3 POLOLOCK STAINLESS BALL BEARING HINGES</v>
          </cell>
          <cell r="D1739" t="str">
            <v>30PAIRSCTN</v>
          </cell>
          <cell r="E1739">
            <v>180</v>
          </cell>
          <cell r="F1739"/>
          <cell r="G1739"/>
        </row>
        <row r="1740">
          <cell r="C1740"/>
          <cell r="D1740"/>
          <cell r="E1740"/>
          <cell r="F1740"/>
          <cell r="G1740"/>
        </row>
        <row r="1741">
          <cell r="C1741" t="str">
            <v>PL88232-1 (LT88006-4) SOLID DOOR PULL W/SCREW 4"</v>
          </cell>
          <cell r="D1741" t="str">
            <v>60DOZ/CTN</v>
          </cell>
          <cell r="E1741">
            <v>130</v>
          </cell>
          <cell r="F1741"/>
          <cell r="G1741"/>
        </row>
        <row r="1742">
          <cell r="C1742" t="str">
            <v>PL88232-2 (LT88006-5) SOLID DOOR PULL W/SCREW 5"</v>
          </cell>
          <cell r="D1742" t="str">
            <v>40DOZ/CTN</v>
          </cell>
          <cell r="E1742">
            <v>230</v>
          </cell>
          <cell r="F1742"/>
          <cell r="G1742"/>
        </row>
        <row r="1743">
          <cell r="C1743" t="str">
            <v>PL88232-3 (LT88006-6) SOLID DOOR PULL W/SCREW 6"</v>
          </cell>
          <cell r="D1743" t="str">
            <v>40DOZ/CTN</v>
          </cell>
          <cell r="E1743">
            <v>250</v>
          </cell>
          <cell r="F1743"/>
          <cell r="G1743"/>
        </row>
        <row r="1744">
          <cell r="C1744"/>
          <cell r="D1744"/>
          <cell r="E1744"/>
          <cell r="F1744"/>
          <cell r="G1744"/>
        </row>
        <row r="1745">
          <cell r="C1745" t="str">
            <v>PL88231-1 T-TYPE STAINLESS HANDLE LIGHT DUTY 4"</v>
          </cell>
          <cell r="D1745" t="str">
            <v>400PCS/CTN</v>
          </cell>
          <cell r="E1745">
            <v>20</v>
          </cell>
          <cell r="F1745"/>
          <cell r="G1745"/>
        </row>
        <row r="1746">
          <cell r="C1746" t="str">
            <v>PL88231-2 T-TYPE STAINLESS HANDLE LIGHT DUTY 6"</v>
          </cell>
          <cell r="D1746" t="str">
            <v>400PCS/CTN</v>
          </cell>
          <cell r="E1746">
            <v>22</v>
          </cell>
          <cell r="F1746"/>
          <cell r="G1746"/>
        </row>
        <row r="1747">
          <cell r="C1747" t="str">
            <v>PL88231-3 T-TYPE STAINLESS HANDLE LIGHT DUTY 8"</v>
          </cell>
          <cell r="D1747" t="str">
            <v>400PCS/CTN</v>
          </cell>
          <cell r="E1747">
            <v>25</v>
          </cell>
          <cell r="F1747"/>
          <cell r="G1747"/>
        </row>
        <row r="1748">
          <cell r="C1748"/>
          <cell r="D1748"/>
          <cell r="E1748"/>
          <cell r="F1748"/>
          <cell r="G1748"/>
        </row>
        <row r="1749">
          <cell r="C1749"/>
          <cell r="D1749" t="str">
            <v>DESCRIPTION</v>
          </cell>
          <cell r="E1749" t="str">
            <v>PRICE</v>
          </cell>
          <cell r="F1749" t="str">
            <v>VOLUME LESS</v>
          </cell>
          <cell r="G1749" t="str">
            <v>REGULAR
LESS</v>
          </cell>
        </row>
        <row r="1750">
          <cell r="C1750" t="str">
            <v>PL88231-4 T-TYPE STAINLESS HANDLE LIGHT DUTY 10"</v>
          </cell>
          <cell r="D1750" t="str">
            <v>400PCS/CTN</v>
          </cell>
          <cell r="E1750"/>
          <cell r="F1750"/>
          <cell r="G1750"/>
        </row>
        <row r="1751">
          <cell r="C1751" t="str">
            <v>PL88231-5 T-TYPE STAINLESS HANDLE LIGHT DUTY 12"</v>
          </cell>
          <cell r="D1751" t="str">
            <v>400PCS/CTN</v>
          </cell>
          <cell r="E1751"/>
          <cell r="F1751"/>
          <cell r="G1751"/>
        </row>
        <row r="1752">
          <cell r="C1752"/>
          <cell r="D1752"/>
          <cell r="E1752"/>
          <cell r="F1752"/>
          <cell r="G1752"/>
        </row>
        <row r="1753">
          <cell r="C1753" t="str">
            <v>PL88230-1 T-TYPE STAINLESS HANDLE HEAVY DUTY 4"</v>
          </cell>
          <cell r="D1753" t="str">
            <v>200PCS/CTN</v>
          </cell>
          <cell r="E1753">
            <v>45</v>
          </cell>
          <cell r="F1753"/>
          <cell r="G1753"/>
        </row>
        <row r="1754">
          <cell r="C1754" t="str">
            <v>PL88230-2 T-TYPE STAINLESS HANDLE HEAVY DUTY 6"</v>
          </cell>
          <cell r="D1754" t="str">
            <v>100PCS/CTN</v>
          </cell>
          <cell r="E1754">
            <v>55</v>
          </cell>
          <cell r="F1754"/>
          <cell r="G1754"/>
        </row>
        <row r="1755">
          <cell r="C1755" t="str">
            <v>PL88230-3 T-TYPE STAINLESS HANDLE HEAVY DUTY 8"</v>
          </cell>
          <cell r="D1755" t="str">
            <v>100PCS/CTN</v>
          </cell>
          <cell r="E1755">
            <v>65</v>
          </cell>
          <cell r="F1755"/>
          <cell r="G1755"/>
        </row>
        <row r="1756">
          <cell r="C1756" t="str">
            <v>PL88230-4 T-TYPE STAINLESS HANDLE HEAVY DUTY 10"</v>
          </cell>
          <cell r="D1756" t="str">
            <v>100PCS/CTN</v>
          </cell>
          <cell r="E1756">
            <v>90</v>
          </cell>
          <cell r="F1756"/>
          <cell r="G1756"/>
        </row>
        <row r="1757">
          <cell r="C1757" t="str">
            <v>PL88230-5 T-TYPE STAINLESS HANDLE HEAVY DUTY 12"</v>
          </cell>
          <cell r="D1757" t="str">
            <v>50PCS/CTN</v>
          </cell>
          <cell r="E1757">
            <v>120</v>
          </cell>
          <cell r="F1757"/>
          <cell r="G1757"/>
        </row>
        <row r="1758">
          <cell r="C1758"/>
          <cell r="D1758"/>
          <cell r="E1758"/>
          <cell r="F1758"/>
          <cell r="G1758"/>
        </row>
        <row r="1759">
          <cell r="C1759" t="str">
            <v>PL88250 (PL88042) POLOLOCK STAINLESS MAGNETIC DOOR STOPPER</v>
          </cell>
          <cell r="D1759" t="str">
            <v>72PCS/CTN</v>
          </cell>
          <cell r="E1759">
            <v>190</v>
          </cell>
          <cell r="F1759"/>
          <cell r="G1759"/>
        </row>
        <row r="1760">
          <cell r="C1760"/>
          <cell r="D1760"/>
          <cell r="E1760"/>
          <cell r="F1760"/>
          <cell r="G1760"/>
        </row>
        <row r="1761">
          <cell r="C1761" t="str">
            <v>PL88170-1 (PL88045-3) 3KEYS'' POLOLOCK SOLID BRASS COMBINATION PADLOCK</v>
          </cell>
          <cell r="D1761" t="str">
            <v>240PCS/CTN</v>
          </cell>
          <cell r="E1761">
            <v>110</v>
          </cell>
          <cell r="F1761"/>
          <cell r="G1761"/>
        </row>
        <row r="1762">
          <cell r="C1762" t="str">
            <v>PL88170-2 (PL88045-4) 4KEYS'' POLOLOCK SOLID BRASS COMBINATION PADLOCK</v>
          </cell>
          <cell r="D1762" t="str">
            <v>120PCS/CTN</v>
          </cell>
          <cell r="E1762">
            <v>215</v>
          </cell>
          <cell r="F1762"/>
          <cell r="G1762"/>
        </row>
        <row r="1763">
          <cell r="C1763"/>
          <cell r="D1763"/>
          <cell r="E1763"/>
          <cell r="F1763"/>
          <cell r="G1763"/>
        </row>
        <row r="1764">
          <cell r="C1764"/>
          <cell r="D1764" t="str">
            <v>DESCRIPTION</v>
          </cell>
          <cell r="E1764" t="str">
            <v>PRICE</v>
          </cell>
          <cell r="F1764" t="str">
            <v>VOLUME LESS</v>
          </cell>
          <cell r="G1764" t="str">
            <v>REGULAR
LESS</v>
          </cell>
        </row>
        <row r="1765">
          <cell r="C1765"/>
          <cell r="D1765"/>
          <cell r="E1765"/>
          <cell r="F1765"/>
          <cell r="G1765"/>
          <cell r="H1765"/>
        </row>
        <row r="1766">
          <cell r="C1766" t="str">
            <v>PL88141-1 (PL88046-20) 20MM POLOLOCK BRASS PADLOCK</v>
          </cell>
          <cell r="D1766" t="str">
            <v>1200PCS/CTN</v>
          </cell>
          <cell r="E1766">
            <v>44</v>
          </cell>
          <cell r="F1766"/>
          <cell r="G1766"/>
          <cell r="H1766"/>
        </row>
        <row r="1767">
          <cell r="C1767" t="str">
            <v>PL88141-2 (PL88046-25) 25MM POLOLOCK BRASS PADLOCK</v>
          </cell>
          <cell r="D1767" t="str">
            <v>600PCS/CTN</v>
          </cell>
          <cell r="E1767">
            <v>46</v>
          </cell>
          <cell r="F1767"/>
          <cell r="G1767"/>
          <cell r="H1767"/>
        </row>
        <row r="1768">
          <cell r="C1768" t="str">
            <v>PL88141-3 (PL88046-30) 30MM POLOLOCK BRASS PADLOCK</v>
          </cell>
          <cell r="D1768" t="str">
            <v>480PCS/CTN</v>
          </cell>
          <cell r="E1768">
            <v>55</v>
          </cell>
          <cell r="F1768"/>
          <cell r="G1768"/>
          <cell r="H1768"/>
        </row>
        <row r="1769">
          <cell r="C1769" t="str">
            <v>PL88141-4 (PL88046-35) 35MM POLOLOCK BRASS PADLOCK</v>
          </cell>
          <cell r="D1769" t="str">
            <v>360PCS/CTN</v>
          </cell>
          <cell r="E1769">
            <v>70</v>
          </cell>
          <cell r="F1769"/>
          <cell r="G1769"/>
          <cell r="H1769"/>
        </row>
        <row r="1770">
          <cell r="C1770" t="str">
            <v>PL88141-5 (PL88046-40) 40MM POLOLOCK BRASS PADLOCK</v>
          </cell>
          <cell r="D1770" t="str">
            <v>240PCS/CTN</v>
          </cell>
          <cell r="E1770">
            <v>83</v>
          </cell>
          <cell r="F1770"/>
          <cell r="G1770"/>
          <cell r="H1770"/>
        </row>
        <row r="1771">
          <cell r="C1771" t="str">
            <v>PL88141-6 (PL88046-45) 45MM POLOLOCK BRASS PADLOCK</v>
          </cell>
          <cell r="D1771" t="str">
            <v>240PCS/CTN</v>
          </cell>
          <cell r="E1771">
            <v>114</v>
          </cell>
          <cell r="F1771"/>
          <cell r="G1771"/>
          <cell r="H1771"/>
        </row>
        <row r="1772">
          <cell r="C1772" t="str">
            <v>PL88141-7 (PL88046-50) 50MM POLOLOCK BRASS PADLOCK</v>
          </cell>
          <cell r="D1772" t="str">
            <v>120PCS/CTN</v>
          </cell>
          <cell r="E1772">
            <v>129</v>
          </cell>
          <cell r="F1772"/>
          <cell r="G1772"/>
          <cell r="H1772"/>
        </row>
        <row r="1773">
          <cell r="C1773" t="str">
            <v>PL88141-8 (PL88046-60) 60MM POLOLOCK BRASS PADLOCK</v>
          </cell>
          <cell r="D1773" t="str">
            <v>120PCS/CTN</v>
          </cell>
          <cell r="E1773">
            <v>160</v>
          </cell>
          <cell r="F1773"/>
          <cell r="G1773"/>
          <cell r="H1773"/>
        </row>
        <row r="1774">
          <cell r="C1774"/>
          <cell r="D1774"/>
          <cell r="E1774"/>
          <cell r="F1774"/>
          <cell r="G1774"/>
          <cell r="H1774"/>
        </row>
        <row r="1775">
          <cell r="C1775" t="str">
            <v>PL88130-1 (PL88049-S40) POLOLOCK WATERPROOF PADLOCK SHORT SHACKLE 40MM</v>
          </cell>
          <cell r="D1775" t="str">
            <v>48PCS/CTN</v>
          </cell>
          <cell r="E1775">
            <v>165</v>
          </cell>
          <cell r="F1775"/>
          <cell r="G1775"/>
          <cell r="H1775"/>
        </row>
        <row r="1776">
          <cell r="C1776" t="str">
            <v>PL88130-2 (PL88049-S50) POLOLOCK WATERPROOF PADLOCK SHORT SHACKLE 50MM</v>
          </cell>
          <cell r="D1776" t="str">
            <v>48PCS/CTN</v>
          </cell>
          <cell r="E1776">
            <v>200</v>
          </cell>
          <cell r="F1776"/>
          <cell r="G1776"/>
          <cell r="H1776"/>
        </row>
        <row r="1777">
          <cell r="C1777" t="str">
            <v>PL88130-3 (PL88049-L40) POLOLOCK WATERPROOF PADLOCK LONG SHACKLE 40MM</v>
          </cell>
          <cell r="D1777" t="str">
            <v>48PCS/CTN</v>
          </cell>
          <cell r="E1777">
            <v>170</v>
          </cell>
          <cell r="F1777"/>
          <cell r="G1777"/>
          <cell r="H1777"/>
        </row>
        <row r="1778">
          <cell r="C1778" t="str">
            <v>PL88130-4 (PL88049-L50) POLOLOCK WATERPROOF PADLOCK LONG SHACKLE 50MM</v>
          </cell>
          <cell r="D1778" t="str">
            <v>48PCS/CTN</v>
          </cell>
          <cell r="E1778">
            <v>210</v>
          </cell>
          <cell r="F1778"/>
          <cell r="G1778"/>
          <cell r="H1778"/>
        </row>
        <row r="1779">
          <cell r="C1779"/>
          <cell r="D1779"/>
          <cell r="E1779"/>
          <cell r="F1779"/>
          <cell r="G1779"/>
          <cell r="H1779"/>
        </row>
        <row r="1780">
          <cell r="C1780"/>
          <cell r="D1780"/>
          <cell r="E1780"/>
          <cell r="F1780"/>
          <cell r="G1780"/>
          <cell r="H1780"/>
        </row>
        <row r="1781">
          <cell r="C1781"/>
          <cell r="D1781"/>
          <cell r="E1781"/>
          <cell r="F1781"/>
          <cell r="G1781"/>
          <cell r="H1781"/>
        </row>
        <row r="1782">
          <cell r="C1782"/>
          <cell r="D1782"/>
          <cell r="E1782"/>
          <cell r="F1782"/>
          <cell r="G1782"/>
          <cell r="H1782"/>
        </row>
        <row r="1783">
          <cell r="C1783"/>
          <cell r="D1783"/>
          <cell r="E1783"/>
          <cell r="F1783"/>
          <cell r="G1783"/>
        </row>
        <row r="1784">
          <cell r="C1784"/>
          <cell r="D1784" t="str">
            <v>DESCRIPTION</v>
          </cell>
          <cell r="E1784" t="str">
            <v>PRICE</v>
          </cell>
          <cell r="F1784" t="str">
            <v>VOLUME LESS</v>
          </cell>
          <cell r="G1784" t="str">
            <v>REGULAR
LESS</v>
          </cell>
        </row>
        <row r="1785">
          <cell r="C1785"/>
          <cell r="D1785"/>
          <cell r="E1785"/>
          <cell r="F1785"/>
          <cell r="G1785"/>
        </row>
        <row r="1786">
          <cell r="C1786" t="str">
            <v>PL88120-1 (PL88009-S30) POLOLOCK LAMINATED PADLOCK 30MM SHORT SHACKLE</v>
          </cell>
          <cell r="D1786" t="str">
            <v>96PCS/CTN</v>
          </cell>
          <cell r="E1786">
            <v>82</v>
          </cell>
          <cell r="F1786"/>
          <cell r="G1786"/>
        </row>
        <row r="1787">
          <cell r="C1787" t="str">
            <v>PL88120-2 (PL88009-S40) POLOLOCK LAMINATED PADLOCK 40MM SHORT SHACKLE</v>
          </cell>
          <cell r="D1787" t="str">
            <v>72PCS/CTN</v>
          </cell>
          <cell r="E1787">
            <v>115</v>
          </cell>
          <cell r="F1787"/>
          <cell r="G1787"/>
        </row>
        <row r="1788">
          <cell r="C1788" t="str">
            <v>PL88120-3 (PL88009-S50) POLOLOCK LAMINATED PADLOCK 50MM SHORT SHACKLE</v>
          </cell>
          <cell r="D1788" t="str">
            <v>48PCS/CTN</v>
          </cell>
          <cell r="E1788">
            <v>170</v>
          </cell>
          <cell r="F1788"/>
          <cell r="G1788"/>
        </row>
        <row r="1789">
          <cell r="C1789" t="str">
            <v>PL88120-4 (PL88009-S65) POLOLOCK LAMINATED PADLOCK 65MM SHORT SHACKLE</v>
          </cell>
          <cell r="D1789" t="str">
            <v>24PCS/CTN</v>
          </cell>
          <cell r="E1789">
            <v>300</v>
          </cell>
          <cell r="F1789"/>
          <cell r="G1789"/>
        </row>
        <row r="1790">
          <cell r="C1790"/>
          <cell r="D1790"/>
          <cell r="E1790"/>
          <cell r="F1790"/>
          <cell r="G1790"/>
        </row>
        <row r="1791">
          <cell r="C1791" t="str">
            <v>PL88120-5 (PL88009-L30) POLOLOCK LAMINATED PADLOCK 30MM LONG SHACKLE</v>
          </cell>
          <cell r="D1791" t="str">
            <v>96PCS/CTN</v>
          </cell>
          <cell r="E1791">
            <v>86</v>
          </cell>
          <cell r="F1791"/>
          <cell r="G1791"/>
        </row>
        <row r="1792">
          <cell r="C1792" t="str">
            <v>PL88120-6 (PL88009-L40) POLOLOCK LAMINATED PADLOCK 40MM LONG SHACKLE</v>
          </cell>
          <cell r="D1792" t="str">
            <v>72PCS/CTN</v>
          </cell>
          <cell r="E1792">
            <v>120</v>
          </cell>
          <cell r="F1792"/>
          <cell r="G1792"/>
        </row>
        <row r="1793">
          <cell r="C1793" t="str">
            <v>PL88120-7 (PL88009-L50) POLOLOCK LAMINATED PADLOCK 50MM LONG SHACKLE</v>
          </cell>
          <cell r="D1793" t="str">
            <v>48PCS/CTN</v>
          </cell>
          <cell r="E1793">
            <v>180</v>
          </cell>
          <cell r="F1793"/>
          <cell r="G1793"/>
        </row>
        <row r="1794">
          <cell r="C1794" t="str">
            <v>PL88120-8 (PL88009-L65) POLOLOCK LAMINATED PADLOCK 65MM LONG SHACKLE</v>
          </cell>
          <cell r="D1794" t="str">
            <v>24PCS/CTN</v>
          </cell>
          <cell r="E1794">
            <v>318</v>
          </cell>
          <cell r="F1794"/>
          <cell r="G1794"/>
        </row>
        <row r="1795">
          <cell r="C1795"/>
          <cell r="D1795"/>
          <cell r="E1795"/>
          <cell r="F1795"/>
          <cell r="G1795"/>
          <cell r="H1795"/>
        </row>
        <row r="1796">
          <cell r="C1796" t="str">
            <v>PL88140-00 (PL88014-S20) POLOLOCK HEAVY DUTY BRASS PADLOCK 20MM SHORT SHACKLE</v>
          </cell>
          <cell r="D1796" t="str">
            <v>180PCS/CTN</v>
          </cell>
          <cell r="E1796">
            <v>69</v>
          </cell>
          <cell r="F1796"/>
          <cell r="G1796"/>
          <cell r="H1796"/>
        </row>
        <row r="1797">
          <cell r="C1797" t="str">
            <v>PL88140-01 (PL88014-S25) POLOLOCK HEAVY DUTY BRASS PADLOCK 25MM SHORT SHACKLE</v>
          </cell>
          <cell r="D1797" t="str">
            <v>180PCS/CTN</v>
          </cell>
          <cell r="E1797">
            <v>85</v>
          </cell>
          <cell r="F1797"/>
          <cell r="G1797"/>
          <cell r="H1797"/>
        </row>
        <row r="1798">
          <cell r="C1798"/>
          <cell r="D1798"/>
          <cell r="E1798"/>
          <cell r="F1798"/>
          <cell r="G1798"/>
          <cell r="H1798"/>
        </row>
        <row r="1799">
          <cell r="C1799"/>
          <cell r="D1799" t="str">
            <v>DESCRIPTION</v>
          </cell>
          <cell r="E1799" t="str">
            <v>PRICE</v>
          </cell>
          <cell r="F1799" t="str">
            <v>VOLUME LESS</v>
          </cell>
          <cell r="G1799" t="str">
            <v>REGULAR
LESS</v>
          </cell>
          <cell r="H1799"/>
        </row>
        <row r="1800">
          <cell r="C1800" t="str">
            <v>PL88140-02 (PL88014-S30) POLOLOCK HEAVY DUTY BRASS PADLOCK 30MM SHORT SHACKLE</v>
          </cell>
          <cell r="D1800" t="str">
            <v>120PCS/CTN</v>
          </cell>
          <cell r="E1800">
            <v>125</v>
          </cell>
          <cell r="F1800"/>
          <cell r="G1800"/>
          <cell r="H1800"/>
        </row>
        <row r="1801">
          <cell r="C1801" t="str">
            <v>PL88140-03 (PL88014-S40) POLOLOCK HEAVY DUTY BRASS PADLOCK 40MM SHORT SHACKLE</v>
          </cell>
          <cell r="D1801" t="str">
            <v>120PCS/CTN</v>
          </cell>
          <cell r="E1801">
            <v>172</v>
          </cell>
          <cell r="F1801"/>
          <cell r="G1801"/>
          <cell r="H1801"/>
        </row>
        <row r="1802">
          <cell r="C1802" t="str">
            <v>PL880140-04 (PL88014-S50) POLOLOCK HEAVY DUTY BRASS PADLOCK 50MM SHORT SHACKLE</v>
          </cell>
          <cell r="D1802" t="str">
            <v>60PCS/CTN</v>
          </cell>
          <cell r="E1802">
            <v>245</v>
          </cell>
          <cell r="F1802"/>
          <cell r="G1802"/>
          <cell r="H1802"/>
        </row>
        <row r="1803">
          <cell r="C1803" t="str">
            <v>PL880140- 05 (PL88014-S60) POLOLOCK HEAVY DUTY BRASS PADLOCK 60MM SHORT SHACKLE</v>
          </cell>
          <cell r="D1803" t="str">
            <v>60PCS/CTN</v>
          </cell>
          <cell r="E1803">
            <v>340</v>
          </cell>
          <cell r="F1803"/>
          <cell r="G1803"/>
          <cell r="H1803"/>
        </row>
        <row r="1804">
          <cell r="C1804" t="str">
            <v>PL880140-06 (PL88014-L20) POLOLOCK HEAVY DUTY BRASS PADLOCK 20MM LONG SHACKLE</v>
          </cell>
          <cell r="D1804" t="str">
            <v>180PCS/CTN</v>
          </cell>
          <cell r="E1804">
            <v>75</v>
          </cell>
          <cell r="F1804"/>
          <cell r="G1804"/>
          <cell r="H1804"/>
        </row>
        <row r="1805">
          <cell r="C1805" t="str">
            <v>PL880140-07 (PL88014-L25) L25 POLOLOCK HEAVY DUTY BRASS PADLOCK 25MM LONG SHACKLE</v>
          </cell>
          <cell r="D1805" t="str">
            <v>180PCS/CTN</v>
          </cell>
          <cell r="E1805">
            <v>90</v>
          </cell>
          <cell r="F1805"/>
          <cell r="G1805"/>
          <cell r="H1805"/>
        </row>
        <row r="1806">
          <cell r="C1806" t="str">
            <v>PL88140-08 (PL88014-L30) POLOLOCK HEAVY DUTY BRASS PADLOCK 30MM LONG SHACKLE</v>
          </cell>
          <cell r="D1806" t="str">
            <v>120PCS/CTN</v>
          </cell>
          <cell r="E1806">
            <v>135</v>
          </cell>
          <cell r="F1806"/>
          <cell r="G1806"/>
          <cell r="H1806"/>
        </row>
        <row r="1807">
          <cell r="C1807" t="str">
            <v>PL880140-09 (PL88014-L40) POLOLOCK HEAVY DUTY BRASS PADLOCK 40MM LONG SHACKLE</v>
          </cell>
          <cell r="D1807" t="str">
            <v>120PCS/CTN</v>
          </cell>
          <cell r="E1807">
            <v>180</v>
          </cell>
          <cell r="F1807"/>
          <cell r="G1807"/>
          <cell r="H1807"/>
        </row>
        <row r="1808">
          <cell r="C1808" t="str">
            <v>PL880140-10 (PL88014-L50) POLOLOCK HEAVY DUTY BRASS PADLOCK 50MM LONG SHACKLE</v>
          </cell>
          <cell r="D1808" t="str">
            <v>60PCS/CTN</v>
          </cell>
          <cell r="E1808">
            <v>265</v>
          </cell>
          <cell r="F1808"/>
          <cell r="G1808"/>
          <cell r="H1808"/>
        </row>
        <row r="1809">
          <cell r="C1809" t="str">
            <v>PL880140-11 (PL88014-L60) POLOLOCK HEAVY DUTY BRASS PADLOCK 60MM LONG SHACKLE</v>
          </cell>
          <cell r="D1809" t="str">
            <v>60PCS/CTN</v>
          </cell>
          <cell r="E1809">
            <v>360</v>
          </cell>
          <cell r="F1809"/>
          <cell r="G1809"/>
          <cell r="H1809"/>
        </row>
        <row r="1810">
          <cell r="C1810"/>
          <cell r="D1810"/>
          <cell r="E1810"/>
          <cell r="F1810"/>
          <cell r="G1810"/>
          <cell r="H1810"/>
        </row>
        <row r="1811">
          <cell r="C1811" t="str">
            <v>PL88190-1 (PL88032-1) 2.5'' POLOLOK HASP LOCK</v>
          </cell>
          <cell r="D1811" t="str">
            <v>120PCS/CTN</v>
          </cell>
          <cell r="E1811"/>
          <cell r="F1811"/>
          <cell r="G1811"/>
          <cell r="H1811"/>
        </row>
        <row r="1812">
          <cell r="C1812" t="str">
            <v>PL88190-2 (PL88032-2) 3'' POLOLOK HASP LOCK</v>
          </cell>
          <cell r="D1812" t="str">
            <v>120PCS/CTN</v>
          </cell>
          <cell r="E1812"/>
          <cell r="F1812"/>
          <cell r="G1812"/>
          <cell r="H1812"/>
        </row>
        <row r="1813">
          <cell r="C1813" t="str">
            <v>PL88190-3 (PL88032-3) 4'' POLOLOCK HASP LOCK</v>
          </cell>
          <cell r="D1813" t="str">
            <v>96PCS/CTN</v>
          </cell>
          <cell r="E1813"/>
          <cell r="F1813"/>
          <cell r="G1813"/>
          <cell r="H1813"/>
        </row>
        <row r="1814">
          <cell r="C1814"/>
          <cell r="D1814"/>
          <cell r="E1814"/>
          <cell r="F1814"/>
          <cell r="G1814"/>
          <cell r="H1814"/>
        </row>
        <row r="1815">
          <cell r="C1815"/>
          <cell r="D1815"/>
          <cell r="E1815"/>
          <cell r="F1815"/>
          <cell r="G1815"/>
          <cell r="H1815"/>
        </row>
        <row r="1816">
          <cell r="C1816"/>
          <cell r="D1816" t="str">
            <v>DESCRIPTION</v>
          </cell>
          <cell r="E1816" t="str">
            <v>PRICE</v>
          </cell>
          <cell r="F1816" t="str">
            <v>VOLUME LESS</v>
          </cell>
          <cell r="G1816" t="str">
            <v>REGULAR
LESS</v>
          </cell>
          <cell r="H1816"/>
        </row>
        <row r="1817">
          <cell r="C1817"/>
          <cell r="D1817"/>
          <cell r="E1817"/>
          <cell r="F1817"/>
          <cell r="G1817"/>
          <cell r="H1817"/>
        </row>
        <row r="1818">
          <cell r="C1818" t="str">
            <v>PL88191-1 (PL88034-1) POLOLOCK HEAVY PADLOCK HASP 2"</v>
          </cell>
          <cell r="D1818" t="str">
            <v>144SETS/CTN</v>
          </cell>
          <cell r="E1818"/>
          <cell r="F1818"/>
          <cell r="G1818"/>
          <cell r="H1818"/>
        </row>
        <row r="1819">
          <cell r="C1819" t="str">
            <v>PL88191-2 (PL88034-2) POLOLOCK HEAVY PADLOCK HASP 2.5"</v>
          </cell>
          <cell r="D1819" t="str">
            <v>144SETS/CTN</v>
          </cell>
          <cell r="E1819"/>
          <cell r="F1819"/>
          <cell r="G1819"/>
          <cell r="H1819"/>
        </row>
        <row r="1820">
          <cell r="C1820" t="str">
            <v>PL88191-3 (PL88034-3) POLOLOCK HEAVY DUTY PADLOCK HASP 3"</v>
          </cell>
          <cell r="D1820" t="str">
            <v>108SETS/CTN</v>
          </cell>
          <cell r="E1820"/>
          <cell r="F1820"/>
          <cell r="G1820"/>
          <cell r="H1820"/>
        </row>
        <row r="1821">
          <cell r="C1821" t="str">
            <v>PL88191-4 (PL88034-4) POLOLOCK HEAVY DUTY PADLOCK HASP 4.5"</v>
          </cell>
          <cell r="D1821" t="str">
            <v>108SETS/CTN</v>
          </cell>
          <cell r="E1821"/>
          <cell r="F1821"/>
          <cell r="G1821"/>
          <cell r="H1821"/>
        </row>
        <row r="1822">
          <cell r="C1822"/>
          <cell r="D1822"/>
          <cell r="E1822"/>
          <cell r="F1822"/>
          <cell r="G1822"/>
          <cell r="H1822"/>
        </row>
        <row r="1823">
          <cell r="C1823" t="str">
            <v>PL88220-1 (PL88047-3) 3''POLOLOCK SAFETY HASPS STAINLESS W/SCREW</v>
          </cell>
          <cell r="D1823" t="str">
            <v>48PCS/CTN</v>
          </cell>
          <cell r="E1823"/>
          <cell r="F1823"/>
          <cell r="G1823"/>
          <cell r="H1823"/>
        </row>
        <row r="1824">
          <cell r="C1824" t="str">
            <v>PL88220-2 (PL88047-4) 4'' POLOLOCK SAFETY HASPS STAINLESS W/SCREW</v>
          </cell>
          <cell r="D1824" t="str">
            <v>48PCS/CTN</v>
          </cell>
          <cell r="E1824"/>
          <cell r="F1824"/>
          <cell r="G1824"/>
          <cell r="H1824"/>
        </row>
        <row r="1825">
          <cell r="C1825" t="str">
            <v>Pl880220-3 (PL88047-5) 5'' POLOLOCK SAFETY HASPS STAINLESS W/SCREW</v>
          </cell>
          <cell r="D1825" t="str">
            <v>48PCS/CTN</v>
          </cell>
          <cell r="E1825"/>
          <cell r="F1825"/>
          <cell r="G1825"/>
          <cell r="H1825"/>
        </row>
        <row r="1826">
          <cell r="C1826"/>
          <cell r="D1826"/>
          <cell r="E1826"/>
          <cell r="F1826"/>
          <cell r="G1826"/>
        </row>
        <row r="1827">
          <cell r="C1827" t="str">
            <v>PL88192-1 SAFETY HASPS W/SCREW 1.5''</v>
          </cell>
          <cell r="D1827" t="str">
            <v>2DOZ*100 BOXES/CTN</v>
          </cell>
          <cell r="E1827"/>
          <cell r="F1827"/>
          <cell r="G1827"/>
        </row>
        <row r="1828">
          <cell r="C1828" t="str">
            <v>PL88192-2 SAFETY HASPS W/ SCREW 2''</v>
          </cell>
          <cell r="D1828" t="str">
            <v>2DOZ*50 BOXES/CTN</v>
          </cell>
          <cell r="E1828"/>
          <cell r="F1828"/>
          <cell r="G1828"/>
        </row>
        <row r="1829">
          <cell r="C1829" t="str">
            <v>PL88192-3 SAFETY HASPS W/ SCREW 2.5''</v>
          </cell>
          <cell r="D1829" t="str">
            <v>1DOZ*50 BOX/CTN</v>
          </cell>
          <cell r="E1829"/>
          <cell r="F1829"/>
          <cell r="G1829"/>
        </row>
        <row r="1830">
          <cell r="C1830" t="str">
            <v>PL88192-4 SAFETY HASPS W/ SCREW 3''</v>
          </cell>
          <cell r="D1830" t="str">
            <v>1DOZ*50 BOX/CTN</v>
          </cell>
          <cell r="E1830"/>
          <cell r="F1830"/>
          <cell r="G1830"/>
        </row>
        <row r="1831">
          <cell r="C1831"/>
          <cell r="D1831"/>
          <cell r="E1831"/>
          <cell r="F1831"/>
          <cell r="G1831"/>
          <cell r="H1831"/>
        </row>
        <row r="1832">
          <cell r="C1832"/>
          <cell r="D1832" t="str">
            <v>DESCRIPTION</v>
          </cell>
          <cell r="E1832" t="str">
            <v>PRICE</v>
          </cell>
          <cell r="F1832" t="str">
            <v>VOLUME LESS</v>
          </cell>
          <cell r="G1832" t="str">
            <v>REGULAR
LESS</v>
          </cell>
          <cell r="H1832"/>
        </row>
        <row r="1833">
          <cell r="C1833" t="str">
            <v>PL88192-5 SAFETY HASP W/SCREW 3.5''</v>
          </cell>
          <cell r="D1833" t="str">
            <v>1DOZ*50 BOX/CTN</v>
          </cell>
          <cell r="E1833"/>
          <cell r="F1833"/>
          <cell r="G1833"/>
        </row>
        <row r="1834">
          <cell r="C1834" t="str">
            <v>PL88192-6 SAFETY HASP W/SCREW 4''</v>
          </cell>
          <cell r="D1834" t="str">
            <v>1DOZ*50 BOX/CTN</v>
          </cell>
          <cell r="E1834"/>
          <cell r="F1834"/>
          <cell r="G1834"/>
        </row>
        <row r="1835">
          <cell r="C1835"/>
          <cell r="D1835"/>
          <cell r="E1835"/>
          <cell r="F1835"/>
          <cell r="G1835"/>
        </row>
        <row r="1836">
          <cell r="C1836" t="str">
            <v>PL88142-1 POLOLOCK BRASS SIDE KEY PADLOCK 20MM</v>
          </cell>
          <cell r="D1836" t="str">
            <v>480PCS/CTN</v>
          </cell>
          <cell r="E1836"/>
          <cell r="F1836"/>
          <cell r="G1836"/>
        </row>
        <row r="1837">
          <cell r="C1837" t="str">
            <v>PL88142-2 POLOLOCK BRASS SIDE KEY PADLOCK 25MM</v>
          </cell>
          <cell r="D1837" t="str">
            <v>288PCS/CTN</v>
          </cell>
          <cell r="E1837"/>
          <cell r="F1837"/>
          <cell r="G1837"/>
        </row>
        <row r="1838">
          <cell r="C1838" t="str">
            <v>PL88142-3 POLOLOCK BRASS SIDE KEY PADLOCK 30MM</v>
          </cell>
          <cell r="D1838" t="str">
            <v>240PCS/CTN</v>
          </cell>
          <cell r="E1838"/>
          <cell r="F1838"/>
          <cell r="G1838"/>
        </row>
        <row r="1839">
          <cell r="C1839" t="str">
            <v>PL88142-4 POLOLOCK BRASS SIDE KEY PADLOCK 35MM</v>
          </cell>
          <cell r="D1839" t="str">
            <v>192PCS/CTN</v>
          </cell>
          <cell r="E1839"/>
          <cell r="F1839"/>
          <cell r="G1839"/>
        </row>
        <row r="1840">
          <cell r="C1840" t="str">
            <v>PL88142-5 POLOLOCK BRASS SIDE KEY PADLOCK 40MM</v>
          </cell>
          <cell r="D1840" t="str">
            <v>192PCS/CTN</v>
          </cell>
          <cell r="E1840"/>
          <cell r="F1840"/>
          <cell r="G1840"/>
        </row>
        <row r="1841">
          <cell r="C1841"/>
          <cell r="D1841"/>
          <cell r="E1841"/>
          <cell r="F1841"/>
          <cell r="G1841"/>
        </row>
        <row r="1842">
          <cell r="C1842" t="str">
            <v>PL88024-SS #587 TUBULAR KNOBSET LOCK</v>
          </cell>
          <cell r="D1842" t="str">
            <v>24PCS/CTN</v>
          </cell>
          <cell r="E1842"/>
          <cell r="F1842"/>
          <cell r="G1842"/>
        </row>
        <row r="1843">
          <cell r="C1843" t="str">
            <v>PL88024-SSP #587 TUBULAR KNOBSET LOCK</v>
          </cell>
          <cell r="D1843" t="str">
            <v>24PCS/CTN</v>
          </cell>
          <cell r="E1843"/>
          <cell r="F1843"/>
          <cell r="G1843"/>
        </row>
        <row r="1844">
          <cell r="C1844" t="str">
            <v>PL88024-AB #587 TUBULAR KNOBSET LOCK</v>
          </cell>
          <cell r="D1844" t="str">
            <v>24PCS/CTN</v>
          </cell>
          <cell r="E1844"/>
          <cell r="F1844"/>
          <cell r="G1844"/>
        </row>
        <row r="1845">
          <cell r="C1845" t="str">
            <v>PL88024-PB #587 TUBULAR KNOBSET LOCK</v>
          </cell>
          <cell r="D1845" t="str">
            <v>24PCS/CTN</v>
          </cell>
          <cell r="E1845"/>
          <cell r="F1845"/>
          <cell r="G1845"/>
        </row>
        <row r="1846">
          <cell r="C1846" t="str">
            <v>PL88024-MB #587 TUBULAR KNOBSET LOCK</v>
          </cell>
          <cell r="D1846" t="str">
            <v>24PCS/CTN</v>
          </cell>
          <cell r="E1846"/>
          <cell r="F1846"/>
          <cell r="G1846"/>
        </row>
        <row r="1847">
          <cell r="C1847"/>
          <cell r="D1847"/>
          <cell r="E1847"/>
          <cell r="F1847"/>
          <cell r="G1847"/>
        </row>
        <row r="1848">
          <cell r="C1848"/>
          <cell r="D1848"/>
          <cell r="E1848"/>
          <cell r="F1848"/>
          <cell r="G1848"/>
          <cell r="H1848"/>
        </row>
        <row r="1849">
          <cell r="C1849"/>
          <cell r="D1849" t="str">
            <v>DESCRIPTION</v>
          </cell>
          <cell r="E1849" t="str">
            <v>PRICE</v>
          </cell>
          <cell r="F1849" t="str">
            <v>VOLUME LESS</v>
          </cell>
          <cell r="G1849" t="str">
            <v>REGULAR
LESS</v>
          </cell>
          <cell r="H1849"/>
        </row>
        <row r="1850">
          <cell r="C1850"/>
          <cell r="D1850"/>
          <cell r="E1850"/>
          <cell r="F1850"/>
          <cell r="G1850"/>
        </row>
        <row r="1851">
          <cell r="C1851" t="str">
            <v>PL88028-12 POLOLOCK 3-FOLD CLOSING SLIDE 12''</v>
          </cell>
          <cell r="D1851" t="str">
            <v>15PAIRS/CTN</v>
          </cell>
          <cell r="E1851">
            <v>303</v>
          </cell>
          <cell r="F1851"/>
          <cell r="G1851" t="str">
            <v>LESS 20%</v>
          </cell>
        </row>
        <row r="1852">
          <cell r="C1852" t="str">
            <v>PL88028-14 POLOLOCK 3-FOLD CLOSING SLIDE 14''</v>
          </cell>
          <cell r="D1852" t="str">
            <v>15PAIRS/CTN</v>
          </cell>
          <cell r="E1852">
            <v>333</v>
          </cell>
          <cell r="F1852"/>
          <cell r="G1852"/>
        </row>
        <row r="1853">
          <cell r="C1853" t="str">
            <v>PL88028-16 POLOLOCK 3-FOLD CLOSING SLIDE 16''</v>
          </cell>
          <cell r="D1853" t="str">
            <v>15PAIRS/CTN</v>
          </cell>
          <cell r="E1853">
            <v>363</v>
          </cell>
          <cell r="F1853"/>
          <cell r="G1853"/>
        </row>
        <row r="1854">
          <cell r="C1854" t="str">
            <v>PL88028-18 POLOLOCK 3-FOLD CLOSING SLIDE 18''</v>
          </cell>
          <cell r="D1854" t="str">
            <v>15PAIRS/CTN</v>
          </cell>
          <cell r="E1854">
            <v>393</v>
          </cell>
          <cell r="F1854"/>
          <cell r="G1854"/>
        </row>
        <row r="1855">
          <cell r="C1855" t="str">
            <v>PL88028-20 POLOLOCK 3-FOLD CLOSING SLIDE 20''</v>
          </cell>
          <cell r="D1855" t="str">
            <v>15PAIRS/CTN</v>
          </cell>
          <cell r="E1855">
            <v>426</v>
          </cell>
          <cell r="F1855"/>
          <cell r="G1855"/>
        </row>
        <row r="1856">
          <cell r="C1856" t="str">
            <v>PL88028-22 POLOLOCK 3-FOLD CLOSING SLIDE 22''</v>
          </cell>
          <cell r="D1856" t="str">
            <v>15PAIRS/CTN</v>
          </cell>
          <cell r="E1856">
            <v>450</v>
          </cell>
          <cell r="F1856"/>
          <cell r="G1856"/>
        </row>
        <row r="1857">
          <cell r="C1857"/>
          <cell r="D1857"/>
          <cell r="E1857"/>
          <cell r="F1857"/>
          <cell r="G1857"/>
        </row>
        <row r="1858">
          <cell r="C1858" t="str">
            <v>PL88093-1 3-FOLD SOFT CLOSING SLIDE MATTE BLACK 12"</v>
          </cell>
          <cell r="D1858" t="str">
            <v>15PAIRS/CTN</v>
          </cell>
          <cell r="E1858">
            <v>216</v>
          </cell>
          <cell r="F1858"/>
          <cell r="G1858" t="str">
            <v>LESS 20%</v>
          </cell>
        </row>
        <row r="1859">
          <cell r="C1859" t="str">
            <v>PL88093-2 3-FOLD SOFT CLOSING SLIDE MATTE BLACK 14"</v>
          </cell>
          <cell r="D1859" t="str">
            <v>15PAIRS/CTN</v>
          </cell>
          <cell r="E1859">
            <v>238</v>
          </cell>
          <cell r="F1859"/>
          <cell r="G1859"/>
        </row>
        <row r="1860">
          <cell r="C1860" t="str">
            <v>PL88093-3 3-FOLD SOFT CLOSING SLIDE MATTE BLACK 16"</v>
          </cell>
          <cell r="D1860" t="str">
            <v>15PAIRS/CTN</v>
          </cell>
          <cell r="E1860">
            <v>260</v>
          </cell>
          <cell r="F1860"/>
          <cell r="G1860"/>
        </row>
        <row r="1861">
          <cell r="C1861" t="str">
            <v>PL88093-4 3-FOLD SOFT CLOSING SLIDE MATTE BLACK 18"</v>
          </cell>
          <cell r="D1861" t="str">
            <v>15PAIRS/CTN</v>
          </cell>
          <cell r="E1861">
            <v>282</v>
          </cell>
          <cell r="F1861"/>
          <cell r="G1861"/>
        </row>
        <row r="1862">
          <cell r="C1862" t="str">
            <v>PL88093-5 3-FOLD SOFT CLOSING SLIDE MATTE BLACK 20"</v>
          </cell>
          <cell r="D1862" t="str">
            <v>15PAIRS/CTN</v>
          </cell>
          <cell r="E1862">
            <v>304</v>
          </cell>
          <cell r="F1862"/>
          <cell r="G1862"/>
        </row>
        <row r="1863">
          <cell r="C1863" t="str">
            <v>PL88093-6 3-FOLD SOFT CLOSING SLIDE MATTE BLACK 22"</v>
          </cell>
          <cell r="D1863" t="str">
            <v>15PAIRS/CTN</v>
          </cell>
          <cell r="E1863">
            <v>326</v>
          </cell>
          <cell r="F1863"/>
          <cell r="G1863"/>
        </row>
        <row r="1864">
          <cell r="C1864" t="str">
            <v>PL88093-7 3-FOLD SOFT CLOSING SLIDE MATTE BLACK 24"</v>
          </cell>
          <cell r="D1864" t="str">
            <v>15PAIRS/CTN</v>
          </cell>
          <cell r="E1864">
            <v>344</v>
          </cell>
          <cell r="F1864"/>
          <cell r="G1864"/>
        </row>
        <row r="1865">
          <cell r="C1865"/>
          <cell r="D1865"/>
          <cell r="E1865"/>
          <cell r="F1865"/>
          <cell r="G1865"/>
        </row>
        <row r="1866">
          <cell r="C1866" t="str">
            <v>PL88090-1 POLOLOCK DRAWER SLIDE BALL BEARING THREE-FOLD BLACK 10"</v>
          </cell>
          <cell r="D1866" t="str">
            <v>15PAIRS/CTN</v>
          </cell>
          <cell r="E1866">
            <v>168</v>
          </cell>
          <cell r="F1866"/>
          <cell r="G1866" t="str">
            <v>LESS 20%</v>
          </cell>
        </row>
        <row r="1867">
          <cell r="C1867" t="str">
            <v>PL88090-2 POLOLOCK DRAWER SLIDE BALL BEARING THREE-FOLD BLACK 12"</v>
          </cell>
          <cell r="D1867" t="str">
            <v>15PAIRS/CTN</v>
          </cell>
          <cell r="E1867">
            <v>204</v>
          </cell>
          <cell r="F1867"/>
          <cell r="G1867"/>
        </row>
        <row r="1868">
          <cell r="C1868" t="str">
            <v>PL88090-3 POLOLOCK DRAWER SLIDE BALL BEARING THREE-FOLD BLACK 14"</v>
          </cell>
          <cell r="D1868" t="str">
            <v>15PAIRS/CTN</v>
          </cell>
          <cell r="E1868">
            <v>232</v>
          </cell>
          <cell r="F1868"/>
          <cell r="G1868"/>
        </row>
        <row r="1869">
          <cell r="C1869"/>
          <cell r="D1869"/>
          <cell r="E1869"/>
          <cell r="F1869"/>
          <cell r="G1869"/>
          <cell r="H1869"/>
        </row>
        <row r="1870">
          <cell r="C1870"/>
          <cell r="D1870" t="str">
            <v>DESCRIPTION</v>
          </cell>
          <cell r="E1870" t="str">
            <v>PRICE</v>
          </cell>
          <cell r="F1870" t="str">
            <v>VOLUME LESS</v>
          </cell>
          <cell r="G1870" t="str">
            <v>REGULAR
LESS</v>
          </cell>
          <cell r="H1870"/>
        </row>
        <row r="1871">
          <cell r="C1871" t="str">
            <v>PL88090-4 POLOLOCK DRAWER SLIDE BALL BEARING THREE-FOLD BLACK 16"</v>
          </cell>
          <cell r="D1871" t="str">
            <v>15PAIRS/CTN</v>
          </cell>
          <cell r="E1871">
            <v>264</v>
          </cell>
          <cell r="F1871"/>
          <cell r="G1871" t="str">
            <v>LESS 20%</v>
          </cell>
        </row>
        <row r="1872">
          <cell r="C1872" t="str">
            <v>PL88090-5 POLOLOCK DRAWER SLIDE BALL BEARING THREE-FOLD BLACK 18"</v>
          </cell>
          <cell r="D1872" t="str">
            <v>15PAIRS/CTN</v>
          </cell>
          <cell r="E1872">
            <v>296</v>
          </cell>
          <cell r="F1872"/>
          <cell r="G1872"/>
        </row>
        <row r="1873">
          <cell r="C1873" t="str">
            <v>PL88090-6 POLOLOCK DRAWER SLIDE BALL BEARING THREE-FOLD BLACK 20"</v>
          </cell>
          <cell r="D1873" t="str">
            <v>15PAIRS/CTN</v>
          </cell>
          <cell r="E1873">
            <v>324</v>
          </cell>
          <cell r="F1873"/>
          <cell r="G1873"/>
        </row>
        <row r="1874">
          <cell r="C1874" t="str">
            <v>PL88090-7 POLOLOCK DRAWER SLIDE BALL BEARING THREE-FOLD BLACK 22"</v>
          </cell>
          <cell r="D1874" t="str">
            <v>15PAIRS/CTN</v>
          </cell>
          <cell r="E1874">
            <v>356</v>
          </cell>
          <cell r="F1874"/>
          <cell r="G1874"/>
        </row>
        <row r="1875">
          <cell r="C1875" t="str">
            <v>PL88090-8 POLOLOCK DRAWER SLIDE BALL BEARING THREE-FOLD BLACK 24"</v>
          </cell>
          <cell r="D1875" t="str">
            <v>15PAIRS/CTN</v>
          </cell>
          <cell r="E1875">
            <v>384</v>
          </cell>
          <cell r="F1875"/>
          <cell r="G1875" t="str">
            <v>LESS 20%</v>
          </cell>
        </row>
        <row r="1876">
          <cell r="C1876" t="str">
            <v>PL88091-1 10" POLOLOCK THREE- FOLD STEEL BALL MUTE SLIDE RAIL SILVER</v>
          </cell>
          <cell r="D1876" t="str">
            <v>15PAIR/CTN</v>
          </cell>
          <cell r="E1876">
            <v>95</v>
          </cell>
          <cell r="F1876"/>
          <cell r="G1876"/>
        </row>
        <row r="1877">
          <cell r="C1877" t="str">
            <v>PL88091-2 12" POLOLOCK THREE- FOLD STEEL BALL MUTE SLIDE RAIL SILVER</v>
          </cell>
          <cell r="D1877" t="str">
            <v>15PAIR/CTN</v>
          </cell>
          <cell r="E1877">
            <v>96</v>
          </cell>
          <cell r="F1877"/>
          <cell r="G1877"/>
        </row>
        <row r="1878">
          <cell r="C1878" t="str">
            <v>PL88091-3 14"POLOLOCK THREE- FOLD STEEL BALL MUTE SLIDE RAIL SILVER</v>
          </cell>
          <cell r="D1878" t="str">
            <v>15PAIR/CTN</v>
          </cell>
          <cell r="E1878">
            <v>114</v>
          </cell>
          <cell r="F1878"/>
          <cell r="G1878"/>
        </row>
        <row r="1879">
          <cell r="C1879" t="str">
            <v>PL88091- 4 16"POLOLOCK THREE- FOLD STEEL BALL MUTE SLIDE RAIL SILVER</v>
          </cell>
          <cell r="D1879" t="str">
            <v>15PAIR/CTN</v>
          </cell>
          <cell r="E1879">
            <v>130</v>
          </cell>
          <cell r="F1879"/>
          <cell r="G1879"/>
        </row>
        <row r="1880">
          <cell r="C1880" t="str">
            <v>PL88091-5 18"POLOLOCK THREE- FOLD STEEL BALL MUTE SLIDE RAIL SILVER</v>
          </cell>
          <cell r="D1880" t="str">
            <v>15PAIR/CTN</v>
          </cell>
          <cell r="E1880">
            <v>170</v>
          </cell>
          <cell r="F1880"/>
          <cell r="G1880"/>
        </row>
        <row r="1881">
          <cell r="C1881" t="str">
            <v>PL88091-6 20"POLOLOCK THREE- FOLD STEEL BALL MUTE SLIDE RAIL SILVER</v>
          </cell>
          <cell r="D1881" t="str">
            <v>15PAIR/CTN</v>
          </cell>
          <cell r="E1881">
            <v>185</v>
          </cell>
          <cell r="F1881"/>
          <cell r="G1881"/>
        </row>
        <row r="1882">
          <cell r="C1882" t="str">
            <v>PL88091-7 22" POLOLOCK THREE- FOLD STEEL BALL MUTE SLIDE RAIL SILVER</v>
          </cell>
          <cell r="D1882" t="str">
            <v>15PAIR/CTN</v>
          </cell>
          <cell r="E1882">
            <v>210</v>
          </cell>
          <cell r="F1882"/>
          <cell r="G1882"/>
        </row>
        <row r="1883">
          <cell r="C1883"/>
          <cell r="D1883"/>
          <cell r="E1883"/>
          <cell r="F1883"/>
          <cell r="G1883"/>
          <cell r="H1883"/>
        </row>
        <row r="1884">
          <cell r="C1884" t="str">
            <v>PL88100-1 POLOLOCK SCREEN DOOR CLOSER BROWN</v>
          </cell>
          <cell r="D1884" t="str">
            <v>24PCS/CTN</v>
          </cell>
          <cell r="E1884">
            <v>240</v>
          </cell>
          <cell r="F1884"/>
          <cell r="G1884"/>
          <cell r="H1884"/>
        </row>
        <row r="1885">
          <cell r="C1885" t="str">
            <v/>
          </cell>
          <cell r="D1885"/>
          <cell r="E1885"/>
          <cell r="F1885"/>
          <cell r="G1885"/>
          <cell r="H1885"/>
        </row>
        <row r="1886">
          <cell r="C1886" t="str">
            <v>PL88100-2 POLOLOCK SCREEN DOOR CLOSER SILVER</v>
          </cell>
          <cell r="D1886" t="str">
            <v>24PCS/CTN</v>
          </cell>
          <cell r="E1886">
            <v>240</v>
          </cell>
          <cell r="F1886"/>
          <cell r="G1886"/>
          <cell r="H1886"/>
        </row>
        <row r="1887">
          <cell r="C1887" t="str">
            <v/>
          </cell>
          <cell r="D1887"/>
          <cell r="E1887"/>
          <cell r="F1887"/>
          <cell r="G1887"/>
          <cell r="H1887"/>
        </row>
        <row r="1888">
          <cell r="C1888"/>
          <cell r="D1888"/>
          <cell r="E1888"/>
          <cell r="F1888"/>
          <cell r="G1888"/>
          <cell r="H1888"/>
        </row>
        <row r="1889">
          <cell r="C1889" t="str">
            <v>PL88101-1 (PL88024-2) 20-45KG POLOLOCK DOOR CLOSER SILVER</v>
          </cell>
          <cell r="D1889" t="str">
            <v>10PCS/CTN</v>
          </cell>
          <cell r="E1889">
            <v>880</v>
          </cell>
          <cell r="F1889"/>
          <cell r="G1889"/>
          <cell r="H1889"/>
        </row>
        <row r="1890">
          <cell r="C1890"/>
          <cell r="D1890"/>
          <cell r="E1890"/>
          <cell r="F1890"/>
          <cell r="G1890"/>
          <cell r="H1890"/>
        </row>
        <row r="1891">
          <cell r="C1891"/>
          <cell r="D1891" t="str">
            <v>DESCRIPTION</v>
          </cell>
          <cell r="E1891" t="str">
            <v>PRICE</v>
          </cell>
          <cell r="F1891" t="str">
            <v>VOLUME LESS</v>
          </cell>
          <cell r="G1891" t="str">
            <v>REGULAR
LESS</v>
          </cell>
          <cell r="H1891"/>
        </row>
        <row r="1892">
          <cell r="C1892" t="str">
            <v>PL88101-2 (PL88024-4) 40-65KG POLOLOCK DOOR CLOSER SILVER</v>
          </cell>
          <cell r="D1892" t="str">
            <v>10PCS/CTN</v>
          </cell>
          <cell r="E1892">
            <v>1070</v>
          </cell>
          <cell r="F1892"/>
          <cell r="G1892"/>
          <cell r="H1892"/>
        </row>
        <row r="1893">
          <cell r="C1893" t="str">
            <v>PL88101-3 20-45KG POLOLOCK DOOR CLOSER BROWN</v>
          </cell>
          <cell r="D1893" t="str">
            <v>10PCS/CTN</v>
          </cell>
          <cell r="E1893">
            <v>880</v>
          </cell>
          <cell r="F1893"/>
          <cell r="G1893"/>
          <cell r="H1893"/>
        </row>
        <row r="1894">
          <cell r="C1894" t="str">
            <v>PL88101-4 40-65KG POLOLOCK DOOR CLOSER BROWN</v>
          </cell>
          <cell r="D1894" t="str">
            <v>10PCS/CTN</v>
          </cell>
          <cell r="E1894">
            <v>1070</v>
          </cell>
          <cell r="F1894"/>
          <cell r="G1894"/>
          <cell r="H1894"/>
        </row>
        <row r="1895">
          <cell r="C1895"/>
          <cell r="D1895"/>
          <cell r="E1895"/>
          <cell r="F1895"/>
          <cell r="G1895"/>
          <cell r="H1895"/>
        </row>
        <row r="1896">
          <cell r="C1896" t="str">
            <v>PL88110-1 4X5 POLOLOCK SHELF BRACKET</v>
          </cell>
          <cell r="D1896" t="str">
            <v>12DP/CTN</v>
          </cell>
          <cell r="E1896">
            <v>260</v>
          </cell>
          <cell r="F1896"/>
          <cell r="G1896"/>
          <cell r="H1896"/>
        </row>
        <row r="1897">
          <cell r="C1897" t="str">
            <v>PL88110-2 5X6 POLOLOCK SHELF BRACKET</v>
          </cell>
          <cell r="D1897" t="str">
            <v>12DP/CTN</v>
          </cell>
          <cell r="E1897">
            <v>280</v>
          </cell>
          <cell r="F1897"/>
          <cell r="G1897"/>
          <cell r="H1897"/>
        </row>
        <row r="1898">
          <cell r="C1898" t="str">
            <v>PL88110-3 6X8 POLOLOCK SHELF BRACKET</v>
          </cell>
          <cell r="D1898" t="str">
            <v>12DP/CTN</v>
          </cell>
          <cell r="E1898">
            <v>320</v>
          </cell>
          <cell r="F1898"/>
          <cell r="G1898"/>
          <cell r="H1898"/>
        </row>
        <row r="1899">
          <cell r="C1899" t="str">
            <v>PL88110-4 8X10 POLOLOCK SHELF BRACKET</v>
          </cell>
          <cell r="D1899" t="str">
            <v>6DP/CTN</v>
          </cell>
          <cell r="E1899">
            <v>390</v>
          </cell>
          <cell r="F1899"/>
          <cell r="G1899"/>
          <cell r="H1899"/>
        </row>
        <row r="1900">
          <cell r="C1900" t="str">
            <v>PL88110-5 10X12 POLOLOCK SHELF BRACKET</v>
          </cell>
          <cell r="D1900" t="str">
            <v>6DP/CTN</v>
          </cell>
          <cell r="E1900">
            <v>450</v>
          </cell>
          <cell r="F1900"/>
          <cell r="G1900"/>
          <cell r="H1900"/>
        </row>
        <row r="1901">
          <cell r="C1901" t="str">
            <v>PL88110-6 12X14 POLOLOCK SHELF BRACKET</v>
          </cell>
          <cell r="D1901" t="str">
            <v>6DP/CTN</v>
          </cell>
          <cell r="E1901">
            <v>550</v>
          </cell>
          <cell r="F1901"/>
          <cell r="G1901"/>
          <cell r="H1901"/>
        </row>
        <row r="1902">
          <cell r="C1902"/>
          <cell r="D1902"/>
          <cell r="E1902"/>
          <cell r="F1902"/>
          <cell r="G1902"/>
          <cell r="H1902"/>
        </row>
        <row r="1903">
          <cell r="C1903"/>
          <cell r="D1903"/>
          <cell r="E1903"/>
          <cell r="F1903"/>
          <cell r="G1903"/>
          <cell r="H1903"/>
        </row>
        <row r="1904">
          <cell r="C1904"/>
          <cell r="D1904"/>
          <cell r="E1904"/>
          <cell r="F1904"/>
          <cell r="G1904"/>
          <cell r="H1904"/>
        </row>
        <row r="1905">
          <cell r="C1905"/>
          <cell r="D1905" t="str">
            <v>DESCRIPTION</v>
          </cell>
          <cell r="E1905" t="str">
            <v>PRICE</v>
          </cell>
          <cell r="F1905" t="str">
            <v>VOLUME LESS</v>
          </cell>
          <cell r="G1905" t="str">
            <v>REGULAR
LESS</v>
          </cell>
          <cell r="H1905"/>
        </row>
        <row r="1906">
          <cell r="C1906"/>
          <cell r="D1906"/>
          <cell r="E1906"/>
          <cell r="F1906"/>
          <cell r="G1906"/>
          <cell r="H1906"/>
        </row>
        <row r="1907">
          <cell r="C1907" t="str">
            <v>PL88240 (PL88010) (808 TYPE) POLOLOCK DRAWER LOCK</v>
          </cell>
          <cell r="D1907" t="str">
            <v>300PCS/CTN</v>
          </cell>
          <cell r="E1907">
            <v>69</v>
          </cell>
          <cell r="F1907"/>
          <cell r="G1907"/>
          <cell r="H1907"/>
        </row>
        <row r="1908">
          <cell r="C1908" t="str">
            <v>PL880241 (PL88011) (GOLD) POLOLOCK DRAWER LOCK</v>
          </cell>
          <cell r="D1908" t="str">
            <v>240PCS/CTN</v>
          </cell>
          <cell r="E1908">
            <v>120</v>
          </cell>
          <cell r="F1908"/>
          <cell r="G1908"/>
          <cell r="H1908"/>
        </row>
        <row r="1909">
          <cell r="C1909"/>
          <cell r="D1909"/>
          <cell r="E1909"/>
          <cell r="F1909"/>
          <cell r="G1909"/>
        </row>
        <row r="1910">
          <cell r="C1910" t="str">
            <v>PL88260-1 B/P CUP HOOK 1/2''</v>
          </cell>
          <cell r="D1910" t="str">
            <v>100GRS/CTN</v>
          </cell>
          <cell r="E1910">
            <v>85</v>
          </cell>
          <cell r="F1910"/>
          <cell r="G1910"/>
        </row>
        <row r="1911">
          <cell r="C1911" t="str">
            <v>PL88260-2 B/P CUP HOOK 5/8 ''</v>
          </cell>
          <cell r="D1911" t="str">
            <v>100GRS/CTN</v>
          </cell>
          <cell r="E1911">
            <v>95</v>
          </cell>
          <cell r="F1911"/>
          <cell r="G1911"/>
        </row>
        <row r="1912">
          <cell r="C1912" t="str">
            <v>PL88260-3 B/P CUP HOOK 3/4''</v>
          </cell>
          <cell r="D1912" t="str">
            <v>50GRS/CTN</v>
          </cell>
          <cell r="E1912">
            <v>110</v>
          </cell>
          <cell r="F1912"/>
          <cell r="G1912"/>
        </row>
        <row r="1913">
          <cell r="C1913" t="str">
            <v>PL88260-4 B/P CUP HOOK 7/8''</v>
          </cell>
          <cell r="D1913" t="str">
            <v>50GRS/CTN</v>
          </cell>
          <cell r="E1913">
            <v>130</v>
          </cell>
          <cell r="F1913"/>
          <cell r="G1913"/>
        </row>
        <row r="1914">
          <cell r="C1914" t="str">
            <v>PL88260-5 B/P CUP HOOK 1''</v>
          </cell>
          <cell r="D1914" t="str">
            <v>45GRS/CTN</v>
          </cell>
          <cell r="E1914">
            <v>150</v>
          </cell>
          <cell r="F1914"/>
          <cell r="G1914"/>
        </row>
        <row r="1915">
          <cell r="C1915" t="str">
            <v>PL88260-6 B/P CUP HOOK 1-1/4 ''</v>
          </cell>
          <cell r="D1915" t="str">
            <v>32GRS/CTN</v>
          </cell>
          <cell r="E1915">
            <v>190</v>
          </cell>
          <cell r="F1915"/>
          <cell r="G1915"/>
        </row>
        <row r="1916">
          <cell r="C1916" t="str">
            <v>PL88260-7 B/P CUP HOOK 1-1/2''</v>
          </cell>
          <cell r="D1916" t="str">
            <v>18GRS/CTN</v>
          </cell>
          <cell r="E1916">
            <v>250</v>
          </cell>
          <cell r="F1916"/>
          <cell r="G1916"/>
        </row>
        <row r="1917">
          <cell r="C1917" t="str">
            <v>PL88260-8 B/P CUP HOOK 2''</v>
          </cell>
          <cell r="D1917" t="str">
            <v>12GRS/CTN</v>
          </cell>
          <cell r="E1917">
            <v>390</v>
          </cell>
          <cell r="F1917"/>
          <cell r="G1917"/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info@fireflyelectric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27510-E0DF-46B7-8133-82A8CA643171}">
  <dimension ref="A1:C339"/>
  <sheetViews>
    <sheetView workbookViewId="0">
      <selection activeCell="B156" sqref="B156"/>
    </sheetView>
  </sheetViews>
  <sheetFormatPr defaultRowHeight="14.4" x14ac:dyDescent="0.3"/>
  <cols>
    <col min="2" max="2" width="76.21875" bestFit="1" customWidth="1"/>
    <col min="3" max="3" width="10.88671875" bestFit="1" customWidth="1"/>
  </cols>
  <sheetData>
    <row r="1" spans="1:3" x14ac:dyDescent="0.3">
      <c r="A1" s="12" t="s">
        <v>1</v>
      </c>
      <c r="B1" s="12" t="s">
        <v>2</v>
      </c>
      <c r="C1" s="12" t="s">
        <v>434</v>
      </c>
    </row>
    <row r="2" spans="1:3" x14ac:dyDescent="0.3">
      <c r="A2">
        <v>1</v>
      </c>
      <c r="B2" t="s">
        <v>4</v>
      </c>
      <c r="C2">
        <v>1</v>
      </c>
    </row>
    <row r="3" spans="1:3" x14ac:dyDescent="0.3">
      <c r="A3">
        <v>2</v>
      </c>
      <c r="B3" t="s">
        <v>5</v>
      </c>
      <c r="C3">
        <v>2</v>
      </c>
    </row>
    <row r="4" spans="1:3" x14ac:dyDescent="0.3">
      <c r="A4">
        <v>3</v>
      </c>
      <c r="B4" t="s">
        <v>6</v>
      </c>
      <c r="C4">
        <v>3</v>
      </c>
    </row>
    <row r="5" spans="1:3" x14ac:dyDescent="0.3">
      <c r="A5">
        <v>4</v>
      </c>
      <c r="B5" t="s">
        <v>7</v>
      </c>
      <c r="C5">
        <v>4</v>
      </c>
    </row>
    <row r="6" spans="1:3" x14ac:dyDescent="0.3">
      <c r="A6">
        <v>5</v>
      </c>
      <c r="B6" t="s">
        <v>8</v>
      </c>
      <c r="C6">
        <v>5</v>
      </c>
    </row>
    <row r="7" spans="1:3" x14ac:dyDescent="0.3">
      <c r="A7">
        <v>6</v>
      </c>
      <c r="B7" t="s">
        <v>3616</v>
      </c>
      <c r="C7">
        <v>6</v>
      </c>
    </row>
    <row r="8" spans="1:3" x14ac:dyDescent="0.3">
      <c r="A8">
        <v>7</v>
      </c>
      <c r="B8" t="s">
        <v>848</v>
      </c>
      <c r="C8">
        <v>7</v>
      </c>
    </row>
    <row r="9" spans="1:3" x14ac:dyDescent="0.3">
      <c r="A9">
        <v>8</v>
      </c>
      <c r="B9" t="s">
        <v>9</v>
      </c>
      <c r="C9">
        <v>8</v>
      </c>
    </row>
    <row r="10" spans="1:3" x14ac:dyDescent="0.3">
      <c r="A10">
        <v>9</v>
      </c>
      <c r="B10" t="s">
        <v>10</v>
      </c>
      <c r="C10">
        <v>9</v>
      </c>
    </row>
    <row r="11" spans="1:3" x14ac:dyDescent="0.3">
      <c r="A11">
        <v>10</v>
      </c>
      <c r="B11" t="s">
        <v>11</v>
      </c>
      <c r="C11">
        <v>10</v>
      </c>
    </row>
    <row r="12" spans="1:3" x14ac:dyDescent="0.3">
      <c r="A12">
        <v>11</v>
      </c>
      <c r="B12" t="s">
        <v>12</v>
      </c>
      <c r="C12">
        <v>11</v>
      </c>
    </row>
    <row r="13" spans="1:3" x14ac:dyDescent="0.3">
      <c r="A13">
        <v>12</v>
      </c>
      <c r="B13" t="s">
        <v>13</v>
      </c>
      <c r="C13">
        <v>12</v>
      </c>
    </row>
    <row r="14" spans="1:3" x14ac:dyDescent="0.3">
      <c r="A14">
        <v>13</v>
      </c>
      <c r="B14" t="s">
        <v>14</v>
      </c>
      <c r="C14">
        <v>13</v>
      </c>
    </row>
    <row r="15" spans="1:3" x14ac:dyDescent="0.3">
      <c r="A15">
        <v>14</v>
      </c>
      <c r="B15" t="s">
        <v>15</v>
      </c>
      <c r="C15">
        <v>14</v>
      </c>
    </row>
    <row r="16" spans="1:3" x14ac:dyDescent="0.3">
      <c r="A16">
        <v>15</v>
      </c>
      <c r="B16" t="s">
        <v>16</v>
      </c>
      <c r="C16">
        <v>15</v>
      </c>
    </row>
    <row r="17" spans="1:3" x14ac:dyDescent="0.3">
      <c r="A17">
        <v>16</v>
      </c>
      <c r="B17" t="s">
        <v>17</v>
      </c>
      <c r="C17">
        <v>16</v>
      </c>
    </row>
    <row r="18" spans="1:3" x14ac:dyDescent="0.3">
      <c r="A18">
        <v>17</v>
      </c>
      <c r="B18" t="s">
        <v>18</v>
      </c>
      <c r="C18">
        <v>17</v>
      </c>
    </row>
    <row r="19" spans="1:3" x14ac:dyDescent="0.3">
      <c r="A19">
        <v>18</v>
      </c>
      <c r="B19" t="s">
        <v>19</v>
      </c>
      <c r="C19">
        <v>18</v>
      </c>
    </row>
    <row r="20" spans="1:3" x14ac:dyDescent="0.3">
      <c r="A20">
        <v>19</v>
      </c>
      <c r="B20" t="s">
        <v>20</v>
      </c>
      <c r="C20">
        <v>19</v>
      </c>
    </row>
    <row r="21" spans="1:3" x14ac:dyDescent="0.3">
      <c r="A21">
        <v>20</v>
      </c>
      <c r="B21" t="s">
        <v>21</v>
      </c>
      <c r="C21">
        <v>20</v>
      </c>
    </row>
    <row r="22" spans="1:3" x14ac:dyDescent="0.3">
      <c r="A22">
        <v>21</v>
      </c>
      <c r="B22" t="s">
        <v>22</v>
      </c>
      <c r="C22">
        <v>21</v>
      </c>
    </row>
    <row r="23" spans="1:3" x14ac:dyDescent="0.3">
      <c r="A23">
        <v>22</v>
      </c>
      <c r="B23" t="s">
        <v>23</v>
      </c>
      <c r="C23">
        <v>22</v>
      </c>
    </row>
    <row r="24" spans="1:3" x14ac:dyDescent="0.3">
      <c r="A24">
        <v>23</v>
      </c>
      <c r="B24" t="s">
        <v>24</v>
      </c>
      <c r="C24">
        <v>23</v>
      </c>
    </row>
    <row r="25" spans="1:3" x14ac:dyDescent="0.3">
      <c r="A25">
        <v>24</v>
      </c>
      <c r="B25" t="s">
        <v>25</v>
      </c>
      <c r="C25">
        <v>24</v>
      </c>
    </row>
    <row r="26" spans="1:3" x14ac:dyDescent="0.3">
      <c r="A26">
        <v>25</v>
      </c>
      <c r="B26" t="s">
        <v>26</v>
      </c>
      <c r="C26">
        <v>25</v>
      </c>
    </row>
    <row r="27" spans="1:3" x14ac:dyDescent="0.3">
      <c r="A27">
        <v>26</v>
      </c>
      <c r="B27" t="s">
        <v>27</v>
      </c>
      <c r="C27">
        <v>26</v>
      </c>
    </row>
    <row r="28" spans="1:3" x14ac:dyDescent="0.3">
      <c r="A28">
        <v>27</v>
      </c>
      <c r="B28" t="s">
        <v>28</v>
      </c>
      <c r="C28">
        <v>27</v>
      </c>
    </row>
    <row r="29" spans="1:3" x14ac:dyDescent="0.3">
      <c r="A29">
        <v>28</v>
      </c>
      <c r="B29" t="s">
        <v>29</v>
      </c>
      <c r="C29">
        <v>28</v>
      </c>
    </row>
    <row r="30" spans="1:3" x14ac:dyDescent="0.3">
      <c r="A30">
        <v>29</v>
      </c>
      <c r="B30" t="s">
        <v>30</v>
      </c>
      <c r="C30">
        <v>29</v>
      </c>
    </row>
    <row r="31" spans="1:3" x14ac:dyDescent="0.3">
      <c r="A31">
        <v>30</v>
      </c>
      <c r="B31" t="s">
        <v>31</v>
      </c>
      <c r="C31">
        <v>30</v>
      </c>
    </row>
    <row r="32" spans="1:3" x14ac:dyDescent="0.3">
      <c r="A32">
        <v>31</v>
      </c>
      <c r="B32" t="s">
        <v>32</v>
      </c>
      <c r="C32">
        <v>31</v>
      </c>
    </row>
    <row r="33" spans="1:3" x14ac:dyDescent="0.3">
      <c r="A33">
        <v>32</v>
      </c>
      <c r="B33" t="s">
        <v>33</v>
      </c>
      <c r="C33">
        <v>32</v>
      </c>
    </row>
    <row r="34" spans="1:3" x14ac:dyDescent="0.3">
      <c r="A34">
        <v>33</v>
      </c>
      <c r="B34" t="s">
        <v>34</v>
      </c>
      <c r="C34">
        <v>33</v>
      </c>
    </row>
    <row r="35" spans="1:3" x14ac:dyDescent="0.3">
      <c r="A35">
        <v>34</v>
      </c>
      <c r="B35" t="s">
        <v>35</v>
      </c>
      <c r="C35">
        <v>34</v>
      </c>
    </row>
    <row r="36" spans="1:3" x14ac:dyDescent="0.3">
      <c r="A36">
        <v>35</v>
      </c>
      <c r="B36" t="s">
        <v>36</v>
      </c>
      <c r="C36">
        <v>35</v>
      </c>
    </row>
    <row r="37" spans="1:3" x14ac:dyDescent="0.3">
      <c r="A37">
        <v>36</v>
      </c>
      <c r="B37" t="s">
        <v>37</v>
      </c>
      <c r="C37">
        <v>36</v>
      </c>
    </row>
    <row r="38" spans="1:3" x14ac:dyDescent="0.3">
      <c r="A38">
        <v>37</v>
      </c>
      <c r="B38" t="s">
        <v>38</v>
      </c>
      <c r="C38">
        <v>37</v>
      </c>
    </row>
    <row r="39" spans="1:3" x14ac:dyDescent="0.3">
      <c r="A39">
        <v>38</v>
      </c>
      <c r="B39" t="s">
        <v>39</v>
      </c>
      <c r="C39">
        <v>38</v>
      </c>
    </row>
    <row r="40" spans="1:3" x14ac:dyDescent="0.3">
      <c r="A40">
        <v>39</v>
      </c>
      <c r="B40" t="s">
        <v>40</v>
      </c>
      <c r="C40">
        <v>39</v>
      </c>
    </row>
    <row r="41" spans="1:3" x14ac:dyDescent="0.3">
      <c r="A41">
        <v>40</v>
      </c>
      <c r="B41" t="s">
        <v>41</v>
      </c>
      <c r="C41">
        <v>40</v>
      </c>
    </row>
    <row r="42" spans="1:3" x14ac:dyDescent="0.3">
      <c r="A42">
        <v>41</v>
      </c>
      <c r="B42" t="s">
        <v>42</v>
      </c>
      <c r="C42">
        <v>41</v>
      </c>
    </row>
    <row r="43" spans="1:3" x14ac:dyDescent="0.3">
      <c r="A43">
        <v>42</v>
      </c>
      <c r="B43" t="s">
        <v>43</v>
      </c>
      <c r="C43">
        <v>42</v>
      </c>
    </row>
    <row r="44" spans="1:3" x14ac:dyDescent="0.3">
      <c r="A44">
        <v>43</v>
      </c>
      <c r="B44" t="s">
        <v>44</v>
      </c>
      <c r="C44">
        <v>43</v>
      </c>
    </row>
    <row r="45" spans="1:3" x14ac:dyDescent="0.3">
      <c r="A45">
        <v>44</v>
      </c>
      <c r="B45" t="s">
        <v>45</v>
      </c>
      <c r="C45">
        <v>44</v>
      </c>
    </row>
    <row r="46" spans="1:3" x14ac:dyDescent="0.3">
      <c r="A46">
        <v>45</v>
      </c>
      <c r="B46" t="s">
        <v>46</v>
      </c>
      <c r="C46">
        <v>45</v>
      </c>
    </row>
    <row r="47" spans="1:3" x14ac:dyDescent="0.3">
      <c r="A47">
        <v>46</v>
      </c>
      <c r="B47" t="s">
        <v>47</v>
      </c>
      <c r="C47">
        <v>46</v>
      </c>
    </row>
    <row r="48" spans="1:3" x14ac:dyDescent="0.3">
      <c r="A48">
        <v>47</v>
      </c>
      <c r="B48" t="s">
        <v>48</v>
      </c>
      <c r="C48">
        <v>47</v>
      </c>
    </row>
    <row r="49" spans="1:3" x14ac:dyDescent="0.3">
      <c r="A49">
        <v>48</v>
      </c>
      <c r="B49" t="s">
        <v>49</v>
      </c>
      <c r="C49">
        <v>48</v>
      </c>
    </row>
    <row r="50" spans="1:3" x14ac:dyDescent="0.3">
      <c r="A50">
        <v>49</v>
      </c>
      <c r="B50" t="s">
        <v>50</v>
      </c>
      <c r="C50">
        <v>49</v>
      </c>
    </row>
    <row r="51" spans="1:3" x14ac:dyDescent="0.3">
      <c r="A51">
        <v>50</v>
      </c>
      <c r="B51" t="s">
        <v>51</v>
      </c>
      <c r="C51">
        <v>50</v>
      </c>
    </row>
    <row r="52" spans="1:3" x14ac:dyDescent="0.3">
      <c r="A52">
        <v>51</v>
      </c>
      <c r="B52" t="s">
        <v>52</v>
      </c>
      <c r="C52">
        <v>51</v>
      </c>
    </row>
    <row r="53" spans="1:3" x14ac:dyDescent="0.3">
      <c r="A53">
        <v>52</v>
      </c>
      <c r="B53" t="s">
        <v>53</v>
      </c>
      <c r="C53">
        <v>52</v>
      </c>
    </row>
    <row r="54" spans="1:3" x14ac:dyDescent="0.3">
      <c r="A54">
        <v>53</v>
      </c>
      <c r="B54" t="s">
        <v>54</v>
      </c>
      <c r="C54">
        <v>53</v>
      </c>
    </row>
    <row r="55" spans="1:3" x14ac:dyDescent="0.3">
      <c r="A55">
        <v>54</v>
      </c>
      <c r="B55" t="s">
        <v>55</v>
      </c>
      <c r="C55">
        <v>54</v>
      </c>
    </row>
    <row r="56" spans="1:3" x14ac:dyDescent="0.3">
      <c r="A56">
        <v>55</v>
      </c>
      <c r="B56" t="s">
        <v>56</v>
      </c>
      <c r="C56">
        <v>55</v>
      </c>
    </row>
    <row r="57" spans="1:3" x14ac:dyDescent="0.3">
      <c r="A57">
        <v>56</v>
      </c>
      <c r="B57" t="s">
        <v>57</v>
      </c>
      <c r="C57">
        <v>56</v>
      </c>
    </row>
    <row r="58" spans="1:3" x14ac:dyDescent="0.3">
      <c r="A58">
        <v>57</v>
      </c>
      <c r="B58" t="s">
        <v>58</v>
      </c>
      <c r="C58">
        <v>57</v>
      </c>
    </row>
    <row r="59" spans="1:3" x14ac:dyDescent="0.3">
      <c r="A59">
        <v>58</v>
      </c>
      <c r="B59" t="s">
        <v>59</v>
      </c>
      <c r="C59">
        <v>58</v>
      </c>
    </row>
    <row r="60" spans="1:3" x14ac:dyDescent="0.3">
      <c r="A60">
        <v>59</v>
      </c>
      <c r="B60" t="s">
        <v>60</v>
      </c>
      <c r="C60">
        <v>59</v>
      </c>
    </row>
    <row r="61" spans="1:3" x14ac:dyDescent="0.3">
      <c r="A61">
        <v>60</v>
      </c>
      <c r="B61" t="s">
        <v>61</v>
      </c>
      <c r="C61">
        <v>60</v>
      </c>
    </row>
    <row r="62" spans="1:3" x14ac:dyDescent="0.3">
      <c r="A62">
        <v>61</v>
      </c>
      <c r="B62" t="s">
        <v>62</v>
      </c>
      <c r="C62">
        <v>61</v>
      </c>
    </row>
    <row r="63" spans="1:3" x14ac:dyDescent="0.3">
      <c r="A63">
        <v>62</v>
      </c>
      <c r="B63" t="s">
        <v>63</v>
      </c>
      <c r="C63">
        <v>62</v>
      </c>
    </row>
    <row r="64" spans="1:3" x14ac:dyDescent="0.3">
      <c r="A64">
        <v>63</v>
      </c>
      <c r="B64" t="s">
        <v>64</v>
      </c>
      <c r="C64">
        <v>63</v>
      </c>
    </row>
    <row r="65" spans="1:3" x14ac:dyDescent="0.3">
      <c r="A65">
        <v>64</v>
      </c>
      <c r="B65" t="s">
        <v>65</v>
      </c>
      <c r="C65">
        <v>64</v>
      </c>
    </row>
    <row r="66" spans="1:3" x14ac:dyDescent="0.3">
      <c r="A66">
        <v>65</v>
      </c>
      <c r="B66" t="s">
        <v>66</v>
      </c>
      <c r="C66">
        <v>65</v>
      </c>
    </row>
    <row r="67" spans="1:3" x14ac:dyDescent="0.3">
      <c r="A67">
        <v>66</v>
      </c>
      <c r="B67" t="s">
        <v>67</v>
      </c>
      <c r="C67">
        <v>66</v>
      </c>
    </row>
    <row r="68" spans="1:3" x14ac:dyDescent="0.3">
      <c r="A68">
        <v>67</v>
      </c>
      <c r="B68" t="s">
        <v>68</v>
      </c>
      <c r="C68">
        <v>67</v>
      </c>
    </row>
    <row r="69" spans="1:3" x14ac:dyDescent="0.3">
      <c r="A69">
        <v>68</v>
      </c>
      <c r="B69" t="s">
        <v>69</v>
      </c>
      <c r="C69">
        <v>68</v>
      </c>
    </row>
    <row r="70" spans="1:3" x14ac:dyDescent="0.3">
      <c r="A70">
        <v>69</v>
      </c>
      <c r="B70" t="s">
        <v>70</v>
      </c>
      <c r="C70">
        <v>69</v>
      </c>
    </row>
    <row r="71" spans="1:3" x14ac:dyDescent="0.3">
      <c r="A71">
        <v>70</v>
      </c>
      <c r="B71" t="s">
        <v>71</v>
      </c>
      <c r="C71">
        <v>70</v>
      </c>
    </row>
    <row r="72" spans="1:3" x14ac:dyDescent="0.3">
      <c r="A72">
        <v>71</v>
      </c>
      <c r="B72" t="s">
        <v>72</v>
      </c>
      <c r="C72">
        <v>71</v>
      </c>
    </row>
    <row r="73" spans="1:3" x14ac:dyDescent="0.3">
      <c r="A73">
        <v>72</v>
      </c>
      <c r="B73" t="s">
        <v>73</v>
      </c>
      <c r="C73">
        <v>72</v>
      </c>
    </row>
    <row r="74" spans="1:3" x14ac:dyDescent="0.3">
      <c r="A74">
        <v>73</v>
      </c>
      <c r="B74" t="s">
        <v>74</v>
      </c>
      <c r="C74">
        <v>73</v>
      </c>
    </row>
    <row r="75" spans="1:3" x14ac:dyDescent="0.3">
      <c r="A75">
        <v>74</v>
      </c>
      <c r="B75" t="s">
        <v>75</v>
      </c>
      <c r="C75">
        <v>74</v>
      </c>
    </row>
    <row r="76" spans="1:3" x14ac:dyDescent="0.3">
      <c r="A76">
        <v>75</v>
      </c>
      <c r="B76" t="s">
        <v>76</v>
      </c>
      <c r="C76">
        <v>75</v>
      </c>
    </row>
    <row r="77" spans="1:3" x14ac:dyDescent="0.3">
      <c r="A77">
        <v>76</v>
      </c>
      <c r="B77" t="s">
        <v>77</v>
      </c>
      <c r="C77">
        <v>76</v>
      </c>
    </row>
    <row r="78" spans="1:3" x14ac:dyDescent="0.3">
      <c r="A78">
        <v>77</v>
      </c>
      <c r="B78" t="s">
        <v>78</v>
      </c>
      <c r="C78">
        <v>77</v>
      </c>
    </row>
    <row r="79" spans="1:3" x14ac:dyDescent="0.3">
      <c r="A79">
        <v>78</v>
      </c>
      <c r="B79" t="s">
        <v>79</v>
      </c>
      <c r="C79">
        <v>78</v>
      </c>
    </row>
    <row r="80" spans="1:3" x14ac:dyDescent="0.3">
      <c r="A80">
        <v>79</v>
      </c>
      <c r="B80" t="s">
        <v>80</v>
      </c>
      <c r="C80">
        <v>79</v>
      </c>
    </row>
    <row r="81" spans="1:3" x14ac:dyDescent="0.3">
      <c r="A81">
        <v>80</v>
      </c>
      <c r="B81" t="s">
        <v>81</v>
      </c>
      <c r="C81">
        <v>80</v>
      </c>
    </row>
    <row r="82" spans="1:3" x14ac:dyDescent="0.3">
      <c r="A82">
        <v>81</v>
      </c>
      <c r="B82" t="s">
        <v>82</v>
      </c>
      <c r="C82">
        <v>81</v>
      </c>
    </row>
    <row r="83" spans="1:3" x14ac:dyDescent="0.3">
      <c r="A83">
        <v>82</v>
      </c>
      <c r="B83" t="s">
        <v>83</v>
      </c>
      <c r="C83">
        <v>82</v>
      </c>
    </row>
    <row r="84" spans="1:3" x14ac:dyDescent="0.3">
      <c r="A84">
        <v>83</v>
      </c>
      <c r="B84" t="s">
        <v>84</v>
      </c>
      <c r="C84">
        <v>83</v>
      </c>
    </row>
    <row r="85" spans="1:3" x14ac:dyDescent="0.3">
      <c r="A85">
        <v>84</v>
      </c>
      <c r="B85" t="s">
        <v>85</v>
      </c>
      <c r="C85">
        <v>84</v>
      </c>
    </row>
    <row r="86" spans="1:3" x14ac:dyDescent="0.3">
      <c r="A86">
        <v>85</v>
      </c>
      <c r="B86" t="s">
        <v>86</v>
      </c>
      <c r="C86">
        <v>85</v>
      </c>
    </row>
    <row r="87" spans="1:3" x14ac:dyDescent="0.3">
      <c r="A87">
        <v>86</v>
      </c>
      <c r="B87" t="s">
        <v>87</v>
      </c>
      <c r="C87">
        <v>86</v>
      </c>
    </row>
    <row r="88" spans="1:3" x14ac:dyDescent="0.3">
      <c r="A88">
        <v>87</v>
      </c>
      <c r="B88" t="s">
        <v>88</v>
      </c>
      <c r="C88">
        <v>87</v>
      </c>
    </row>
    <row r="89" spans="1:3" x14ac:dyDescent="0.3">
      <c r="A89">
        <v>88</v>
      </c>
      <c r="B89" t="s">
        <v>89</v>
      </c>
      <c r="C89">
        <v>88</v>
      </c>
    </row>
    <row r="90" spans="1:3" x14ac:dyDescent="0.3">
      <c r="A90">
        <v>89</v>
      </c>
      <c r="B90" t="s">
        <v>90</v>
      </c>
      <c r="C90">
        <v>89</v>
      </c>
    </row>
    <row r="91" spans="1:3" x14ac:dyDescent="0.3">
      <c r="A91">
        <v>90</v>
      </c>
      <c r="B91" t="s">
        <v>91</v>
      </c>
      <c r="C91">
        <v>90</v>
      </c>
    </row>
    <row r="92" spans="1:3" x14ac:dyDescent="0.3">
      <c r="A92">
        <v>91</v>
      </c>
      <c r="B92" t="s">
        <v>92</v>
      </c>
      <c r="C92">
        <v>91</v>
      </c>
    </row>
    <row r="93" spans="1:3" x14ac:dyDescent="0.3">
      <c r="A93">
        <v>92</v>
      </c>
      <c r="B93" t="s">
        <v>93</v>
      </c>
      <c r="C93">
        <v>92</v>
      </c>
    </row>
    <row r="94" spans="1:3" x14ac:dyDescent="0.3">
      <c r="A94">
        <v>93</v>
      </c>
      <c r="B94" t="s">
        <v>94</v>
      </c>
      <c r="C94">
        <v>93</v>
      </c>
    </row>
    <row r="95" spans="1:3" x14ac:dyDescent="0.3">
      <c r="A95">
        <v>94</v>
      </c>
      <c r="B95" t="s">
        <v>95</v>
      </c>
      <c r="C95">
        <v>94</v>
      </c>
    </row>
    <row r="96" spans="1:3" x14ac:dyDescent="0.3">
      <c r="A96">
        <v>95</v>
      </c>
      <c r="B96" t="s">
        <v>96</v>
      </c>
      <c r="C96">
        <v>95</v>
      </c>
    </row>
    <row r="97" spans="1:3" x14ac:dyDescent="0.3">
      <c r="A97">
        <v>96</v>
      </c>
      <c r="B97" t="s">
        <v>97</v>
      </c>
      <c r="C97">
        <v>96</v>
      </c>
    </row>
    <row r="98" spans="1:3" x14ac:dyDescent="0.3">
      <c r="A98">
        <v>97</v>
      </c>
      <c r="B98" t="s">
        <v>98</v>
      </c>
      <c r="C98">
        <v>97</v>
      </c>
    </row>
    <row r="99" spans="1:3" x14ac:dyDescent="0.3">
      <c r="A99">
        <v>98</v>
      </c>
      <c r="B99" t="s">
        <v>99</v>
      </c>
      <c r="C99">
        <v>98</v>
      </c>
    </row>
    <row r="100" spans="1:3" x14ac:dyDescent="0.3">
      <c r="A100">
        <v>99</v>
      </c>
      <c r="B100" t="s">
        <v>100</v>
      </c>
      <c r="C100">
        <v>99</v>
      </c>
    </row>
    <row r="101" spans="1:3" x14ac:dyDescent="0.3">
      <c r="A101">
        <v>100</v>
      </c>
      <c r="B101" t="s">
        <v>101</v>
      </c>
      <c r="C101">
        <v>100</v>
      </c>
    </row>
    <row r="102" spans="1:3" x14ac:dyDescent="0.3">
      <c r="A102">
        <v>101</v>
      </c>
      <c r="B102" t="s">
        <v>102</v>
      </c>
      <c r="C102">
        <v>101</v>
      </c>
    </row>
    <row r="103" spans="1:3" x14ac:dyDescent="0.3">
      <c r="A103">
        <v>102</v>
      </c>
      <c r="B103" t="s">
        <v>103</v>
      </c>
      <c r="C103">
        <v>102</v>
      </c>
    </row>
    <row r="104" spans="1:3" x14ac:dyDescent="0.3">
      <c r="A104">
        <v>103</v>
      </c>
      <c r="B104" t="s">
        <v>104</v>
      </c>
      <c r="C104">
        <v>103</v>
      </c>
    </row>
    <row r="105" spans="1:3" x14ac:dyDescent="0.3">
      <c r="A105">
        <v>104</v>
      </c>
      <c r="B105" t="s">
        <v>105</v>
      </c>
      <c r="C105">
        <v>104</v>
      </c>
    </row>
    <row r="106" spans="1:3" x14ac:dyDescent="0.3">
      <c r="A106">
        <v>105</v>
      </c>
      <c r="B106" t="s">
        <v>106</v>
      </c>
      <c r="C106">
        <v>105</v>
      </c>
    </row>
    <row r="107" spans="1:3" x14ac:dyDescent="0.3">
      <c r="A107">
        <v>106</v>
      </c>
      <c r="B107" t="s">
        <v>107</v>
      </c>
      <c r="C107">
        <v>106</v>
      </c>
    </row>
    <row r="108" spans="1:3" x14ac:dyDescent="0.3">
      <c r="A108">
        <v>107</v>
      </c>
      <c r="B108" t="s">
        <v>108</v>
      </c>
      <c r="C108">
        <v>107</v>
      </c>
    </row>
    <row r="109" spans="1:3" x14ac:dyDescent="0.3">
      <c r="A109">
        <v>108</v>
      </c>
      <c r="B109" t="s">
        <v>109</v>
      </c>
      <c r="C109">
        <v>108</v>
      </c>
    </row>
    <row r="110" spans="1:3" x14ac:dyDescent="0.3">
      <c r="A110">
        <v>109</v>
      </c>
      <c r="B110" t="s">
        <v>110</v>
      </c>
      <c r="C110">
        <v>109</v>
      </c>
    </row>
    <row r="111" spans="1:3" x14ac:dyDescent="0.3">
      <c r="A111">
        <v>110</v>
      </c>
      <c r="B111" t="s">
        <v>111</v>
      </c>
      <c r="C111">
        <v>110</v>
      </c>
    </row>
    <row r="112" spans="1:3" x14ac:dyDescent="0.3">
      <c r="A112">
        <v>111</v>
      </c>
      <c r="B112" t="s">
        <v>112</v>
      </c>
      <c r="C112">
        <v>111</v>
      </c>
    </row>
    <row r="113" spans="1:3" x14ac:dyDescent="0.3">
      <c r="A113">
        <v>112</v>
      </c>
      <c r="B113" t="s">
        <v>113</v>
      </c>
      <c r="C113">
        <v>112</v>
      </c>
    </row>
    <row r="114" spans="1:3" x14ac:dyDescent="0.3">
      <c r="A114">
        <v>113</v>
      </c>
      <c r="B114" t="s">
        <v>114</v>
      </c>
      <c r="C114">
        <v>113</v>
      </c>
    </row>
    <row r="115" spans="1:3" x14ac:dyDescent="0.3">
      <c r="A115">
        <v>114</v>
      </c>
      <c r="B115" t="s">
        <v>115</v>
      </c>
      <c r="C115">
        <v>114</v>
      </c>
    </row>
    <row r="116" spans="1:3" x14ac:dyDescent="0.3">
      <c r="A116">
        <v>115</v>
      </c>
      <c r="B116" t="s">
        <v>116</v>
      </c>
      <c r="C116">
        <v>115</v>
      </c>
    </row>
    <row r="117" spans="1:3" x14ac:dyDescent="0.3">
      <c r="A117">
        <v>116</v>
      </c>
      <c r="B117" t="s">
        <v>117</v>
      </c>
      <c r="C117">
        <v>116</v>
      </c>
    </row>
    <row r="118" spans="1:3" x14ac:dyDescent="0.3">
      <c r="A118">
        <v>117</v>
      </c>
      <c r="B118" t="s">
        <v>118</v>
      </c>
      <c r="C118">
        <v>117</v>
      </c>
    </row>
    <row r="119" spans="1:3" x14ac:dyDescent="0.3">
      <c r="A119">
        <v>118</v>
      </c>
      <c r="B119" t="s">
        <v>119</v>
      </c>
      <c r="C119">
        <v>118</v>
      </c>
    </row>
    <row r="120" spans="1:3" x14ac:dyDescent="0.3">
      <c r="A120">
        <v>119</v>
      </c>
      <c r="B120" t="s">
        <v>120</v>
      </c>
      <c r="C120">
        <v>119</v>
      </c>
    </row>
    <row r="121" spans="1:3" x14ac:dyDescent="0.3">
      <c r="A121">
        <v>120</v>
      </c>
      <c r="B121" t="s">
        <v>121</v>
      </c>
      <c r="C121">
        <v>120</v>
      </c>
    </row>
    <row r="122" spans="1:3" x14ac:dyDescent="0.3">
      <c r="A122">
        <v>121</v>
      </c>
      <c r="B122" t="s">
        <v>122</v>
      </c>
      <c r="C122">
        <v>121</v>
      </c>
    </row>
    <row r="123" spans="1:3" x14ac:dyDescent="0.3">
      <c r="A123">
        <v>122</v>
      </c>
      <c r="B123" t="s">
        <v>123</v>
      </c>
      <c r="C123">
        <v>122</v>
      </c>
    </row>
    <row r="124" spans="1:3" x14ac:dyDescent="0.3">
      <c r="A124">
        <v>123</v>
      </c>
      <c r="B124" t="s">
        <v>124</v>
      </c>
      <c r="C124">
        <v>123</v>
      </c>
    </row>
    <row r="125" spans="1:3" x14ac:dyDescent="0.3">
      <c r="A125">
        <v>124</v>
      </c>
      <c r="B125" t="s">
        <v>125</v>
      </c>
      <c r="C125">
        <v>124</v>
      </c>
    </row>
    <row r="126" spans="1:3" x14ac:dyDescent="0.3">
      <c r="A126">
        <v>125</v>
      </c>
      <c r="B126" t="s">
        <v>126</v>
      </c>
      <c r="C126">
        <v>125</v>
      </c>
    </row>
    <row r="127" spans="1:3" x14ac:dyDescent="0.3">
      <c r="A127">
        <v>126</v>
      </c>
      <c r="B127" t="s">
        <v>127</v>
      </c>
      <c r="C127">
        <v>126</v>
      </c>
    </row>
    <row r="128" spans="1:3" x14ac:dyDescent="0.3">
      <c r="A128">
        <v>127</v>
      </c>
      <c r="B128" t="s">
        <v>128</v>
      </c>
      <c r="C128">
        <v>127</v>
      </c>
    </row>
    <row r="129" spans="1:3" x14ac:dyDescent="0.3">
      <c r="A129">
        <v>128</v>
      </c>
      <c r="B129" t="s">
        <v>129</v>
      </c>
      <c r="C129">
        <v>128</v>
      </c>
    </row>
    <row r="130" spans="1:3" x14ac:dyDescent="0.3">
      <c r="A130">
        <v>129</v>
      </c>
      <c r="B130" t="s">
        <v>130</v>
      </c>
      <c r="C130">
        <v>129</v>
      </c>
    </row>
    <row r="131" spans="1:3" x14ac:dyDescent="0.3">
      <c r="A131">
        <v>130</v>
      </c>
      <c r="B131" t="s">
        <v>131</v>
      </c>
      <c r="C131">
        <v>130</v>
      </c>
    </row>
    <row r="132" spans="1:3" x14ac:dyDescent="0.3">
      <c r="A132">
        <v>131</v>
      </c>
      <c r="B132" t="s">
        <v>132</v>
      </c>
      <c r="C132">
        <v>131</v>
      </c>
    </row>
    <row r="133" spans="1:3" x14ac:dyDescent="0.3">
      <c r="A133">
        <v>132</v>
      </c>
      <c r="B133" t="s">
        <v>133</v>
      </c>
      <c r="C133">
        <v>132</v>
      </c>
    </row>
    <row r="134" spans="1:3" x14ac:dyDescent="0.3">
      <c r="A134">
        <v>133</v>
      </c>
      <c r="B134" t="s">
        <v>134</v>
      </c>
      <c r="C134">
        <v>133</v>
      </c>
    </row>
    <row r="135" spans="1:3" x14ac:dyDescent="0.3">
      <c r="A135">
        <v>134</v>
      </c>
      <c r="B135" t="s">
        <v>135</v>
      </c>
      <c r="C135">
        <v>134</v>
      </c>
    </row>
    <row r="136" spans="1:3" x14ac:dyDescent="0.3">
      <c r="A136">
        <v>135</v>
      </c>
      <c r="B136" t="s">
        <v>136</v>
      </c>
      <c r="C136">
        <v>135</v>
      </c>
    </row>
    <row r="137" spans="1:3" x14ac:dyDescent="0.3">
      <c r="A137">
        <v>136</v>
      </c>
      <c r="B137" t="s">
        <v>137</v>
      </c>
      <c r="C137">
        <v>136</v>
      </c>
    </row>
    <row r="138" spans="1:3" x14ac:dyDescent="0.3">
      <c r="A138">
        <v>137</v>
      </c>
      <c r="B138" t="s">
        <v>138</v>
      </c>
      <c r="C138">
        <v>137</v>
      </c>
    </row>
    <row r="139" spans="1:3" x14ac:dyDescent="0.3">
      <c r="A139">
        <v>138</v>
      </c>
      <c r="B139" t="s">
        <v>139</v>
      </c>
      <c r="C139">
        <v>138</v>
      </c>
    </row>
    <row r="140" spans="1:3" x14ac:dyDescent="0.3">
      <c r="A140">
        <v>139</v>
      </c>
      <c r="B140" t="s">
        <v>140</v>
      </c>
      <c r="C140">
        <v>139</v>
      </c>
    </row>
    <row r="141" spans="1:3" x14ac:dyDescent="0.3">
      <c r="A141">
        <v>140</v>
      </c>
      <c r="B141" t="s">
        <v>141</v>
      </c>
      <c r="C141">
        <v>140</v>
      </c>
    </row>
    <row r="142" spans="1:3" x14ac:dyDescent="0.3">
      <c r="A142">
        <v>141</v>
      </c>
      <c r="B142" t="s">
        <v>142</v>
      </c>
      <c r="C142">
        <v>141</v>
      </c>
    </row>
    <row r="143" spans="1:3" x14ac:dyDescent="0.3">
      <c r="A143">
        <v>142</v>
      </c>
      <c r="B143" t="s">
        <v>143</v>
      </c>
      <c r="C143">
        <v>142</v>
      </c>
    </row>
    <row r="144" spans="1:3" x14ac:dyDescent="0.3">
      <c r="A144">
        <v>143</v>
      </c>
      <c r="B144" t="s">
        <v>144</v>
      </c>
      <c r="C144">
        <v>143</v>
      </c>
    </row>
    <row r="145" spans="1:3" x14ac:dyDescent="0.3">
      <c r="A145">
        <v>144</v>
      </c>
      <c r="B145" t="s">
        <v>145</v>
      </c>
      <c r="C145">
        <v>144</v>
      </c>
    </row>
    <row r="146" spans="1:3" x14ac:dyDescent="0.3">
      <c r="A146">
        <v>145</v>
      </c>
      <c r="B146" t="s">
        <v>146</v>
      </c>
      <c r="C146">
        <v>145</v>
      </c>
    </row>
    <row r="147" spans="1:3" x14ac:dyDescent="0.3">
      <c r="A147">
        <v>146</v>
      </c>
      <c r="B147" t="s">
        <v>147</v>
      </c>
      <c r="C147">
        <v>146</v>
      </c>
    </row>
    <row r="148" spans="1:3" x14ac:dyDescent="0.3">
      <c r="A148">
        <v>147</v>
      </c>
      <c r="B148" t="s">
        <v>148</v>
      </c>
      <c r="C148">
        <v>147</v>
      </c>
    </row>
    <row r="149" spans="1:3" x14ac:dyDescent="0.3">
      <c r="A149">
        <v>148</v>
      </c>
      <c r="B149" t="s">
        <v>149</v>
      </c>
      <c r="C149">
        <v>148</v>
      </c>
    </row>
    <row r="150" spans="1:3" x14ac:dyDescent="0.3">
      <c r="A150">
        <v>149</v>
      </c>
      <c r="B150" t="s">
        <v>150</v>
      </c>
      <c r="C150">
        <v>149</v>
      </c>
    </row>
    <row r="151" spans="1:3" x14ac:dyDescent="0.3">
      <c r="A151">
        <v>150</v>
      </c>
      <c r="B151" t="s">
        <v>151</v>
      </c>
      <c r="C151">
        <v>150</v>
      </c>
    </row>
    <row r="152" spans="1:3" x14ac:dyDescent="0.3">
      <c r="A152">
        <v>151</v>
      </c>
      <c r="B152" t="s">
        <v>3966</v>
      </c>
      <c r="C152">
        <v>151</v>
      </c>
    </row>
    <row r="153" spans="1:3" x14ac:dyDescent="0.3">
      <c r="A153">
        <v>152</v>
      </c>
      <c r="B153" t="s">
        <v>153</v>
      </c>
      <c r="C153">
        <v>152</v>
      </c>
    </row>
    <row r="154" spans="1:3" x14ac:dyDescent="0.3">
      <c r="A154">
        <v>153</v>
      </c>
      <c r="B154" t="s">
        <v>154</v>
      </c>
      <c r="C154">
        <v>153</v>
      </c>
    </row>
    <row r="155" spans="1:3" x14ac:dyDescent="0.3">
      <c r="A155">
        <v>154</v>
      </c>
      <c r="B155" t="s">
        <v>155</v>
      </c>
      <c r="C155">
        <v>154</v>
      </c>
    </row>
    <row r="156" spans="1:3" x14ac:dyDescent="0.3">
      <c r="A156">
        <v>155</v>
      </c>
      <c r="B156" t="s">
        <v>156</v>
      </c>
      <c r="C156">
        <v>155</v>
      </c>
    </row>
    <row r="157" spans="1:3" x14ac:dyDescent="0.3">
      <c r="A157">
        <v>156</v>
      </c>
      <c r="B157" t="s">
        <v>157</v>
      </c>
      <c r="C157">
        <v>156</v>
      </c>
    </row>
    <row r="158" spans="1:3" x14ac:dyDescent="0.3">
      <c r="A158">
        <v>157</v>
      </c>
      <c r="B158" t="s">
        <v>158</v>
      </c>
      <c r="C158">
        <v>157</v>
      </c>
    </row>
    <row r="159" spans="1:3" x14ac:dyDescent="0.3">
      <c r="A159">
        <v>158</v>
      </c>
      <c r="B159" t="s">
        <v>159</v>
      </c>
      <c r="C159">
        <v>158</v>
      </c>
    </row>
    <row r="160" spans="1:3" x14ac:dyDescent="0.3">
      <c r="A160">
        <v>159</v>
      </c>
      <c r="B160" t="s">
        <v>160</v>
      </c>
      <c r="C160">
        <v>159</v>
      </c>
    </row>
    <row r="161" spans="1:3" x14ac:dyDescent="0.3">
      <c r="A161">
        <v>160</v>
      </c>
      <c r="B161" t="s">
        <v>161</v>
      </c>
      <c r="C161">
        <v>160</v>
      </c>
    </row>
    <row r="162" spans="1:3" x14ac:dyDescent="0.3">
      <c r="A162">
        <v>161</v>
      </c>
      <c r="B162" t="s">
        <v>162</v>
      </c>
      <c r="C162">
        <v>161</v>
      </c>
    </row>
    <row r="163" spans="1:3" x14ac:dyDescent="0.3">
      <c r="A163">
        <v>162</v>
      </c>
      <c r="B163" t="s">
        <v>163</v>
      </c>
      <c r="C163">
        <v>162</v>
      </c>
    </row>
    <row r="164" spans="1:3" x14ac:dyDescent="0.3">
      <c r="A164">
        <v>163</v>
      </c>
      <c r="B164" t="s">
        <v>164</v>
      </c>
      <c r="C164">
        <v>163</v>
      </c>
    </row>
    <row r="165" spans="1:3" x14ac:dyDescent="0.3">
      <c r="A165">
        <v>164</v>
      </c>
      <c r="B165" t="s">
        <v>165</v>
      </c>
      <c r="C165">
        <v>164</v>
      </c>
    </row>
    <row r="166" spans="1:3" x14ac:dyDescent="0.3">
      <c r="A166">
        <v>165</v>
      </c>
      <c r="B166" t="s">
        <v>166</v>
      </c>
      <c r="C166">
        <v>165</v>
      </c>
    </row>
    <row r="167" spans="1:3" x14ac:dyDescent="0.3">
      <c r="A167">
        <v>166</v>
      </c>
      <c r="B167" t="s">
        <v>167</v>
      </c>
      <c r="C167">
        <v>166</v>
      </c>
    </row>
    <row r="168" spans="1:3" x14ac:dyDescent="0.3">
      <c r="A168">
        <v>167</v>
      </c>
      <c r="B168" t="s">
        <v>168</v>
      </c>
      <c r="C168">
        <v>167</v>
      </c>
    </row>
    <row r="169" spans="1:3" x14ac:dyDescent="0.3">
      <c r="A169">
        <v>168</v>
      </c>
      <c r="B169" t="s">
        <v>169</v>
      </c>
      <c r="C169">
        <v>168</v>
      </c>
    </row>
    <row r="170" spans="1:3" x14ac:dyDescent="0.3">
      <c r="A170">
        <v>169</v>
      </c>
      <c r="B170" t="s">
        <v>170</v>
      </c>
      <c r="C170">
        <v>169</v>
      </c>
    </row>
    <row r="171" spans="1:3" x14ac:dyDescent="0.3">
      <c r="A171">
        <v>170</v>
      </c>
      <c r="B171" t="s">
        <v>171</v>
      </c>
      <c r="C171">
        <v>170</v>
      </c>
    </row>
    <row r="172" spans="1:3" x14ac:dyDescent="0.3">
      <c r="A172">
        <v>171</v>
      </c>
      <c r="B172" t="s">
        <v>172</v>
      </c>
      <c r="C172">
        <v>171</v>
      </c>
    </row>
    <row r="173" spans="1:3" x14ac:dyDescent="0.3">
      <c r="A173">
        <v>172</v>
      </c>
      <c r="B173" t="s">
        <v>173</v>
      </c>
      <c r="C173">
        <v>172</v>
      </c>
    </row>
    <row r="174" spans="1:3" x14ac:dyDescent="0.3">
      <c r="A174">
        <v>173</v>
      </c>
      <c r="B174" t="s">
        <v>174</v>
      </c>
      <c r="C174">
        <v>173</v>
      </c>
    </row>
    <row r="175" spans="1:3" x14ac:dyDescent="0.3">
      <c r="A175">
        <v>174</v>
      </c>
      <c r="B175" t="s">
        <v>175</v>
      </c>
      <c r="C175">
        <v>174</v>
      </c>
    </row>
    <row r="176" spans="1:3" x14ac:dyDescent="0.3">
      <c r="A176">
        <v>175</v>
      </c>
      <c r="B176" t="s">
        <v>176</v>
      </c>
      <c r="C176">
        <v>175</v>
      </c>
    </row>
    <row r="177" spans="1:3" x14ac:dyDescent="0.3">
      <c r="A177">
        <v>176</v>
      </c>
      <c r="B177" t="s">
        <v>177</v>
      </c>
      <c r="C177">
        <v>176</v>
      </c>
    </row>
    <row r="178" spans="1:3" x14ac:dyDescent="0.3">
      <c r="A178">
        <v>177</v>
      </c>
      <c r="B178" t="s">
        <v>178</v>
      </c>
      <c r="C178">
        <v>177</v>
      </c>
    </row>
    <row r="179" spans="1:3" x14ac:dyDescent="0.3">
      <c r="A179">
        <v>178</v>
      </c>
      <c r="B179" t="s">
        <v>179</v>
      </c>
      <c r="C179">
        <v>178</v>
      </c>
    </row>
    <row r="180" spans="1:3" x14ac:dyDescent="0.3">
      <c r="A180">
        <v>179</v>
      </c>
      <c r="B180" t="s">
        <v>180</v>
      </c>
      <c r="C180">
        <v>179</v>
      </c>
    </row>
    <row r="181" spans="1:3" x14ac:dyDescent="0.3">
      <c r="A181">
        <v>180</v>
      </c>
      <c r="B181" t="s">
        <v>181</v>
      </c>
      <c r="C181">
        <v>180</v>
      </c>
    </row>
    <row r="182" spans="1:3" x14ac:dyDescent="0.3">
      <c r="A182">
        <v>181</v>
      </c>
      <c r="B182" t="s">
        <v>182</v>
      </c>
      <c r="C182">
        <v>181</v>
      </c>
    </row>
    <row r="183" spans="1:3" x14ac:dyDescent="0.3">
      <c r="A183">
        <v>182</v>
      </c>
      <c r="B183" t="s">
        <v>183</v>
      </c>
      <c r="C183">
        <v>182</v>
      </c>
    </row>
    <row r="184" spans="1:3" x14ac:dyDescent="0.3">
      <c r="A184">
        <v>183</v>
      </c>
      <c r="B184" t="s">
        <v>184</v>
      </c>
      <c r="C184">
        <v>183</v>
      </c>
    </row>
    <row r="185" spans="1:3" x14ac:dyDescent="0.3">
      <c r="A185">
        <v>184</v>
      </c>
      <c r="B185" t="s">
        <v>185</v>
      </c>
      <c r="C185">
        <v>184</v>
      </c>
    </row>
    <row r="186" spans="1:3" x14ac:dyDescent="0.3">
      <c r="A186">
        <v>185</v>
      </c>
      <c r="B186" t="s">
        <v>186</v>
      </c>
      <c r="C186">
        <v>185</v>
      </c>
    </row>
    <row r="187" spans="1:3" x14ac:dyDescent="0.3">
      <c r="A187">
        <v>186</v>
      </c>
      <c r="B187" t="s">
        <v>187</v>
      </c>
      <c r="C187">
        <v>186</v>
      </c>
    </row>
    <row r="188" spans="1:3" x14ac:dyDescent="0.3">
      <c r="A188">
        <v>187</v>
      </c>
      <c r="B188" t="s">
        <v>188</v>
      </c>
      <c r="C188">
        <v>187</v>
      </c>
    </row>
    <row r="189" spans="1:3" x14ac:dyDescent="0.3">
      <c r="A189">
        <v>188</v>
      </c>
      <c r="B189" t="s">
        <v>189</v>
      </c>
      <c r="C189">
        <v>188</v>
      </c>
    </row>
    <row r="190" spans="1:3" x14ac:dyDescent="0.3">
      <c r="A190">
        <v>189</v>
      </c>
      <c r="B190" t="s">
        <v>190</v>
      </c>
      <c r="C190">
        <v>189</v>
      </c>
    </row>
    <row r="191" spans="1:3" x14ac:dyDescent="0.3">
      <c r="A191">
        <v>190</v>
      </c>
      <c r="B191" t="s">
        <v>191</v>
      </c>
      <c r="C191">
        <v>190</v>
      </c>
    </row>
    <row r="192" spans="1:3" x14ac:dyDescent="0.3">
      <c r="A192">
        <v>191</v>
      </c>
      <c r="B192" t="s">
        <v>192</v>
      </c>
      <c r="C192">
        <v>191</v>
      </c>
    </row>
    <row r="193" spans="1:3" x14ac:dyDescent="0.3">
      <c r="A193">
        <v>192</v>
      </c>
      <c r="B193" t="s">
        <v>193</v>
      </c>
      <c r="C193">
        <v>192</v>
      </c>
    </row>
    <row r="194" spans="1:3" x14ac:dyDescent="0.3">
      <c r="A194">
        <v>193</v>
      </c>
      <c r="B194" t="s">
        <v>194</v>
      </c>
      <c r="C194">
        <v>193</v>
      </c>
    </row>
    <row r="195" spans="1:3" x14ac:dyDescent="0.3">
      <c r="A195">
        <v>194</v>
      </c>
      <c r="B195" t="s">
        <v>195</v>
      </c>
      <c r="C195">
        <v>194</v>
      </c>
    </row>
    <row r="196" spans="1:3" x14ac:dyDescent="0.3">
      <c r="A196">
        <v>195</v>
      </c>
      <c r="B196" t="s">
        <v>196</v>
      </c>
      <c r="C196">
        <v>195</v>
      </c>
    </row>
    <row r="197" spans="1:3" x14ac:dyDescent="0.3">
      <c r="A197">
        <v>196</v>
      </c>
      <c r="B197" t="s">
        <v>197</v>
      </c>
      <c r="C197">
        <v>196</v>
      </c>
    </row>
    <row r="198" spans="1:3" x14ac:dyDescent="0.3">
      <c r="A198">
        <v>197</v>
      </c>
      <c r="B198" t="s">
        <v>785</v>
      </c>
      <c r="C198">
        <v>197</v>
      </c>
    </row>
    <row r="199" spans="1:3" x14ac:dyDescent="0.3">
      <c r="A199">
        <v>198</v>
      </c>
      <c r="B199" t="s">
        <v>786</v>
      </c>
      <c r="C199">
        <v>198</v>
      </c>
    </row>
    <row r="200" spans="1:3" x14ac:dyDescent="0.3">
      <c r="A200">
        <v>199</v>
      </c>
      <c r="B200" t="s">
        <v>787</v>
      </c>
      <c r="C200">
        <v>199</v>
      </c>
    </row>
    <row r="201" spans="1:3" x14ac:dyDescent="0.3">
      <c r="A201">
        <v>200</v>
      </c>
      <c r="B201" t="s">
        <v>788</v>
      </c>
      <c r="C201">
        <v>200</v>
      </c>
    </row>
    <row r="202" spans="1:3" x14ac:dyDescent="0.3">
      <c r="A202">
        <v>201</v>
      </c>
      <c r="B202" t="s">
        <v>198</v>
      </c>
      <c r="C202">
        <v>201</v>
      </c>
    </row>
    <row r="203" spans="1:3" x14ac:dyDescent="0.3">
      <c r="A203">
        <v>202</v>
      </c>
      <c r="B203" t="s">
        <v>774</v>
      </c>
      <c r="C203">
        <v>202</v>
      </c>
    </row>
    <row r="204" spans="1:3" x14ac:dyDescent="0.3">
      <c r="A204">
        <v>203</v>
      </c>
      <c r="B204" t="s">
        <v>775</v>
      </c>
      <c r="C204">
        <v>203</v>
      </c>
    </row>
    <row r="205" spans="1:3" x14ac:dyDescent="0.3">
      <c r="A205">
        <v>204</v>
      </c>
      <c r="B205" t="s">
        <v>776</v>
      </c>
      <c r="C205">
        <v>204</v>
      </c>
    </row>
    <row r="206" spans="1:3" x14ac:dyDescent="0.3">
      <c r="A206">
        <v>205</v>
      </c>
      <c r="B206" t="s">
        <v>777</v>
      </c>
      <c r="C206">
        <v>205</v>
      </c>
    </row>
    <row r="207" spans="1:3" x14ac:dyDescent="0.3">
      <c r="A207">
        <v>206</v>
      </c>
      <c r="B207" t="s">
        <v>778</v>
      </c>
      <c r="C207">
        <v>206</v>
      </c>
    </row>
    <row r="208" spans="1:3" x14ac:dyDescent="0.3">
      <c r="A208">
        <v>207</v>
      </c>
      <c r="B208" t="s">
        <v>779</v>
      </c>
      <c r="C208">
        <v>207</v>
      </c>
    </row>
    <row r="209" spans="1:3" x14ac:dyDescent="0.3">
      <c r="A209">
        <v>208</v>
      </c>
      <c r="B209" t="s">
        <v>780</v>
      </c>
      <c r="C209">
        <v>208</v>
      </c>
    </row>
    <row r="210" spans="1:3" x14ac:dyDescent="0.3">
      <c r="A210">
        <v>209</v>
      </c>
      <c r="B210" t="s">
        <v>781</v>
      </c>
      <c r="C210">
        <v>209</v>
      </c>
    </row>
    <row r="211" spans="1:3" x14ac:dyDescent="0.3">
      <c r="A211">
        <v>210</v>
      </c>
      <c r="B211" t="s">
        <v>782</v>
      </c>
      <c r="C211">
        <v>210</v>
      </c>
    </row>
    <row r="212" spans="1:3" x14ac:dyDescent="0.3">
      <c r="A212">
        <v>211</v>
      </c>
      <c r="B212" t="s">
        <v>783</v>
      </c>
      <c r="C212">
        <v>211</v>
      </c>
    </row>
    <row r="213" spans="1:3" x14ac:dyDescent="0.3">
      <c r="A213">
        <v>212</v>
      </c>
      <c r="B213" t="s">
        <v>784</v>
      </c>
      <c r="C213">
        <v>212</v>
      </c>
    </row>
    <row r="214" spans="1:3" x14ac:dyDescent="0.3">
      <c r="A214">
        <v>213</v>
      </c>
      <c r="B214" t="s">
        <v>199</v>
      </c>
      <c r="C214">
        <v>213</v>
      </c>
    </row>
    <row r="215" spans="1:3" x14ac:dyDescent="0.3">
      <c r="A215">
        <v>214</v>
      </c>
      <c r="B215" t="s">
        <v>200</v>
      </c>
      <c r="C215">
        <v>214</v>
      </c>
    </row>
    <row r="216" spans="1:3" x14ac:dyDescent="0.3">
      <c r="A216">
        <v>215</v>
      </c>
      <c r="B216" t="s">
        <v>201</v>
      </c>
      <c r="C216">
        <v>215</v>
      </c>
    </row>
    <row r="217" spans="1:3" x14ac:dyDescent="0.3">
      <c r="A217">
        <v>216</v>
      </c>
      <c r="B217" t="s">
        <v>202</v>
      </c>
      <c r="C217">
        <v>216</v>
      </c>
    </row>
    <row r="218" spans="1:3" x14ac:dyDescent="0.3">
      <c r="A218">
        <v>217</v>
      </c>
      <c r="B218" t="s">
        <v>749</v>
      </c>
      <c r="C218">
        <v>217</v>
      </c>
    </row>
    <row r="219" spans="1:3" x14ac:dyDescent="0.3">
      <c r="A219">
        <v>218</v>
      </c>
      <c r="B219" t="s">
        <v>750</v>
      </c>
      <c r="C219">
        <v>218</v>
      </c>
    </row>
    <row r="220" spans="1:3" x14ac:dyDescent="0.3">
      <c r="A220">
        <v>219</v>
      </c>
      <c r="B220" t="s">
        <v>751</v>
      </c>
      <c r="C220">
        <v>219</v>
      </c>
    </row>
    <row r="221" spans="1:3" x14ac:dyDescent="0.3">
      <c r="A221">
        <v>220</v>
      </c>
      <c r="B221" t="s">
        <v>752</v>
      </c>
      <c r="C221">
        <v>220</v>
      </c>
    </row>
    <row r="222" spans="1:3" x14ac:dyDescent="0.3">
      <c r="A222">
        <v>221</v>
      </c>
      <c r="B222" t="s">
        <v>753</v>
      </c>
      <c r="C222">
        <v>221</v>
      </c>
    </row>
    <row r="223" spans="1:3" x14ac:dyDescent="0.3">
      <c r="A223">
        <v>222</v>
      </c>
      <c r="B223" t="s">
        <v>754</v>
      </c>
      <c r="C223">
        <v>222</v>
      </c>
    </row>
    <row r="224" spans="1:3" x14ac:dyDescent="0.3">
      <c r="A224">
        <v>223</v>
      </c>
      <c r="B224" t="s">
        <v>755</v>
      </c>
      <c r="C224">
        <v>223</v>
      </c>
    </row>
    <row r="225" spans="1:3" x14ac:dyDescent="0.3">
      <c r="A225">
        <v>224</v>
      </c>
      <c r="B225" t="s">
        <v>756</v>
      </c>
      <c r="C225">
        <v>224</v>
      </c>
    </row>
    <row r="226" spans="1:3" x14ac:dyDescent="0.3">
      <c r="A226">
        <v>225</v>
      </c>
      <c r="B226" t="s">
        <v>757</v>
      </c>
      <c r="C226">
        <v>225</v>
      </c>
    </row>
    <row r="227" spans="1:3" x14ac:dyDescent="0.3">
      <c r="A227">
        <v>226</v>
      </c>
      <c r="B227" t="s">
        <v>758</v>
      </c>
      <c r="C227">
        <v>226</v>
      </c>
    </row>
    <row r="228" spans="1:3" x14ac:dyDescent="0.3">
      <c r="A228">
        <v>227</v>
      </c>
      <c r="B228" t="s">
        <v>759</v>
      </c>
      <c r="C228">
        <v>227</v>
      </c>
    </row>
    <row r="229" spans="1:3" x14ac:dyDescent="0.3">
      <c r="A229">
        <v>228</v>
      </c>
      <c r="B229" t="s">
        <v>760</v>
      </c>
      <c r="C229">
        <v>228</v>
      </c>
    </row>
    <row r="230" spans="1:3" x14ac:dyDescent="0.3">
      <c r="A230">
        <v>229</v>
      </c>
      <c r="B230" t="s">
        <v>761</v>
      </c>
      <c r="C230">
        <v>229</v>
      </c>
    </row>
    <row r="231" spans="1:3" x14ac:dyDescent="0.3">
      <c r="A231">
        <v>230</v>
      </c>
      <c r="B231" t="s">
        <v>762</v>
      </c>
      <c r="C231">
        <v>230</v>
      </c>
    </row>
    <row r="232" spans="1:3" x14ac:dyDescent="0.3">
      <c r="A232">
        <v>231</v>
      </c>
      <c r="B232" t="s">
        <v>763</v>
      </c>
      <c r="C232">
        <v>231</v>
      </c>
    </row>
    <row r="233" spans="1:3" x14ac:dyDescent="0.3">
      <c r="A233">
        <v>232</v>
      </c>
      <c r="B233" t="s">
        <v>764</v>
      </c>
      <c r="C233">
        <v>232</v>
      </c>
    </row>
    <row r="234" spans="1:3" x14ac:dyDescent="0.3">
      <c r="A234">
        <v>233</v>
      </c>
      <c r="B234" t="s">
        <v>765</v>
      </c>
      <c r="C234">
        <v>233</v>
      </c>
    </row>
    <row r="235" spans="1:3" x14ac:dyDescent="0.3">
      <c r="A235">
        <v>234</v>
      </c>
      <c r="B235" t="s">
        <v>766</v>
      </c>
      <c r="C235">
        <v>234</v>
      </c>
    </row>
    <row r="236" spans="1:3" x14ac:dyDescent="0.3">
      <c r="A236">
        <v>235</v>
      </c>
      <c r="B236" t="s">
        <v>767</v>
      </c>
      <c r="C236">
        <v>235</v>
      </c>
    </row>
    <row r="237" spans="1:3" x14ac:dyDescent="0.3">
      <c r="A237">
        <v>236</v>
      </c>
      <c r="B237" t="s">
        <v>768</v>
      </c>
      <c r="C237">
        <v>236</v>
      </c>
    </row>
    <row r="238" spans="1:3" x14ac:dyDescent="0.3">
      <c r="A238">
        <v>237</v>
      </c>
      <c r="B238" t="s">
        <v>203</v>
      </c>
      <c r="C238">
        <v>237</v>
      </c>
    </row>
    <row r="239" spans="1:3" x14ac:dyDescent="0.3">
      <c r="A239">
        <v>238</v>
      </c>
      <c r="B239" t="s">
        <v>204</v>
      </c>
      <c r="C239">
        <v>238</v>
      </c>
    </row>
    <row r="240" spans="1:3" x14ac:dyDescent="0.3">
      <c r="A240">
        <v>239</v>
      </c>
      <c r="B240" t="s">
        <v>205</v>
      </c>
      <c r="C240">
        <v>239</v>
      </c>
    </row>
    <row r="241" spans="1:3" x14ac:dyDescent="0.3">
      <c r="A241">
        <v>240</v>
      </c>
      <c r="B241" t="s">
        <v>206</v>
      </c>
      <c r="C241">
        <v>240</v>
      </c>
    </row>
    <row r="242" spans="1:3" x14ac:dyDescent="0.3">
      <c r="A242">
        <v>241</v>
      </c>
      <c r="B242" t="s">
        <v>207</v>
      </c>
      <c r="C242">
        <v>241</v>
      </c>
    </row>
    <row r="243" spans="1:3" x14ac:dyDescent="0.3">
      <c r="A243">
        <v>242</v>
      </c>
      <c r="B243" t="s">
        <v>208</v>
      </c>
      <c r="C243">
        <v>242</v>
      </c>
    </row>
    <row r="244" spans="1:3" x14ac:dyDescent="0.3">
      <c r="A244">
        <v>243</v>
      </c>
      <c r="B244" t="s">
        <v>209</v>
      </c>
      <c r="C244">
        <v>243</v>
      </c>
    </row>
    <row r="245" spans="1:3" x14ac:dyDescent="0.3">
      <c r="A245">
        <v>244</v>
      </c>
      <c r="B245" t="s">
        <v>210</v>
      </c>
      <c r="C245">
        <v>244</v>
      </c>
    </row>
    <row r="246" spans="1:3" x14ac:dyDescent="0.3">
      <c r="A246">
        <v>245</v>
      </c>
      <c r="B246" t="s">
        <v>211</v>
      </c>
      <c r="C246">
        <v>245</v>
      </c>
    </row>
    <row r="247" spans="1:3" x14ac:dyDescent="0.3">
      <c r="A247">
        <v>246</v>
      </c>
      <c r="B247" t="s">
        <v>212</v>
      </c>
      <c r="C247">
        <v>246</v>
      </c>
    </row>
    <row r="248" spans="1:3" x14ac:dyDescent="0.3">
      <c r="A248">
        <v>247</v>
      </c>
      <c r="B248" t="s">
        <v>213</v>
      </c>
      <c r="C248">
        <v>247</v>
      </c>
    </row>
    <row r="249" spans="1:3" x14ac:dyDescent="0.3">
      <c r="A249">
        <v>248</v>
      </c>
      <c r="B249" t="s">
        <v>214</v>
      </c>
      <c r="C249">
        <v>248</v>
      </c>
    </row>
    <row r="250" spans="1:3" x14ac:dyDescent="0.3">
      <c r="A250">
        <v>249</v>
      </c>
      <c r="B250" t="s">
        <v>215</v>
      </c>
      <c r="C250">
        <v>249</v>
      </c>
    </row>
    <row r="251" spans="1:3" x14ac:dyDescent="0.3">
      <c r="A251">
        <v>250</v>
      </c>
      <c r="B251" t="s">
        <v>216</v>
      </c>
      <c r="C251">
        <v>250</v>
      </c>
    </row>
    <row r="252" spans="1:3" x14ac:dyDescent="0.3">
      <c r="A252">
        <v>251</v>
      </c>
      <c r="B252" t="s">
        <v>217</v>
      </c>
      <c r="C252">
        <v>251</v>
      </c>
    </row>
    <row r="253" spans="1:3" x14ac:dyDescent="0.3">
      <c r="A253">
        <v>252</v>
      </c>
      <c r="B253" t="s">
        <v>218</v>
      </c>
      <c r="C253">
        <v>252</v>
      </c>
    </row>
    <row r="254" spans="1:3" x14ac:dyDescent="0.3">
      <c r="A254">
        <v>253</v>
      </c>
      <c r="B254" t="s">
        <v>219</v>
      </c>
      <c r="C254">
        <v>253</v>
      </c>
    </row>
    <row r="255" spans="1:3" x14ac:dyDescent="0.3">
      <c r="A255">
        <v>254</v>
      </c>
      <c r="B255" t="s">
        <v>220</v>
      </c>
      <c r="C255">
        <v>254</v>
      </c>
    </row>
    <row r="256" spans="1:3" x14ac:dyDescent="0.3">
      <c r="A256">
        <v>255</v>
      </c>
      <c r="B256" t="s">
        <v>221</v>
      </c>
      <c r="C256">
        <v>255</v>
      </c>
    </row>
    <row r="257" spans="1:3" x14ac:dyDescent="0.3">
      <c r="A257">
        <v>256</v>
      </c>
      <c r="B257" t="s">
        <v>222</v>
      </c>
      <c r="C257">
        <v>256</v>
      </c>
    </row>
    <row r="258" spans="1:3" x14ac:dyDescent="0.3">
      <c r="A258">
        <v>257</v>
      </c>
      <c r="B258" t="s">
        <v>223</v>
      </c>
      <c r="C258">
        <v>257</v>
      </c>
    </row>
    <row r="259" spans="1:3" x14ac:dyDescent="0.3">
      <c r="A259">
        <v>258</v>
      </c>
      <c r="B259" t="s">
        <v>224</v>
      </c>
      <c r="C259">
        <v>258</v>
      </c>
    </row>
    <row r="260" spans="1:3" x14ac:dyDescent="0.3">
      <c r="A260">
        <v>259</v>
      </c>
      <c r="B260" t="s">
        <v>225</v>
      </c>
      <c r="C260">
        <v>259</v>
      </c>
    </row>
    <row r="261" spans="1:3" x14ac:dyDescent="0.3">
      <c r="A261">
        <v>260</v>
      </c>
      <c r="B261" t="s">
        <v>226</v>
      </c>
      <c r="C261">
        <v>260</v>
      </c>
    </row>
    <row r="262" spans="1:3" x14ac:dyDescent="0.3">
      <c r="A262">
        <v>261</v>
      </c>
      <c r="B262" t="s">
        <v>227</v>
      </c>
      <c r="C262">
        <v>261</v>
      </c>
    </row>
    <row r="263" spans="1:3" x14ac:dyDescent="0.3">
      <c r="A263">
        <v>262</v>
      </c>
      <c r="B263" t="s">
        <v>228</v>
      </c>
      <c r="C263">
        <v>262</v>
      </c>
    </row>
    <row r="264" spans="1:3" x14ac:dyDescent="0.3">
      <c r="A264">
        <v>263</v>
      </c>
      <c r="B264" t="s">
        <v>229</v>
      </c>
      <c r="C264">
        <v>263</v>
      </c>
    </row>
    <row r="265" spans="1:3" x14ac:dyDescent="0.3">
      <c r="A265">
        <v>264</v>
      </c>
      <c r="B265" t="s">
        <v>230</v>
      </c>
      <c r="C265">
        <v>264</v>
      </c>
    </row>
    <row r="266" spans="1:3" x14ac:dyDescent="0.3">
      <c r="A266">
        <v>265</v>
      </c>
      <c r="B266" t="s">
        <v>231</v>
      </c>
      <c r="C266">
        <v>265</v>
      </c>
    </row>
    <row r="267" spans="1:3" x14ac:dyDescent="0.3">
      <c r="A267">
        <v>266</v>
      </c>
      <c r="B267" t="s">
        <v>3624</v>
      </c>
      <c r="C267">
        <v>266</v>
      </c>
    </row>
    <row r="268" spans="1:3" x14ac:dyDescent="0.3">
      <c r="A268">
        <v>267</v>
      </c>
      <c r="B268" t="s">
        <v>232</v>
      </c>
      <c r="C268">
        <v>267</v>
      </c>
    </row>
    <row r="269" spans="1:3" x14ac:dyDescent="0.3">
      <c r="A269">
        <v>268</v>
      </c>
      <c r="B269" t="s">
        <v>233</v>
      </c>
      <c r="C269">
        <v>268</v>
      </c>
    </row>
    <row r="270" spans="1:3" x14ac:dyDescent="0.3">
      <c r="A270">
        <v>269</v>
      </c>
      <c r="B270" t="s">
        <v>234</v>
      </c>
      <c r="C270">
        <v>269</v>
      </c>
    </row>
    <row r="271" spans="1:3" x14ac:dyDescent="0.3">
      <c r="A271">
        <v>270</v>
      </c>
      <c r="B271" t="s">
        <v>235</v>
      </c>
      <c r="C271">
        <v>270</v>
      </c>
    </row>
    <row r="272" spans="1:3" x14ac:dyDescent="0.3">
      <c r="A272">
        <v>271</v>
      </c>
      <c r="B272" t="s">
        <v>236</v>
      </c>
      <c r="C272">
        <v>271</v>
      </c>
    </row>
    <row r="273" spans="1:3" x14ac:dyDescent="0.3">
      <c r="A273">
        <v>272</v>
      </c>
      <c r="B273" t="s">
        <v>237</v>
      </c>
      <c r="C273">
        <v>272</v>
      </c>
    </row>
    <row r="274" spans="1:3" x14ac:dyDescent="0.3">
      <c r="A274">
        <v>273</v>
      </c>
      <c r="B274" t="s">
        <v>238</v>
      </c>
      <c r="C274">
        <v>273</v>
      </c>
    </row>
    <row r="275" spans="1:3" x14ac:dyDescent="0.3">
      <c r="A275">
        <v>274</v>
      </c>
      <c r="B275" t="s">
        <v>239</v>
      </c>
      <c r="C275">
        <v>274</v>
      </c>
    </row>
    <row r="276" spans="1:3" x14ac:dyDescent="0.3">
      <c r="A276">
        <v>275</v>
      </c>
      <c r="B276" t="s">
        <v>240</v>
      </c>
      <c r="C276">
        <v>275</v>
      </c>
    </row>
    <row r="277" spans="1:3" x14ac:dyDescent="0.3">
      <c r="A277">
        <v>276</v>
      </c>
      <c r="B277" t="s">
        <v>241</v>
      </c>
      <c r="C277">
        <v>276</v>
      </c>
    </row>
    <row r="278" spans="1:3" x14ac:dyDescent="0.3">
      <c r="A278">
        <v>277</v>
      </c>
      <c r="B278" t="s">
        <v>242</v>
      </c>
      <c r="C278">
        <v>277</v>
      </c>
    </row>
    <row r="279" spans="1:3" x14ac:dyDescent="0.3">
      <c r="A279">
        <v>278</v>
      </c>
      <c r="B279" t="s">
        <v>243</v>
      </c>
      <c r="C279">
        <v>278</v>
      </c>
    </row>
    <row r="280" spans="1:3" x14ac:dyDescent="0.3">
      <c r="A280">
        <v>279</v>
      </c>
      <c r="B280" t="s">
        <v>244</v>
      </c>
      <c r="C280">
        <v>279</v>
      </c>
    </row>
    <row r="281" spans="1:3" x14ac:dyDescent="0.3">
      <c r="A281">
        <v>280</v>
      </c>
      <c r="B281" t="s">
        <v>245</v>
      </c>
      <c r="C281">
        <v>280</v>
      </c>
    </row>
    <row r="282" spans="1:3" x14ac:dyDescent="0.3">
      <c r="A282">
        <v>281</v>
      </c>
      <c r="B282" t="s">
        <v>246</v>
      </c>
      <c r="C282">
        <v>281</v>
      </c>
    </row>
    <row r="283" spans="1:3" x14ac:dyDescent="0.3">
      <c r="A283">
        <v>282</v>
      </c>
      <c r="B283" t="s">
        <v>247</v>
      </c>
      <c r="C283">
        <v>282</v>
      </c>
    </row>
    <row r="284" spans="1:3" x14ac:dyDescent="0.3">
      <c r="A284">
        <v>283</v>
      </c>
      <c r="B284" t="s">
        <v>248</v>
      </c>
      <c r="C284">
        <v>283</v>
      </c>
    </row>
    <row r="285" spans="1:3" x14ac:dyDescent="0.3">
      <c r="A285">
        <v>284</v>
      </c>
      <c r="B285" t="s">
        <v>249</v>
      </c>
      <c r="C285">
        <v>284</v>
      </c>
    </row>
    <row r="286" spans="1:3" x14ac:dyDescent="0.3">
      <c r="A286">
        <v>285</v>
      </c>
      <c r="B286" t="s">
        <v>250</v>
      </c>
      <c r="C286">
        <v>285</v>
      </c>
    </row>
    <row r="287" spans="1:3" x14ac:dyDescent="0.3">
      <c r="A287">
        <v>286</v>
      </c>
      <c r="B287" t="s">
        <v>251</v>
      </c>
      <c r="C287">
        <v>286</v>
      </c>
    </row>
    <row r="288" spans="1:3" x14ac:dyDescent="0.3">
      <c r="A288">
        <v>287</v>
      </c>
      <c r="B288" t="s">
        <v>252</v>
      </c>
      <c r="C288">
        <v>287</v>
      </c>
    </row>
    <row r="289" spans="1:3" x14ac:dyDescent="0.3">
      <c r="A289">
        <v>288</v>
      </c>
      <c r="B289" t="s">
        <v>253</v>
      </c>
      <c r="C289">
        <v>288</v>
      </c>
    </row>
    <row r="290" spans="1:3" x14ac:dyDescent="0.3">
      <c r="A290">
        <v>289</v>
      </c>
      <c r="B290" t="s">
        <v>254</v>
      </c>
      <c r="C290">
        <v>289</v>
      </c>
    </row>
    <row r="291" spans="1:3" x14ac:dyDescent="0.3">
      <c r="A291">
        <v>290</v>
      </c>
      <c r="B291" t="s">
        <v>255</v>
      </c>
      <c r="C291">
        <v>290</v>
      </c>
    </row>
    <row r="292" spans="1:3" x14ac:dyDescent="0.3">
      <c r="A292">
        <v>291</v>
      </c>
      <c r="B292" t="s">
        <v>256</v>
      </c>
      <c r="C292">
        <v>291</v>
      </c>
    </row>
    <row r="293" spans="1:3" x14ac:dyDescent="0.3">
      <c r="A293">
        <v>292</v>
      </c>
      <c r="B293" t="s">
        <v>257</v>
      </c>
      <c r="C293">
        <v>292</v>
      </c>
    </row>
    <row r="294" spans="1:3" x14ac:dyDescent="0.3">
      <c r="A294">
        <v>293</v>
      </c>
      <c r="B294" t="s">
        <v>258</v>
      </c>
      <c r="C294">
        <v>293</v>
      </c>
    </row>
    <row r="295" spans="1:3" x14ac:dyDescent="0.3">
      <c r="A295">
        <v>294</v>
      </c>
      <c r="B295" t="s">
        <v>259</v>
      </c>
      <c r="C295">
        <v>294</v>
      </c>
    </row>
    <row r="296" spans="1:3" x14ac:dyDescent="0.3">
      <c r="A296">
        <v>295</v>
      </c>
      <c r="B296" t="s">
        <v>260</v>
      </c>
      <c r="C296">
        <v>295</v>
      </c>
    </row>
    <row r="297" spans="1:3" x14ac:dyDescent="0.3">
      <c r="A297">
        <v>296</v>
      </c>
      <c r="B297" t="s">
        <v>261</v>
      </c>
      <c r="C297">
        <v>296</v>
      </c>
    </row>
    <row r="298" spans="1:3" x14ac:dyDescent="0.3">
      <c r="A298">
        <v>297</v>
      </c>
      <c r="B298" t="s">
        <v>262</v>
      </c>
      <c r="C298">
        <v>297</v>
      </c>
    </row>
    <row r="299" spans="1:3" x14ac:dyDescent="0.3">
      <c r="A299">
        <v>298</v>
      </c>
      <c r="B299" t="s">
        <v>263</v>
      </c>
      <c r="C299">
        <v>298</v>
      </c>
    </row>
    <row r="300" spans="1:3" x14ac:dyDescent="0.3">
      <c r="A300">
        <v>299</v>
      </c>
      <c r="B300" t="s">
        <v>264</v>
      </c>
      <c r="C300">
        <v>299</v>
      </c>
    </row>
    <row r="301" spans="1:3" x14ac:dyDescent="0.3">
      <c r="A301">
        <v>300</v>
      </c>
      <c r="B301" t="s">
        <v>265</v>
      </c>
      <c r="C301">
        <v>300</v>
      </c>
    </row>
    <row r="302" spans="1:3" x14ac:dyDescent="0.3">
      <c r="A302">
        <v>301</v>
      </c>
      <c r="B302" t="s">
        <v>266</v>
      </c>
      <c r="C302">
        <v>301</v>
      </c>
    </row>
    <row r="303" spans="1:3" x14ac:dyDescent="0.3">
      <c r="A303">
        <v>302</v>
      </c>
      <c r="B303" t="s">
        <v>267</v>
      </c>
      <c r="C303">
        <v>302</v>
      </c>
    </row>
    <row r="304" spans="1:3" x14ac:dyDescent="0.3">
      <c r="A304">
        <v>303</v>
      </c>
      <c r="B304" t="s">
        <v>268</v>
      </c>
      <c r="C304">
        <v>303</v>
      </c>
    </row>
    <row r="305" spans="1:3" x14ac:dyDescent="0.3">
      <c r="A305">
        <v>304</v>
      </c>
      <c r="B305" t="s">
        <v>269</v>
      </c>
      <c r="C305">
        <v>304</v>
      </c>
    </row>
    <row r="306" spans="1:3" x14ac:dyDescent="0.3">
      <c r="A306">
        <v>305</v>
      </c>
      <c r="B306" t="s">
        <v>270</v>
      </c>
      <c r="C306">
        <v>305</v>
      </c>
    </row>
    <row r="307" spans="1:3" x14ac:dyDescent="0.3">
      <c r="A307">
        <v>306</v>
      </c>
      <c r="B307" t="s">
        <v>271</v>
      </c>
      <c r="C307">
        <v>306</v>
      </c>
    </row>
    <row r="308" spans="1:3" x14ac:dyDescent="0.3">
      <c r="A308">
        <v>307</v>
      </c>
      <c r="B308" t="s">
        <v>272</v>
      </c>
      <c r="C308">
        <v>307</v>
      </c>
    </row>
    <row r="309" spans="1:3" x14ac:dyDescent="0.3">
      <c r="A309">
        <v>308</v>
      </c>
      <c r="B309" t="s">
        <v>273</v>
      </c>
      <c r="C309">
        <v>308</v>
      </c>
    </row>
    <row r="310" spans="1:3" x14ac:dyDescent="0.3">
      <c r="A310">
        <v>309</v>
      </c>
      <c r="B310" t="s">
        <v>274</v>
      </c>
      <c r="C310">
        <v>309</v>
      </c>
    </row>
    <row r="311" spans="1:3" x14ac:dyDescent="0.3">
      <c r="A311">
        <v>310</v>
      </c>
      <c r="B311" t="s">
        <v>275</v>
      </c>
      <c r="C311">
        <v>310</v>
      </c>
    </row>
    <row r="312" spans="1:3" x14ac:dyDescent="0.3">
      <c r="A312">
        <v>311</v>
      </c>
      <c r="B312" t="s">
        <v>276</v>
      </c>
      <c r="C312">
        <v>311</v>
      </c>
    </row>
    <row r="313" spans="1:3" x14ac:dyDescent="0.3">
      <c r="A313">
        <v>312</v>
      </c>
      <c r="B313" t="s">
        <v>277</v>
      </c>
      <c r="C313">
        <v>312</v>
      </c>
    </row>
    <row r="314" spans="1:3" x14ac:dyDescent="0.3">
      <c r="A314">
        <v>313</v>
      </c>
      <c r="B314" t="s">
        <v>278</v>
      </c>
      <c r="C314">
        <v>313</v>
      </c>
    </row>
    <row r="315" spans="1:3" x14ac:dyDescent="0.3">
      <c r="A315">
        <v>314</v>
      </c>
      <c r="B315" t="s">
        <v>279</v>
      </c>
      <c r="C315">
        <v>314</v>
      </c>
    </row>
    <row r="316" spans="1:3" x14ac:dyDescent="0.3">
      <c r="A316">
        <v>315</v>
      </c>
      <c r="B316" t="s">
        <v>280</v>
      </c>
      <c r="C316">
        <v>315</v>
      </c>
    </row>
    <row r="317" spans="1:3" x14ac:dyDescent="0.3">
      <c r="A317">
        <v>316</v>
      </c>
      <c r="B317" t="s">
        <v>281</v>
      </c>
      <c r="C317">
        <v>316</v>
      </c>
    </row>
    <row r="318" spans="1:3" x14ac:dyDescent="0.3">
      <c r="A318">
        <v>317</v>
      </c>
      <c r="B318" t="s">
        <v>282</v>
      </c>
      <c r="C318">
        <v>317</v>
      </c>
    </row>
    <row r="319" spans="1:3" x14ac:dyDescent="0.3">
      <c r="A319">
        <v>318</v>
      </c>
      <c r="B319" t="s">
        <v>283</v>
      </c>
      <c r="C319">
        <v>318</v>
      </c>
    </row>
    <row r="320" spans="1:3" x14ac:dyDescent="0.3">
      <c r="A320">
        <v>319</v>
      </c>
      <c r="B320" t="s">
        <v>284</v>
      </c>
      <c r="C320">
        <v>319</v>
      </c>
    </row>
    <row r="321" spans="1:3" x14ac:dyDescent="0.3">
      <c r="A321">
        <v>320</v>
      </c>
      <c r="B321" t="s">
        <v>285</v>
      </c>
      <c r="C321">
        <v>320</v>
      </c>
    </row>
    <row r="322" spans="1:3" x14ac:dyDescent="0.3">
      <c r="A322">
        <v>321</v>
      </c>
      <c r="B322" t="s">
        <v>286</v>
      </c>
      <c r="C322">
        <v>321</v>
      </c>
    </row>
    <row r="323" spans="1:3" x14ac:dyDescent="0.3">
      <c r="A323">
        <v>322</v>
      </c>
      <c r="B323" t="s">
        <v>287</v>
      </c>
      <c r="C323">
        <v>322</v>
      </c>
    </row>
    <row r="324" spans="1:3" x14ac:dyDescent="0.3">
      <c r="A324">
        <v>323</v>
      </c>
      <c r="B324" t="s">
        <v>288</v>
      </c>
      <c r="C324">
        <v>323</v>
      </c>
    </row>
    <row r="325" spans="1:3" x14ac:dyDescent="0.3">
      <c r="A325">
        <v>324</v>
      </c>
      <c r="B325" t="s">
        <v>289</v>
      </c>
      <c r="C325">
        <v>324</v>
      </c>
    </row>
    <row r="326" spans="1:3" x14ac:dyDescent="0.3">
      <c r="A326">
        <v>325</v>
      </c>
      <c r="B326" t="s">
        <v>290</v>
      </c>
      <c r="C326">
        <v>325</v>
      </c>
    </row>
    <row r="327" spans="1:3" x14ac:dyDescent="0.3">
      <c r="A327">
        <v>326</v>
      </c>
      <c r="B327" t="s">
        <v>291</v>
      </c>
      <c r="C327">
        <v>326</v>
      </c>
    </row>
    <row r="328" spans="1:3" x14ac:dyDescent="0.3">
      <c r="A328">
        <v>327</v>
      </c>
      <c r="B328" t="s">
        <v>292</v>
      </c>
      <c r="C328">
        <v>327</v>
      </c>
    </row>
    <row r="329" spans="1:3" x14ac:dyDescent="0.3">
      <c r="A329">
        <v>328</v>
      </c>
      <c r="B329" t="s">
        <v>293</v>
      </c>
      <c r="C329">
        <v>328</v>
      </c>
    </row>
    <row r="330" spans="1:3" x14ac:dyDescent="0.3">
      <c r="A330">
        <v>329</v>
      </c>
      <c r="B330" t="s">
        <v>294</v>
      </c>
      <c r="C330">
        <v>329</v>
      </c>
    </row>
    <row r="331" spans="1:3" x14ac:dyDescent="0.3">
      <c r="A331">
        <v>330</v>
      </c>
      <c r="B331" t="s">
        <v>295</v>
      </c>
      <c r="C331">
        <v>330</v>
      </c>
    </row>
    <row r="332" spans="1:3" x14ac:dyDescent="0.3">
      <c r="A332">
        <v>331</v>
      </c>
      <c r="B332" t="s">
        <v>296</v>
      </c>
      <c r="C332">
        <v>331</v>
      </c>
    </row>
    <row r="333" spans="1:3" x14ac:dyDescent="0.3">
      <c r="A333">
        <v>332</v>
      </c>
      <c r="B333" t="s">
        <v>0</v>
      </c>
      <c r="C333">
        <v>332</v>
      </c>
    </row>
    <row r="334" spans="1:3" x14ac:dyDescent="0.3">
      <c r="A334">
        <v>333</v>
      </c>
      <c r="B334" t="s">
        <v>728</v>
      </c>
      <c r="C334">
        <v>333</v>
      </c>
    </row>
    <row r="335" spans="1:3" x14ac:dyDescent="0.3">
      <c r="A335">
        <v>334</v>
      </c>
      <c r="B335" t="s">
        <v>839</v>
      </c>
      <c r="C335">
        <v>334</v>
      </c>
    </row>
    <row r="336" spans="1:3" x14ac:dyDescent="0.3">
      <c r="A336">
        <v>335</v>
      </c>
      <c r="B336" t="s">
        <v>3616</v>
      </c>
      <c r="C336">
        <v>335</v>
      </c>
    </row>
    <row r="337" spans="1:3" x14ac:dyDescent="0.3">
      <c r="A337">
        <v>336</v>
      </c>
      <c r="B337" t="s">
        <v>848</v>
      </c>
      <c r="C337">
        <v>336</v>
      </c>
    </row>
    <row r="338" spans="1:3" x14ac:dyDescent="0.3">
      <c r="A338">
        <v>337</v>
      </c>
      <c r="B338" t="s">
        <v>2040</v>
      </c>
      <c r="C338">
        <v>337</v>
      </c>
    </row>
    <row r="339" spans="1:3" x14ac:dyDescent="0.3">
      <c r="A339">
        <v>338</v>
      </c>
      <c r="B339" t="s">
        <v>3415</v>
      </c>
      <c r="C339">
        <v>338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390E9-12AB-4F35-91B3-6707EE5982E5}">
  <dimension ref="A1:C42"/>
  <sheetViews>
    <sheetView topLeftCell="A28" workbookViewId="0">
      <selection activeCell="C42" sqref="C42"/>
    </sheetView>
  </sheetViews>
  <sheetFormatPr defaultRowHeight="14.4" x14ac:dyDescent="0.3"/>
  <sheetData>
    <row r="1" spans="1:3" x14ac:dyDescent="0.3">
      <c r="A1" s="12" t="s">
        <v>1</v>
      </c>
      <c r="B1" s="12" t="s">
        <v>2</v>
      </c>
      <c r="C1" s="12" t="s">
        <v>436</v>
      </c>
    </row>
    <row r="2" spans="1:3" x14ac:dyDescent="0.3">
      <c r="A2">
        <v>1</v>
      </c>
      <c r="B2" t="s">
        <v>297</v>
      </c>
      <c r="C2">
        <v>1</v>
      </c>
    </row>
    <row r="3" spans="1:3" x14ac:dyDescent="0.3">
      <c r="A3">
        <v>2</v>
      </c>
      <c r="B3" t="s">
        <v>298</v>
      </c>
      <c r="C3">
        <v>2</v>
      </c>
    </row>
    <row r="4" spans="1:3" x14ac:dyDescent="0.3">
      <c r="A4">
        <v>3</v>
      </c>
      <c r="B4" t="s">
        <v>299</v>
      </c>
      <c r="C4">
        <v>3</v>
      </c>
    </row>
    <row r="5" spans="1:3" x14ac:dyDescent="0.3">
      <c r="A5">
        <v>4</v>
      </c>
      <c r="B5" t="s">
        <v>300</v>
      </c>
      <c r="C5">
        <v>4</v>
      </c>
    </row>
    <row r="6" spans="1:3" x14ac:dyDescent="0.3">
      <c r="A6">
        <v>5</v>
      </c>
      <c r="B6" t="s">
        <v>301</v>
      </c>
      <c r="C6">
        <v>5</v>
      </c>
    </row>
    <row r="7" spans="1:3" x14ac:dyDescent="0.3">
      <c r="A7">
        <v>6</v>
      </c>
      <c r="B7" t="s">
        <v>302</v>
      </c>
      <c r="C7">
        <v>6</v>
      </c>
    </row>
    <row r="8" spans="1:3" x14ac:dyDescent="0.3">
      <c r="A8">
        <v>7</v>
      </c>
      <c r="B8" t="s">
        <v>303</v>
      </c>
      <c r="C8">
        <v>7</v>
      </c>
    </row>
    <row r="9" spans="1:3" x14ac:dyDescent="0.3">
      <c r="A9">
        <v>8</v>
      </c>
      <c r="B9" t="s">
        <v>304</v>
      </c>
      <c r="C9">
        <v>8</v>
      </c>
    </row>
    <row r="10" spans="1:3" x14ac:dyDescent="0.3">
      <c r="A10">
        <v>9</v>
      </c>
      <c r="B10" t="s">
        <v>305</v>
      </c>
      <c r="C10">
        <v>9</v>
      </c>
    </row>
    <row r="11" spans="1:3" x14ac:dyDescent="0.3">
      <c r="A11">
        <v>10</v>
      </c>
      <c r="B11" t="s">
        <v>306</v>
      </c>
      <c r="C11">
        <v>10</v>
      </c>
    </row>
    <row r="12" spans="1:3" x14ac:dyDescent="0.3">
      <c r="A12">
        <v>11</v>
      </c>
      <c r="B12" t="s">
        <v>307</v>
      </c>
      <c r="C12">
        <v>11</v>
      </c>
    </row>
    <row r="13" spans="1:3" x14ac:dyDescent="0.3">
      <c r="A13">
        <v>12</v>
      </c>
      <c r="B13" t="s">
        <v>308</v>
      </c>
      <c r="C13">
        <v>12</v>
      </c>
    </row>
    <row r="14" spans="1:3" x14ac:dyDescent="0.3">
      <c r="A14">
        <v>13</v>
      </c>
      <c r="B14" t="s">
        <v>309</v>
      </c>
      <c r="C14">
        <v>13</v>
      </c>
    </row>
    <row r="15" spans="1:3" x14ac:dyDescent="0.3">
      <c r="A15">
        <v>14</v>
      </c>
      <c r="B15" t="s">
        <v>310</v>
      </c>
      <c r="C15">
        <v>14</v>
      </c>
    </row>
    <row r="16" spans="1:3" x14ac:dyDescent="0.3">
      <c r="A16">
        <v>15</v>
      </c>
      <c r="B16" t="s">
        <v>311</v>
      </c>
      <c r="C16">
        <v>15</v>
      </c>
    </row>
    <row r="17" spans="1:3" x14ac:dyDescent="0.3">
      <c r="A17">
        <v>16</v>
      </c>
      <c r="B17" t="s">
        <v>738</v>
      </c>
      <c r="C17">
        <v>16</v>
      </c>
    </row>
    <row r="18" spans="1:3" x14ac:dyDescent="0.3">
      <c r="A18">
        <v>17</v>
      </c>
      <c r="B18" t="s">
        <v>3612</v>
      </c>
      <c r="C18">
        <v>17</v>
      </c>
    </row>
    <row r="19" spans="1:3" x14ac:dyDescent="0.3">
      <c r="A19">
        <v>18</v>
      </c>
      <c r="B19" t="s">
        <v>3613</v>
      </c>
      <c r="C19">
        <v>18</v>
      </c>
    </row>
    <row r="20" spans="1:3" x14ac:dyDescent="0.3">
      <c r="A20">
        <v>19</v>
      </c>
      <c r="B20" t="s">
        <v>3614</v>
      </c>
      <c r="C20">
        <v>19</v>
      </c>
    </row>
    <row r="21" spans="1:3" x14ac:dyDescent="0.3">
      <c r="A21">
        <v>20</v>
      </c>
      <c r="B21" t="s">
        <v>3615</v>
      </c>
      <c r="C21">
        <v>20</v>
      </c>
    </row>
    <row r="22" spans="1:3" x14ac:dyDescent="0.3">
      <c r="A22">
        <v>21</v>
      </c>
      <c r="B22" t="s">
        <v>3622</v>
      </c>
      <c r="C22">
        <v>21</v>
      </c>
    </row>
    <row r="23" spans="1:3" x14ac:dyDescent="0.3">
      <c r="A23">
        <v>22</v>
      </c>
      <c r="B23" t="s">
        <v>3621</v>
      </c>
      <c r="C23">
        <v>22</v>
      </c>
    </row>
    <row r="24" spans="1:3" x14ac:dyDescent="0.3">
      <c r="A24">
        <v>23</v>
      </c>
      <c r="B24" t="s">
        <v>3620</v>
      </c>
      <c r="C24">
        <v>23</v>
      </c>
    </row>
    <row r="25" spans="1:3" x14ac:dyDescent="0.3">
      <c r="A25">
        <v>24</v>
      </c>
      <c r="B25" t="s">
        <v>3969</v>
      </c>
      <c r="C25">
        <v>24</v>
      </c>
    </row>
    <row r="26" spans="1:3" x14ac:dyDescent="0.3">
      <c r="A26">
        <v>25</v>
      </c>
      <c r="B26" t="s">
        <v>3623</v>
      </c>
      <c r="C26">
        <v>25</v>
      </c>
    </row>
    <row r="27" spans="1:3" x14ac:dyDescent="0.3">
      <c r="A27">
        <v>26</v>
      </c>
      <c r="B27" t="s">
        <v>3970</v>
      </c>
      <c r="C27">
        <v>26</v>
      </c>
    </row>
    <row r="28" spans="1:3" x14ac:dyDescent="0.3">
      <c r="A28">
        <v>27</v>
      </c>
      <c r="B28" t="s">
        <v>3971</v>
      </c>
      <c r="C28">
        <v>27</v>
      </c>
    </row>
    <row r="29" spans="1:3" x14ac:dyDescent="0.3">
      <c r="A29">
        <v>28</v>
      </c>
      <c r="B29" t="s">
        <v>3972</v>
      </c>
      <c r="C29">
        <v>28</v>
      </c>
    </row>
    <row r="30" spans="1:3" x14ac:dyDescent="0.3">
      <c r="A30">
        <v>29</v>
      </c>
      <c r="B30" t="s">
        <v>3973</v>
      </c>
      <c r="C30">
        <v>29</v>
      </c>
    </row>
    <row r="31" spans="1:3" x14ac:dyDescent="0.3">
      <c r="A31">
        <v>30</v>
      </c>
      <c r="B31" t="s">
        <v>3974</v>
      </c>
      <c r="C31">
        <v>30</v>
      </c>
    </row>
    <row r="32" spans="1:3" x14ac:dyDescent="0.3">
      <c r="A32">
        <v>31</v>
      </c>
      <c r="B32" t="s">
        <v>3975</v>
      </c>
      <c r="C32">
        <v>31</v>
      </c>
    </row>
    <row r="33" spans="1:3" x14ac:dyDescent="0.3">
      <c r="A33">
        <v>32</v>
      </c>
      <c r="B33" t="s">
        <v>3976</v>
      </c>
      <c r="C33">
        <v>32</v>
      </c>
    </row>
    <row r="34" spans="1:3" x14ac:dyDescent="0.3">
      <c r="A34">
        <v>33</v>
      </c>
      <c r="B34" t="s">
        <v>3977</v>
      </c>
      <c r="C34">
        <v>33</v>
      </c>
    </row>
    <row r="35" spans="1:3" x14ac:dyDescent="0.3">
      <c r="A35">
        <v>34</v>
      </c>
      <c r="B35" t="s">
        <v>3978</v>
      </c>
      <c r="C35">
        <v>34</v>
      </c>
    </row>
    <row r="36" spans="1:3" x14ac:dyDescent="0.3">
      <c r="A36">
        <v>35</v>
      </c>
      <c r="B36" t="s">
        <v>3979</v>
      </c>
      <c r="C36">
        <v>35</v>
      </c>
    </row>
    <row r="37" spans="1:3" x14ac:dyDescent="0.3">
      <c r="A37">
        <v>36</v>
      </c>
      <c r="B37" t="s">
        <v>3981</v>
      </c>
      <c r="C37">
        <v>36</v>
      </c>
    </row>
    <row r="38" spans="1:3" x14ac:dyDescent="0.3">
      <c r="A38">
        <v>37</v>
      </c>
      <c r="B38" t="s">
        <v>3982</v>
      </c>
      <c r="C38">
        <v>37</v>
      </c>
    </row>
    <row r="39" spans="1:3" x14ac:dyDescent="0.3">
      <c r="A39">
        <v>38</v>
      </c>
      <c r="B39" t="s">
        <v>3983</v>
      </c>
      <c r="C39">
        <v>38</v>
      </c>
    </row>
    <row r="40" spans="1:3" x14ac:dyDescent="0.3">
      <c r="A40">
        <v>39</v>
      </c>
      <c r="B40" t="s">
        <v>3984</v>
      </c>
      <c r="C40">
        <v>39</v>
      </c>
    </row>
    <row r="41" spans="1:3" x14ac:dyDescent="0.3">
      <c r="A41">
        <v>40</v>
      </c>
      <c r="B41" t="s">
        <v>3985</v>
      </c>
      <c r="C41">
        <v>40</v>
      </c>
    </row>
    <row r="42" spans="1:3" x14ac:dyDescent="0.3">
      <c r="A42">
        <v>41</v>
      </c>
      <c r="B42" t="s">
        <v>3980</v>
      </c>
      <c r="C42">
        <v>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36F12-4A0C-4E4E-AA96-22D247318D7D}">
  <dimension ref="A1:C11"/>
  <sheetViews>
    <sheetView workbookViewId="0">
      <selection activeCell="D11" sqref="D11"/>
    </sheetView>
  </sheetViews>
  <sheetFormatPr defaultRowHeight="14.4" x14ac:dyDescent="0.3"/>
  <cols>
    <col min="3" max="3" width="10.33203125" bestFit="1" customWidth="1"/>
  </cols>
  <sheetData>
    <row r="1" spans="1:3" x14ac:dyDescent="0.3">
      <c r="A1" t="s">
        <v>1</v>
      </c>
      <c r="B1" t="s">
        <v>2</v>
      </c>
      <c r="C1" t="s">
        <v>3986</v>
      </c>
    </row>
    <row r="2" spans="1:3" x14ac:dyDescent="0.3">
      <c r="A2">
        <v>1</v>
      </c>
      <c r="B2">
        <v>5</v>
      </c>
      <c r="C2">
        <v>1</v>
      </c>
    </row>
    <row r="3" spans="1:3" x14ac:dyDescent="0.3">
      <c r="A3">
        <v>2</v>
      </c>
      <c r="B3">
        <v>10</v>
      </c>
      <c r="C3">
        <v>2</v>
      </c>
    </row>
    <row r="4" spans="1:3" x14ac:dyDescent="0.3">
      <c r="A4">
        <v>3</v>
      </c>
      <c r="B4">
        <v>25</v>
      </c>
      <c r="C4">
        <v>3</v>
      </c>
    </row>
    <row r="5" spans="1:3" x14ac:dyDescent="0.3">
      <c r="A5">
        <v>4</v>
      </c>
      <c r="B5">
        <v>100</v>
      </c>
      <c r="C5">
        <v>4</v>
      </c>
    </row>
    <row r="6" spans="1:3" x14ac:dyDescent="0.3">
      <c r="A6">
        <v>5</v>
      </c>
      <c r="B6">
        <v>75</v>
      </c>
      <c r="C6">
        <v>5</v>
      </c>
    </row>
    <row r="7" spans="1:3" x14ac:dyDescent="0.3">
      <c r="A7">
        <v>6</v>
      </c>
      <c r="B7">
        <v>20</v>
      </c>
      <c r="C7">
        <v>6</v>
      </c>
    </row>
    <row r="8" spans="1:3" x14ac:dyDescent="0.3">
      <c r="A8">
        <v>7</v>
      </c>
      <c r="B8">
        <v>15</v>
      </c>
      <c r="C8">
        <v>7</v>
      </c>
    </row>
    <row r="9" spans="1:3" x14ac:dyDescent="0.3">
      <c r="A9">
        <v>8</v>
      </c>
      <c r="B9">
        <v>30</v>
      </c>
      <c r="C9">
        <v>8</v>
      </c>
    </row>
    <row r="10" spans="1:3" x14ac:dyDescent="0.3">
      <c r="A10">
        <v>9</v>
      </c>
      <c r="B10">
        <v>35</v>
      </c>
      <c r="C10">
        <v>9</v>
      </c>
    </row>
    <row r="11" spans="1:3" x14ac:dyDescent="0.3">
      <c r="A11">
        <v>10</v>
      </c>
      <c r="B11">
        <v>70</v>
      </c>
      <c r="C11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69FB1-B3FF-4BA4-82FF-04F0FE76BE88}">
  <dimension ref="A1:I28"/>
  <sheetViews>
    <sheetView workbookViewId="0">
      <pane ySplit="1" topLeftCell="A9" activePane="bottomLeft" state="frozen"/>
      <selection pane="bottomLeft" activeCell="A22" sqref="A22"/>
    </sheetView>
  </sheetViews>
  <sheetFormatPr defaultRowHeight="14.4" x14ac:dyDescent="0.3"/>
  <cols>
    <col min="1" max="1" width="12.77734375" bestFit="1" customWidth="1"/>
    <col min="2" max="2" width="37.44140625" bestFit="1" customWidth="1"/>
    <col min="3" max="3" width="13.44140625" style="11" bestFit="1" customWidth="1"/>
    <col min="4" max="4" width="58.109375" bestFit="1" customWidth="1"/>
    <col min="5" max="5" width="40" customWidth="1"/>
    <col min="6" max="6" width="22" customWidth="1"/>
    <col min="7" max="7" width="21.109375" bestFit="1" customWidth="1"/>
    <col min="8" max="8" width="15.88671875" bestFit="1" customWidth="1"/>
  </cols>
  <sheetData>
    <row r="1" spans="1:9" x14ac:dyDescent="0.3">
      <c r="A1" s="1" t="s">
        <v>312</v>
      </c>
      <c r="B1" s="1" t="s">
        <v>2</v>
      </c>
      <c r="C1" s="10" t="s">
        <v>313</v>
      </c>
      <c r="D1" s="1" t="s">
        <v>314</v>
      </c>
      <c r="E1" s="1" t="s">
        <v>315</v>
      </c>
      <c r="F1" s="1" t="s">
        <v>316</v>
      </c>
      <c r="G1" s="1" t="s">
        <v>317</v>
      </c>
      <c r="H1" s="1" t="s">
        <v>318</v>
      </c>
      <c r="I1" s="1" t="s">
        <v>3</v>
      </c>
    </row>
    <row r="2" spans="1:9" x14ac:dyDescent="0.3">
      <c r="A2" s="37" t="s">
        <v>319</v>
      </c>
      <c r="B2" s="38" t="s">
        <v>320</v>
      </c>
      <c r="C2" s="3"/>
      <c r="D2" s="2"/>
      <c r="E2" s="2"/>
      <c r="F2" s="2"/>
      <c r="G2" s="2"/>
      <c r="H2" s="2"/>
      <c r="I2" s="2">
        <v>1</v>
      </c>
    </row>
    <row r="3" spans="1:9" ht="28.8" x14ac:dyDescent="0.3">
      <c r="A3" s="2" t="s">
        <v>321</v>
      </c>
      <c r="B3" s="3" t="s">
        <v>322</v>
      </c>
      <c r="C3" s="3" t="s">
        <v>323</v>
      </c>
      <c r="D3" s="4" t="s">
        <v>324</v>
      </c>
      <c r="E3" s="4" t="s">
        <v>325</v>
      </c>
      <c r="F3" s="4" t="s">
        <v>326</v>
      </c>
      <c r="G3" s="2"/>
      <c r="H3" s="2"/>
      <c r="I3" s="2">
        <v>1</v>
      </c>
    </row>
    <row r="4" spans="1:9" ht="28.8" x14ac:dyDescent="0.3">
      <c r="A4" s="2" t="s">
        <v>327</v>
      </c>
      <c r="B4" s="3" t="s">
        <v>328</v>
      </c>
      <c r="C4" s="3" t="s">
        <v>329</v>
      </c>
      <c r="D4" s="4" t="s">
        <v>330</v>
      </c>
      <c r="E4" s="4" t="s">
        <v>331</v>
      </c>
      <c r="F4" s="4" t="s">
        <v>332</v>
      </c>
      <c r="G4" s="2"/>
      <c r="H4" s="2"/>
      <c r="I4" s="2">
        <v>1</v>
      </c>
    </row>
    <row r="5" spans="1:9" ht="28.8" x14ac:dyDescent="0.3">
      <c r="A5" s="2" t="s">
        <v>333</v>
      </c>
      <c r="B5" s="3" t="s">
        <v>334</v>
      </c>
      <c r="C5" s="3" t="s">
        <v>335</v>
      </c>
      <c r="D5" s="4" t="s">
        <v>336</v>
      </c>
      <c r="E5" s="4" t="s">
        <v>337</v>
      </c>
      <c r="F5" s="4" t="s">
        <v>338</v>
      </c>
      <c r="G5" s="2"/>
      <c r="H5" s="2"/>
      <c r="I5" s="2">
        <v>1</v>
      </c>
    </row>
    <row r="6" spans="1:9" x14ac:dyDescent="0.3">
      <c r="A6" s="2" t="s">
        <v>339</v>
      </c>
      <c r="B6" s="5" t="s">
        <v>340</v>
      </c>
      <c r="C6" s="3" t="s">
        <v>341</v>
      </c>
      <c r="D6" s="4" t="s">
        <v>342</v>
      </c>
      <c r="E6" s="4" t="s">
        <v>343</v>
      </c>
      <c r="F6" s="4" t="s">
        <v>344</v>
      </c>
      <c r="G6" s="2"/>
      <c r="H6" s="2"/>
      <c r="I6" s="2">
        <v>1</v>
      </c>
    </row>
    <row r="7" spans="1:9" ht="28.8" x14ac:dyDescent="0.3">
      <c r="A7" s="2" t="s">
        <v>345</v>
      </c>
      <c r="B7" s="5" t="s">
        <v>346</v>
      </c>
      <c r="C7" s="3"/>
      <c r="D7" s="4" t="s">
        <v>347</v>
      </c>
      <c r="E7" s="6"/>
      <c r="F7" s="6"/>
      <c r="G7" s="2"/>
      <c r="H7" s="2"/>
      <c r="I7" s="2">
        <v>1</v>
      </c>
    </row>
    <row r="8" spans="1:9" x14ac:dyDescent="0.3">
      <c r="A8" s="2" t="s">
        <v>348</v>
      </c>
      <c r="B8" s="5" t="s">
        <v>349</v>
      </c>
      <c r="C8" s="8" t="s">
        <v>350</v>
      </c>
      <c r="D8" s="4" t="s">
        <v>351</v>
      </c>
      <c r="E8" s="7" t="s">
        <v>350</v>
      </c>
      <c r="F8" s="6"/>
      <c r="G8" s="2"/>
      <c r="H8" s="2"/>
      <c r="I8" s="2">
        <v>1</v>
      </c>
    </row>
    <row r="9" spans="1:9" x14ac:dyDescent="0.3">
      <c r="A9" s="2" t="s">
        <v>352</v>
      </c>
      <c r="B9" s="8" t="s">
        <v>353</v>
      </c>
      <c r="C9" s="5" t="s">
        <v>354</v>
      </c>
      <c r="D9" s="6"/>
      <c r="E9" s="4" t="s">
        <v>354</v>
      </c>
      <c r="F9" s="9"/>
      <c r="G9" s="2"/>
      <c r="H9" s="2"/>
      <c r="I9" s="2">
        <v>1</v>
      </c>
    </row>
    <row r="10" spans="1:9" x14ac:dyDescent="0.3">
      <c r="A10" s="2" t="s">
        <v>355</v>
      </c>
      <c r="B10" s="5" t="s">
        <v>356</v>
      </c>
      <c r="C10" s="3">
        <v>6461182</v>
      </c>
      <c r="D10" s="4" t="s">
        <v>357</v>
      </c>
      <c r="E10" s="4" t="s">
        <v>358</v>
      </c>
      <c r="F10" s="6"/>
      <c r="G10" s="2"/>
      <c r="H10" s="2"/>
      <c r="I10" s="2">
        <v>1</v>
      </c>
    </row>
    <row r="11" spans="1:9" ht="28.8" x14ac:dyDescent="0.3">
      <c r="A11" s="2" t="s">
        <v>359</v>
      </c>
      <c r="B11" s="5" t="s">
        <v>360</v>
      </c>
      <c r="C11" s="3"/>
      <c r="D11" s="4" t="s">
        <v>361</v>
      </c>
      <c r="E11" s="6"/>
      <c r="F11" s="4" t="s">
        <v>362</v>
      </c>
      <c r="G11" s="2"/>
      <c r="H11" s="2"/>
      <c r="I11" s="2">
        <v>1</v>
      </c>
    </row>
    <row r="12" spans="1:9" x14ac:dyDescent="0.3">
      <c r="A12" s="2" t="s">
        <v>363</v>
      </c>
      <c r="B12" s="5" t="s">
        <v>364</v>
      </c>
      <c r="C12" s="3"/>
      <c r="D12" s="4" t="s">
        <v>365</v>
      </c>
      <c r="E12" s="6"/>
      <c r="F12" s="4" t="s">
        <v>366</v>
      </c>
      <c r="G12" s="2"/>
      <c r="H12" s="2"/>
      <c r="I12" s="2">
        <v>1</v>
      </c>
    </row>
    <row r="13" spans="1:9" ht="28.8" x14ac:dyDescent="0.3">
      <c r="A13" s="2" t="s">
        <v>367</v>
      </c>
      <c r="B13" s="5" t="s">
        <v>368</v>
      </c>
      <c r="C13" s="3" t="s">
        <v>369</v>
      </c>
      <c r="D13" s="6"/>
      <c r="E13" s="4" t="s">
        <v>370</v>
      </c>
      <c r="F13" s="6"/>
      <c r="G13" s="2"/>
      <c r="H13" s="2"/>
      <c r="I13" s="2">
        <v>1</v>
      </c>
    </row>
    <row r="14" spans="1:9" ht="28.8" x14ac:dyDescent="0.3">
      <c r="A14" s="2" t="s">
        <v>371</v>
      </c>
      <c r="B14" s="5" t="s">
        <v>372</v>
      </c>
      <c r="C14" s="3"/>
      <c r="D14" s="4" t="s">
        <v>373</v>
      </c>
      <c r="E14" s="6"/>
      <c r="F14" s="4" t="s">
        <v>374</v>
      </c>
      <c r="G14" s="2"/>
      <c r="H14" s="2"/>
      <c r="I14" s="2">
        <v>1</v>
      </c>
    </row>
    <row r="15" spans="1:9" ht="28.8" x14ac:dyDescent="0.3">
      <c r="A15" s="2" t="s">
        <v>375</v>
      </c>
      <c r="B15" s="5" t="s">
        <v>376</v>
      </c>
      <c r="C15" s="3"/>
      <c r="D15" s="4" t="s">
        <v>377</v>
      </c>
      <c r="E15" s="6"/>
      <c r="F15" s="4" t="s">
        <v>378</v>
      </c>
      <c r="G15" s="2"/>
      <c r="H15" s="2"/>
      <c r="I15" s="2">
        <v>1</v>
      </c>
    </row>
    <row r="16" spans="1:9" x14ac:dyDescent="0.3">
      <c r="A16" s="2" t="s">
        <v>379</v>
      </c>
      <c r="B16" s="5" t="s">
        <v>380</v>
      </c>
      <c r="C16" s="3" t="s">
        <v>381</v>
      </c>
      <c r="D16" s="4" t="s">
        <v>382</v>
      </c>
      <c r="E16" s="4" t="s">
        <v>383</v>
      </c>
      <c r="F16" s="6"/>
      <c r="G16" s="2"/>
      <c r="H16" s="2"/>
      <c r="I16" s="2">
        <v>1</v>
      </c>
    </row>
    <row r="17" spans="1:9" x14ac:dyDescent="0.3">
      <c r="A17" s="2" t="s">
        <v>384</v>
      </c>
      <c r="B17" s="5" t="s">
        <v>385</v>
      </c>
      <c r="C17" s="3"/>
      <c r="D17" s="6"/>
      <c r="E17" s="6"/>
      <c r="F17" s="6"/>
      <c r="G17" s="2"/>
      <c r="H17" s="2"/>
      <c r="I17" s="2">
        <v>1</v>
      </c>
    </row>
    <row r="18" spans="1:9" x14ac:dyDescent="0.3">
      <c r="A18" s="2" t="s">
        <v>386</v>
      </c>
      <c r="B18" s="5" t="s">
        <v>387</v>
      </c>
      <c r="C18" s="3" t="s">
        <v>388</v>
      </c>
      <c r="D18" s="6"/>
      <c r="E18" s="4" t="s">
        <v>389</v>
      </c>
      <c r="F18" s="6"/>
      <c r="G18" s="2"/>
      <c r="H18" s="2"/>
      <c r="I18" s="2">
        <v>1</v>
      </c>
    </row>
    <row r="19" spans="1:9" ht="28.8" x14ac:dyDescent="0.3">
      <c r="A19" s="2" t="s">
        <v>390</v>
      </c>
      <c r="B19" s="5" t="s">
        <v>391</v>
      </c>
      <c r="C19" s="3"/>
      <c r="D19" s="4" t="s">
        <v>392</v>
      </c>
      <c r="E19" s="6"/>
      <c r="F19" s="6"/>
      <c r="G19" s="2"/>
      <c r="H19" s="2"/>
      <c r="I19" s="2">
        <v>1</v>
      </c>
    </row>
    <row r="20" spans="1:9" ht="28.8" x14ac:dyDescent="0.3">
      <c r="A20" s="2" t="s">
        <v>393</v>
      </c>
      <c r="B20" s="5" t="s">
        <v>394</v>
      </c>
      <c r="C20" s="5" t="s">
        <v>395</v>
      </c>
      <c r="D20" s="4" t="s">
        <v>396</v>
      </c>
      <c r="E20" s="4" t="s">
        <v>395</v>
      </c>
      <c r="F20" s="4" t="s">
        <v>397</v>
      </c>
      <c r="G20" s="2"/>
      <c r="H20" s="2"/>
      <c r="I20" s="2">
        <v>1</v>
      </c>
    </row>
    <row r="21" spans="1:9" ht="28.8" x14ac:dyDescent="0.3">
      <c r="A21" s="2" t="s">
        <v>398</v>
      </c>
      <c r="B21" s="5" t="s">
        <v>399</v>
      </c>
      <c r="C21" s="5" t="s">
        <v>400</v>
      </c>
      <c r="D21" s="4" t="s">
        <v>401</v>
      </c>
      <c r="E21" s="4" t="s">
        <v>400</v>
      </c>
      <c r="F21" s="4" t="s">
        <v>402</v>
      </c>
      <c r="G21" s="2"/>
      <c r="H21" s="2"/>
      <c r="I21" s="2">
        <v>1</v>
      </c>
    </row>
    <row r="22" spans="1:9" ht="28.8" x14ac:dyDescent="0.3">
      <c r="A22" s="2" t="s">
        <v>403</v>
      </c>
      <c r="B22" s="5" t="s">
        <v>404</v>
      </c>
      <c r="C22" s="3"/>
      <c r="D22" s="4" t="s">
        <v>405</v>
      </c>
      <c r="E22" s="6"/>
      <c r="F22" s="4" t="s">
        <v>406</v>
      </c>
      <c r="G22" s="2"/>
      <c r="H22" s="2"/>
      <c r="I22" s="2">
        <v>1</v>
      </c>
    </row>
    <row r="23" spans="1:9" ht="28.8" x14ac:dyDescent="0.3">
      <c r="A23" s="2" t="s">
        <v>407</v>
      </c>
      <c r="B23" s="5" t="s">
        <v>408</v>
      </c>
      <c r="C23" s="3" t="s">
        <v>409</v>
      </c>
      <c r="D23" s="4" t="s">
        <v>410</v>
      </c>
      <c r="E23" s="4" t="s">
        <v>411</v>
      </c>
      <c r="F23" s="4" t="s">
        <v>412</v>
      </c>
      <c r="G23" s="2"/>
      <c r="H23" s="2"/>
      <c r="I23" s="2">
        <v>1</v>
      </c>
    </row>
    <row r="24" spans="1:9" ht="28.8" x14ac:dyDescent="0.3">
      <c r="A24" s="2" t="s">
        <v>413</v>
      </c>
      <c r="B24" s="5" t="s">
        <v>414</v>
      </c>
      <c r="C24" s="3" t="s">
        <v>415</v>
      </c>
      <c r="D24" s="4" t="s">
        <v>416</v>
      </c>
      <c r="E24" s="4" t="s">
        <v>417</v>
      </c>
      <c r="F24" s="4" t="s">
        <v>418</v>
      </c>
      <c r="G24" s="2"/>
      <c r="H24" s="2"/>
      <c r="I24" s="2">
        <v>1</v>
      </c>
    </row>
    <row r="25" spans="1:9" x14ac:dyDescent="0.3">
      <c r="A25" s="2" t="s">
        <v>419</v>
      </c>
      <c r="B25" s="5" t="s">
        <v>420</v>
      </c>
      <c r="C25" s="3" t="s">
        <v>421</v>
      </c>
      <c r="D25" s="4" t="s">
        <v>422</v>
      </c>
      <c r="E25" s="4" t="s">
        <v>423</v>
      </c>
      <c r="F25" s="6"/>
      <c r="G25" s="2"/>
      <c r="H25" s="2"/>
      <c r="I25" s="2">
        <v>1</v>
      </c>
    </row>
    <row r="26" spans="1:9" ht="28.8" x14ac:dyDescent="0.3">
      <c r="A26" s="2" t="s">
        <v>424</v>
      </c>
      <c r="B26" s="5" t="s">
        <v>425</v>
      </c>
      <c r="C26" s="3" t="s">
        <v>426</v>
      </c>
      <c r="D26" s="4" t="s">
        <v>427</v>
      </c>
      <c r="E26" s="4" t="s">
        <v>428</v>
      </c>
      <c r="F26" s="4" t="s">
        <v>429</v>
      </c>
      <c r="G26" s="2"/>
      <c r="H26" s="2"/>
      <c r="I26" s="2">
        <v>1</v>
      </c>
    </row>
    <row r="27" spans="1:9" x14ac:dyDescent="0.3">
      <c r="A27" s="2" t="s">
        <v>430</v>
      </c>
      <c r="B27" s="5" t="s">
        <v>431</v>
      </c>
      <c r="C27" s="3"/>
      <c r="D27" s="6"/>
      <c r="E27" s="2"/>
      <c r="F27" s="6"/>
      <c r="G27" s="2"/>
      <c r="H27" s="2"/>
      <c r="I27" s="2">
        <v>1</v>
      </c>
    </row>
    <row r="28" spans="1:9" s="39" customFormat="1" x14ac:dyDescent="0.3">
      <c r="A28" s="39" t="s">
        <v>3988</v>
      </c>
      <c r="B28" s="40" t="s">
        <v>3987</v>
      </c>
      <c r="C28" s="41" t="s">
        <v>400</v>
      </c>
      <c r="D28" s="39" t="s">
        <v>3989</v>
      </c>
      <c r="G28" s="42" t="s">
        <v>3990</v>
      </c>
      <c r="I28" s="39">
        <v>1</v>
      </c>
    </row>
  </sheetData>
  <hyperlinks>
    <hyperlink ref="G28" r:id="rId1" xr:uid="{9CFC578D-1215-4B5C-94F3-11438F023ABE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5F7D-AD47-4DE1-B43F-FAB7ADB43900}">
  <dimension ref="A1:I1729"/>
  <sheetViews>
    <sheetView zoomScale="85" zoomScaleNormal="85" workbookViewId="0">
      <pane ySplit="1" topLeftCell="A1718" activePane="bottomLeft" state="frozen"/>
      <selection pane="bottomLeft" activeCell="B1721" sqref="B1721"/>
    </sheetView>
  </sheetViews>
  <sheetFormatPr defaultRowHeight="13.2" x14ac:dyDescent="0.25"/>
  <cols>
    <col min="1" max="1" width="25.6640625" style="13" bestFit="1" customWidth="1"/>
    <col min="2" max="2" width="78.33203125" style="13" bestFit="1" customWidth="1"/>
    <col min="3" max="3" width="80.44140625" style="13" customWidth="1"/>
    <col min="4" max="4" width="15.21875" style="13" customWidth="1"/>
    <col min="5" max="5" width="13.44140625" style="13" bestFit="1" customWidth="1"/>
    <col min="6" max="7" width="9.88671875" style="13" customWidth="1"/>
    <col min="8" max="8" width="69.109375" style="13" customWidth="1"/>
    <col min="9" max="9" width="93.33203125" style="13" bestFit="1" customWidth="1"/>
    <col min="10" max="16384" width="8.88671875" style="13"/>
  </cols>
  <sheetData>
    <row r="1" spans="1:9" s="16" customFormat="1" ht="12.6" x14ac:dyDescent="0.2">
      <c r="A1" s="15" t="s">
        <v>432</v>
      </c>
      <c r="B1" s="15" t="s">
        <v>494</v>
      </c>
      <c r="C1" s="15" t="s">
        <v>435</v>
      </c>
      <c r="D1" s="15" t="s">
        <v>433</v>
      </c>
      <c r="E1" s="15" t="s">
        <v>3419</v>
      </c>
      <c r="F1" s="15" t="s">
        <v>483</v>
      </c>
      <c r="G1" s="15" t="s">
        <v>484</v>
      </c>
      <c r="H1" s="15" t="s">
        <v>437</v>
      </c>
      <c r="I1" s="15" t="s">
        <v>438</v>
      </c>
    </row>
    <row r="2" spans="1:9" x14ac:dyDescent="0.25">
      <c r="A2" s="17" t="s">
        <v>320</v>
      </c>
      <c r="B2" s="14" t="s">
        <v>0</v>
      </c>
      <c r="C2" s="18" t="s">
        <v>440</v>
      </c>
      <c r="D2" s="14" t="s">
        <v>439</v>
      </c>
      <c r="E2" s="19" t="s">
        <v>495</v>
      </c>
      <c r="F2" s="19">
        <f>VALUE(LEFT(E2,FIND("/",E2)-1))</f>
        <v>52</v>
      </c>
      <c r="G2" s="19" t="str">
        <f>TRIM(MID(E2,FIND("/",E2)+1,LEN(E2)))</f>
        <v>PC</v>
      </c>
      <c r="H2" s="20" t="s">
        <v>442</v>
      </c>
      <c r="I2" s="14" t="s">
        <v>441</v>
      </c>
    </row>
    <row r="3" spans="1:9" x14ac:dyDescent="0.25">
      <c r="A3" s="17" t="s">
        <v>320</v>
      </c>
      <c r="B3" s="14" t="s">
        <v>0</v>
      </c>
      <c r="C3" s="18" t="s">
        <v>3958</v>
      </c>
      <c r="D3" s="14" t="str">
        <f>LEFT($D$2,FIND("-",$D$2,FIND("-",$D$2)+1)) &amp; TEXT(RIGHT($D$2,3)+ROW(D1),"000")</f>
        <v>1ST-358-002</v>
      </c>
      <c r="E3" s="19" t="s">
        <v>443</v>
      </c>
      <c r="F3" s="19">
        <f t="shared" ref="F3:F66" si="0">VALUE(LEFT(E3,FIND("/",E3)-1))</f>
        <v>90</v>
      </c>
      <c r="G3" s="19" t="str">
        <f t="shared" ref="G3:G66" si="1">TRIM(MID(E3,FIND("/",E3)+1,LEN(E3)))</f>
        <v>PC</v>
      </c>
      <c r="H3" s="20" t="s">
        <v>442</v>
      </c>
      <c r="I3" s="14" t="s">
        <v>441</v>
      </c>
    </row>
    <row r="4" spans="1:9" x14ac:dyDescent="0.25">
      <c r="A4" s="17" t="s">
        <v>320</v>
      </c>
      <c r="B4" s="14" t="s">
        <v>0</v>
      </c>
      <c r="C4" s="19" t="s">
        <v>2604</v>
      </c>
      <c r="D4" s="14" t="str">
        <f t="shared" ref="D4:D67" si="2">LEFT($D$2,FIND("-",$D$2,FIND("-",$D$2)+1)) &amp; TEXT(RIGHT($D$2,3)+ROW(D2),"000")</f>
        <v>1ST-358-003</v>
      </c>
      <c r="E4" s="19" t="s">
        <v>496</v>
      </c>
      <c r="F4" s="19">
        <f t="shared" si="0"/>
        <v>14</v>
      </c>
      <c r="G4" s="19" t="str">
        <f t="shared" si="1"/>
        <v>PC</v>
      </c>
      <c r="H4" s="20" t="s">
        <v>444</v>
      </c>
      <c r="I4" s="14" t="s">
        <v>441</v>
      </c>
    </row>
    <row r="5" spans="1:9" x14ac:dyDescent="0.25">
      <c r="A5" s="17" t="s">
        <v>320</v>
      </c>
      <c r="B5" s="14" t="s">
        <v>0</v>
      </c>
      <c r="C5" s="19" t="s">
        <v>497</v>
      </c>
      <c r="D5" s="14" t="str">
        <f t="shared" si="2"/>
        <v>1ST-358-004</v>
      </c>
      <c r="E5" s="19" t="s">
        <v>498</v>
      </c>
      <c r="F5" s="19">
        <f t="shared" si="0"/>
        <v>28</v>
      </c>
      <c r="G5" s="19" t="str">
        <f t="shared" si="1"/>
        <v>PC</v>
      </c>
      <c r="H5" s="20" t="s">
        <v>445</v>
      </c>
      <c r="I5" s="14" t="s">
        <v>441</v>
      </c>
    </row>
    <row r="6" spans="1:9" x14ac:dyDescent="0.25">
      <c r="A6" s="17" t="s">
        <v>320</v>
      </c>
      <c r="B6" s="14" t="s">
        <v>296</v>
      </c>
      <c r="C6" s="18" t="s">
        <v>499</v>
      </c>
      <c r="D6" s="14" t="str">
        <f t="shared" si="2"/>
        <v>1ST-358-005</v>
      </c>
      <c r="E6" s="19" t="s">
        <v>500</v>
      </c>
      <c r="F6" s="19">
        <f t="shared" si="0"/>
        <v>82</v>
      </c>
      <c r="G6" s="19" t="str">
        <f t="shared" si="1"/>
        <v>PC</v>
      </c>
      <c r="H6" s="20" t="s">
        <v>447</v>
      </c>
      <c r="I6" s="14" t="s">
        <v>441</v>
      </c>
    </row>
    <row r="7" spans="1:9" x14ac:dyDescent="0.25">
      <c r="A7" s="17" t="s">
        <v>320</v>
      </c>
      <c r="B7" s="14" t="s">
        <v>296</v>
      </c>
      <c r="C7" s="18" t="s">
        <v>3631</v>
      </c>
      <c r="D7" s="14" t="str">
        <f t="shared" si="2"/>
        <v>1ST-358-006</v>
      </c>
      <c r="E7" s="19" t="s">
        <v>449</v>
      </c>
      <c r="F7" s="19">
        <f t="shared" si="0"/>
        <v>168</v>
      </c>
      <c r="G7" s="19" t="str">
        <f t="shared" si="1"/>
        <v>PC</v>
      </c>
      <c r="H7" s="20" t="s">
        <v>446</v>
      </c>
      <c r="I7" s="14" t="s">
        <v>441</v>
      </c>
    </row>
    <row r="8" spans="1:9" x14ac:dyDescent="0.25">
      <c r="A8" s="17" t="s">
        <v>320</v>
      </c>
      <c r="B8" s="14" t="s">
        <v>295</v>
      </c>
      <c r="C8" s="18" t="s">
        <v>501</v>
      </c>
      <c r="D8" s="14" t="str">
        <f t="shared" si="2"/>
        <v>1ST-358-007</v>
      </c>
      <c r="E8" s="18" t="s">
        <v>449</v>
      </c>
      <c r="F8" s="19">
        <f t="shared" si="0"/>
        <v>168</v>
      </c>
      <c r="G8" s="19" t="str">
        <f t="shared" si="1"/>
        <v>PC</v>
      </c>
      <c r="H8" s="14" t="s">
        <v>441</v>
      </c>
      <c r="I8" s="14" t="s">
        <v>441</v>
      </c>
    </row>
    <row r="9" spans="1:9" x14ac:dyDescent="0.25">
      <c r="A9" s="17" t="s">
        <v>320</v>
      </c>
      <c r="B9" s="14" t="s">
        <v>295</v>
      </c>
      <c r="C9" s="19" t="s">
        <v>502</v>
      </c>
      <c r="D9" s="14" t="str">
        <f t="shared" si="2"/>
        <v>1ST-358-008</v>
      </c>
      <c r="E9" s="19" t="s">
        <v>503</v>
      </c>
      <c r="F9" s="19">
        <f t="shared" si="0"/>
        <v>180</v>
      </c>
      <c r="G9" s="19" t="str">
        <f t="shared" si="1"/>
        <v>PC</v>
      </c>
      <c r="H9" s="14" t="s">
        <v>441</v>
      </c>
      <c r="I9" s="14" t="s">
        <v>441</v>
      </c>
    </row>
    <row r="10" spans="1:9" x14ac:dyDescent="0.25">
      <c r="A10" s="17" t="s">
        <v>320</v>
      </c>
      <c r="B10" s="14" t="s">
        <v>295</v>
      </c>
      <c r="C10" s="18" t="s">
        <v>448</v>
      </c>
      <c r="D10" s="14" t="str">
        <f t="shared" si="2"/>
        <v>1ST-358-009</v>
      </c>
      <c r="E10" s="18" t="s">
        <v>504</v>
      </c>
      <c r="F10" s="19">
        <f t="shared" si="0"/>
        <v>275</v>
      </c>
      <c r="G10" s="19" t="str">
        <f t="shared" si="1"/>
        <v>PC</v>
      </c>
      <c r="H10" s="18" t="s">
        <v>2605</v>
      </c>
      <c r="I10" s="14" t="s">
        <v>441</v>
      </c>
    </row>
    <row r="11" spans="1:9" x14ac:dyDescent="0.25">
      <c r="A11" s="17" t="s">
        <v>320</v>
      </c>
      <c r="B11" s="14" t="s">
        <v>295</v>
      </c>
      <c r="C11" s="18" t="s">
        <v>505</v>
      </c>
      <c r="D11" s="14" t="str">
        <f t="shared" si="2"/>
        <v>1ST-358-010</v>
      </c>
      <c r="E11" s="18" t="s">
        <v>506</v>
      </c>
      <c r="F11" s="19">
        <f t="shared" si="0"/>
        <v>345</v>
      </c>
      <c r="G11" s="19" t="str">
        <f t="shared" si="1"/>
        <v>PC</v>
      </c>
      <c r="H11" s="18" t="s">
        <v>2606</v>
      </c>
      <c r="I11" s="14" t="s">
        <v>441</v>
      </c>
    </row>
    <row r="12" spans="1:9" x14ac:dyDescent="0.25">
      <c r="A12" s="17" t="s">
        <v>320</v>
      </c>
      <c r="B12" s="14" t="s">
        <v>295</v>
      </c>
      <c r="C12" s="18" t="s">
        <v>507</v>
      </c>
      <c r="D12" s="14" t="str">
        <f t="shared" si="2"/>
        <v>1ST-358-011</v>
      </c>
      <c r="E12" s="18" t="s">
        <v>506</v>
      </c>
      <c r="F12" s="19">
        <f t="shared" si="0"/>
        <v>345</v>
      </c>
      <c r="G12" s="19" t="str">
        <f t="shared" si="1"/>
        <v>PC</v>
      </c>
      <c r="H12" s="18"/>
      <c r="I12" s="14" t="s">
        <v>441</v>
      </c>
    </row>
    <row r="13" spans="1:9" x14ac:dyDescent="0.25">
      <c r="A13" s="17" t="s">
        <v>320</v>
      </c>
      <c r="B13" s="14" t="s">
        <v>295</v>
      </c>
      <c r="C13" s="18" t="s">
        <v>508</v>
      </c>
      <c r="D13" s="14" t="str">
        <f t="shared" si="2"/>
        <v>1ST-358-012</v>
      </c>
      <c r="E13" s="18" t="s">
        <v>509</v>
      </c>
      <c r="F13" s="19">
        <f t="shared" si="0"/>
        <v>515</v>
      </c>
      <c r="G13" s="19" t="str">
        <f t="shared" si="1"/>
        <v>PC</v>
      </c>
      <c r="H13" s="18" t="s">
        <v>2607</v>
      </c>
      <c r="I13" s="14" t="s">
        <v>441</v>
      </c>
    </row>
    <row r="14" spans="1:9" x14ac:dyDescent="0.25">
      <c r="A14" s="17" t="s">
        <v>320</v>
      </c>
      <c r="B14" s="14" t="s">
        <v>295</v>
      </c>
      <c r="C14" s="18" t="s">
        <v>510</v>
      </c>
      <c r="D14" s="14" t="str">
        <f t="shared" si="2"/>
        <v>1ST-358-013</v>
      </c>
      <c r="E14" s="18" t="s">
        <v>509</v>
      </c>
      <c r="F14" s="19">
        <f t="shared" si="0"/>
        <v>515</v>
      </c>
      <c r="G14" s="19" t="str">
        <f t="shared" si="1"/>
        <v>PC</v>
      </c>
      <c r="H14" s="18"/>
      <c r="I14" s="14" t="s">
        <v>441</v>
      </c>
    </row>
    <row r="15" spans="1:9" x14ac:dyDescent="0.25">
      <c r="A15" s="17" t="s">
        <v>320</v>
      </c>
      <c r="B15" s="14" t="s">
        <v>295</v>
      </c>
      <c r="C15" s="18" t="s">
        <v>511</v>
      </c>
      <c r="D15" s="14" t="str">
        <f t="shared" si="2"/>
        <v>1ST-358-014</v>
      </c>
      <c r="E15" s="18" t="s">
        <v>512</v>
      </c>
      <c r="F15" s="19">
        <f t="shared" si="0"/>
        <v>615</v>
      </c>
      <c r="G15" s="19" t="str">
        <f t="shared" si="1"/>
        <v>PC</v>
      </c>
      <c r="H15" s="18" t="s">
        <v>2608</v>
      </c>
      <c r="I15" s="14" t="s">
        <v>441</v>
      </c>
    </row>
    <row r="16" spans="1:9" x14ac:dyDescent="0.25">
      <c r="A16" s="17" t="s">
        <v>320</v>
      </c>
      <c r="B16" s="14" t="s">
        <v>295</v>
      </c>
      <c r="C16" s="18" t="s">
        <v>513</v>
      </c>
      <c r="D16" s="14" t="str">
        <f t="shared" si="2"/>
        <v>1ST-358-015</v>
      </c>
      <c r="E16" s="18" t="s">
        <v>514</v>
      </c>
      <c r="F16" s="19">
        <f t="shared" si="0"/>
        <v>555</v>
      </c>
      <c r="G16" s="19" t="str">
        <f t="shared" si="1"/>
        <v>PC</v>
      </c>
      <c r="H16" s="18" t="s">
        <v>2609</v>
      </c>
      <c r="I16" s="14" t="s">
        <v>441</v>
      </c>
    </row>
    <row r="17" spans="1:9" x14ac:dyDescent="0.25">
      <c r="A17" s="17" t="s">
        <v>320</v>
      </c>
      <c r="B17" s="14" t="s">
        <v>295</v>
      </c>
      <c r="C17" s="18" t="s">
        <v>515</v>
      </c>
      <c r="D17" s="14" t="str">
        <f t="shared" si="2"/>
        <v>1ST-358-016</v>
      </c>
      <c r="E17" s="18" t="s">
        <v>514</v>
      </c>
      <c r="F17" s="19">
        <f t="shared" si="0"/>
        <v>555</v>
      </c>
      <c r="G17" s="19" t="str">
        <f t="shared" si="1"/>
        <v>PC</v>
      </c>
      <c r="H17" s="18"/>
      <c r="I17" s="14" t="s">
        <v>441</v>
      </c>
    </row>
    <row r="18" spans="1:9" x14ac:dyDescent="0.25">
      <c r="A18" s="17" t="s">
        <v>320</v>
      </c>
      <c r="B18" s="14" t="s">
        <v>295</v>
      </c>
      <c r="C18" s="18" t="s">
        <v>516</v>
      </c>
      <c r="D18" s="14" t="str">
        <f t="shared" si="2"/>
        <v>1ST-358-017</v>
      </c>
      <c r="E18" s="18" t="s">
        <v>517</v>
      </c>
      <c r="F18" s="19">
        <f t="shared" si="0"/>
        <v>205</v>
      </c>
      <c r="G18" s="19" t="str">
        <f t="shared" si="1"/>
        <v>PC</v>
      </c>
      <c r="H18" s="18" t="s">
        <v>2610</v>
      </c>
      <c r="I18" s="14" t="s">
        <v>441</v>
      </c>
    </row>
    <row r="19" spans="1:9" x14ac:dyDescent="0.25">
      <c r="A19" s="17" t="s">
        <v>320</v>
      </c>
      <c r="B19" s="14" t="s">
        <v>295</v>
      </c>
      <c r="C19" s="18" t="s">
        <v>518</v>
      </c>
      <c r="D19" s="14" t="str">
        <f t="shared" si="2"/>
        <v>1ST-358-018</v>
      </c>
      <c r="E19" s="18" t="s">
        <v>506</v>
      </c>
      <c r="F19" s="19">
        <f t="shared" si="0"/>
        <v>345</v>
      </c>
      <c r="G19" s="19" t="str">
        <f t="shared" si="1"/>
        <v>PC</v>
      </c>
      <c r="H19" s="18" t="s">
        <v>2606</v>
      </c>
      <c r="I19" s="14" t="s">
        <v>441</v>
      </c>
    </row>
    <row r="20" spans="1:9" x14ac:dyDescent="0.25">
      <c r="A20" s="17" t="s">
        <v>320</v>
      </c>
      <c r="B20" s="14" t="s">
        <v>295</v>
      </c>
      <c r="C20" s="19" t="s">
        <v>3632</v>
      </c>
      <c r="D20" s="14" t="str">
        <f t="shared" si="2"/>
        <v>1ST-358-019</v>
      </c>
      <c r="E20" s="19" t="s">
        <v>519</v>
      </c>
      <c r="F20" s="19">
        <f t="shared" si="0"/>
        <v>1055</v>
      </c>
      <c r="G20" s="19" t="str">
        <f t="shared" si="1"/>
        <v>PC</v>
      </c>
      <c r="H20" s="19" t="s">
        <v>2611</v>
      </c>
      <c r="I20" s="14" t="s">
        <v>441</v>
      </c>
    </row>
    <row r="21" spans="1:9" x14ac:dyDescent="0.25">
      <c r="A21" s="17" t="s">
        <v>320</v>
      </c>
      <c r="B21" s="14" t="s">
        <v>295</v>
      </c>
      <c r="C21" s="19" t="s">
        <v>450</v>
      </c>
      <c r="D21" s="14" t="str">
        <f t="shared" si="2"/>
        <v>1ST-358-020</v>
      </c>
      <c r="E21" s="19" t="s">
        <v>519</v>
      </c>
      <c r="F21" s="19">
        <f t="shared" si="0"/>
        <v>1055</v>
      </c>
      <c r="G21" s="19" t="str">
        <f t="shared" si="1"/>
        <v>PC</v>
      </c>
      <c r="H21" s="19" t="s">
        <v>2611</v>
      </c>
      <c r="I21" s="14" t="s">
        <v>441</v>
      </c>
    </row>
    <row r="22" spans="1:9" x14ac:dyDescent="0.25">
      <c r="A22" s="17" t="s">
        <v>320</v>
      </c>
      <c r="B22" s="14" t="s">
        <v>295</v>
      </c>
      <c r="C22" s="18" t="s">
        <v>451</v>
      </c>
      <c r="D22" s="14" t="str">
        <f t="shared" si="2"/>
        <v>1ST-358-021</v>
      </c>
      <c r="E22" s="19" t="s">
        <v>520</v>
      </c>
      <c r="F22" s="19">
        <f t="shared" si="0"/>
        <v>1250</v>
      </c>
      <c r="G22" s="19" t="str">
        <f t="shared" si="1"/>
        <v>PC</v>
      </c>
      <c r="H22" s="18" t="s">
        <v>2612</v>
      </c>
      <c r="I22" s="14" t="s">
        <v>441</v>
      </c>
    </row>
    <row r="23" spans="1:9" x14ac:dyDescent="0.25">
      <c r="A23" s="17" t="s">
        <v>320</v>
      </c>
      <c r="B23" s="14" t="s">
        <v>295</v>
      </c>
      <c r="C23" s="18" t="s">
        <v>521</v>
      </c>
      <c r="D23" s="14" t="str">
        <f t="shared" si="2"/>
        <v>1ST-358-022</v>
      </c>
      <c r="E23" s="18" t="s">
        <v>522</v>
      </c>
      <c r="F23" s="19">
        <f t="shared" si="0"/>
        <v>1550</v>
      </c>
      <c r="G23" s="19" t="str">
        <f t="shared" si="1"/>
        <v>PC</v>
      </c>
      <c r="H23" s="18" t="s">
        <v>2613</v>
      </c>
      <c r="I23" s="14" t="s">
        <v>441</v>
      </c>
    </row>
    <row r="24" spans="1:9" x14ac:dyDescent="0.25">
      <c r="A24" s="17" t="s">
        <v>320</v>
      </c>
      <c r="B24" s="14" t="s">
        <v>295</v>
      </c>
      <c r="C24" s="18" t="s">
        <v>523</v>
      </c>
      <c r="D24" s="14" t="str">
        <f t="shared" si="2"/>
        <v>1ST-358-023</v>
      </c>
      <c r="E24" s="18" t="s">
        <v>524</v>
      </c>
      <c r="F24" s="19">
        <f t="shared" si="0"/>
        <v>1350</v>
      </c>
      <c r="G24" s="19" t="str">
        <f t="shared" si="1"/>
        <v>PC</v>
      </c>
      <c r="H24" s="18" t="s">
        <v>2614</v>
      </c>
      <c r="I24" s="14" t="s">
        <v>441</v>
      </c>
    </row>
    <row r="25" spans="1:9" x14ac:dyDescent="0.25">
      <c r="A25" s="17" t="s">
        <v>320</v>
      </c>
      <c r="B25" s="14" t="s">
        <v>295</v>
      </c>
      <c r="C25" s="18" t="s">
        <v>3633</v>
      </c>
      <c r="D25" s="14" t="str">
        <f t="shared" si="2"/>
        <v>1ST-358-024</v>
      </c>
      <c r="E25" s="18" t="s">
        <v>525</v>
      </c>
      <c r="F25" s="19">
        <f t="shared" si="0"/>
        <v>1650</v>
      </c>
      <c r="G25" s="19" t="str">
        <f t="shared" si="1"/>
        <v>PC</v>
      </c>
      <c r="H25" s="18" t="s">
        <v>2615</v>
      </c>
      <c r="I25" s="14" t="s">
        <v>441</v>
      </c>
    </row>
    <row r="26" spans="1:9" x14ac:dyDescent="0.25">
      <c r="A26" s="17" t="s">
        <v>320</v>
      </c>
      <c r="B26" s="14" t="s">
        <v>295</v>
      </c>
      <c r="C26" s="18" t="s">
        <v>526</v>
      </c>
      <c r="D26" s="14" t="str">
        <f t="shared" si="2"/>
        <v>1ST-358-025</v>
      </c>
      <c r="E26" s="18" t="s">
        <v>527</v>
      </c>
      <c r="F26" s="19">
        <f t="shared" si="0"/>
        <v>1385</v>
      </c>
      <c r="G26" s="19" t="str">
        <f t="shared" si="1"/>
        <v>PC</v>
      </c>
      <c r="H26" s="18" t="s">
        <v>2616</v>
      </c>
      <c r="I26" s="14" t="s">
        <v>441</v>
      </c>
    </row>
    <row r="27" spans="1:9" x14ac:dyDescent="0.25">
      <c r="A27" s="17" t="s">
        <v>320</v>
      </c>
      <c r="B27" s="14" t="s">
        <v>295</v>
      </c>
      <c r="C27" s="18" t="s">
        <v>528</v>
      </c>
      <c r="D27" s="14" t="str">
        <f t="shared" si="2"/>
        <v>1ST-358-026</v>
      </c>
      <c r="E27" s="18" t="s">
        <v>529</v>
      </c>
      <c r="F27" s="19">
        <f t="shared" si="0"/>
        <v>1685</v>
      </c>
      <c r="G27" s="19" t="str">
        <f t="shared" si="1"/>
        <v>PC</v>
      </c>
      <c r="H27" s="18" t="s">
        <v>2617</v>
      </c>
      <c r="I27" s="14" t="s">
        <v>441</v>
      </c>
    </row>
    <row r="28" spans="1:9" x14ac:dyDescent="0.25">
      <c r="A28" s="17" t="s">
        <v>320</v>
      </c>
      <c r="B28" s="14" t="s">
        <v>295</v>
      </c>
      <c r="C28" s="19" t="s">
        <v>530</v>
      </c>
      <c r="D28" s="14" t="str">
        <f t="shared" si="2"/>
        <v>1ST-358-027</v>
      </c>
      <c r="E28" s="19" t="s">
        <v>531</v>
      </c>
      <c r="F28" s="19">
        <f t="shared" si="0"/>
        <v>1750</v>
      </c>
      <c r="G28" s="19" t="str">
        <f t="shared" si="1"/>
        <v>PC</v>
      </c>
      <c r="H28" s="18" t="s">
        <v>2618</v>
      </c>
      <c r="I28" s="14" t="s">
        <v>441</v>
      </c>
    </row>
    <row r="29" spans="1:9" x14ac:dyDescent="0.25">
      <c r="A29" s="17" t="s">
        <v>320</v>
      </c>
      <c r="B29" s="14" t="s">
        <v>295</v>
      </c>
      <c r="C29" s="19" t="s">
        <v>532</v>
      </c>
      <c r="D29" s="14" t="str">
        <f t="shared" si="2"/>
        <v>1ST-358-028</v>
      </c>
      <c r="E29" s="19" t="s">
        <v>533</v>
      </c>
      <c r="F29" s="19">
        <f t="shared" si="0"/>
        <v>2150</v>
      </c>
      <c r="G29" s="19" t="str">
        <f t="shared" si="1"/>
        <v>PC</v>
      </c>
      <c r="H29" s="18" t="s">
        <v>2619</v>
      </c>
      <c r="I29" s="14" t="s">
        <v>441</v>
      </c>
    </row>
    <row r="30" spans="1:9" x14ac:dyDescent="0.25">
      <c r="A30" s="17" t="s">
        <v>320</v>
      </c>
      <c r="B30" s="14" t="s">
        <v>295</v>
      </c>
      <c r="C30" s="19" t="s">
        <v>534</v>
      </c>
      <c r="D30" s="14" t="str">
        <f t="shared" si="2"/>
        <v>1ST-358-029</v>
      </c>
      <c r="E30" s="19" t="s">
        <v>535</v>
      </c>
      <c r="F30" s="19">
        <f t="shared" si="0"/>
        <v>1950</v>
      </c>
      <c r="G30" s="19" t="str">
        <f t="shared" si="1"/>
        <v>PC</v>
      </c>
      <c r="H30" s="18" t="s">
        <v>2620</v>
      </c>
      <c r="I30" s="14" t="s">
        <v>441</v>
      </c>
    </row>
    <row r="31" spans="1:9" x14ac:dyDescent="0.25">
      <c r="A31" s="17" t="s">
        <v>320</v>
      </c>
      <c r="B31" s="14" t="s">
        <v>295</v>
      </c>
      <c r="C31" s="19" t="s">
        <v>536</v>
      </c>
      <c r="D31" s="14" t="str">
        <f t="shared" si="2"/>
        <v>1ST-358-030</v>
      </c>
      <c r="E31" s="19" t="s">
        <v>537</v>
      </c>
      <c r="F31" s="19">
        <f t="shared" si="0"/>
        <v>2250</v>
      </c>
      <c r="G31" s="19" t="str">
        <f t="shared" si="1"/>
        <v>PC</v>
      </c>
      <c r="H31" s="18" t="s">
        <v>2621</v>
      </c>
      <c r="I31" s="14" t="s">
        <v>441</v>
      </c>
    </row>
    <row r="32" spans="1:9" x14ac:dyDescent="0.25">
      <c r="A32" s="17" t="s">
        <v>320</v>
      </c>
      <c r="B32" s="14" t="s">
        <v>295</v>
      </c>
      <c r="C32" s="18" t="s">
        <v>538</v>
      </c>
      <c r="D32" s="14" t="str">
        <f t="shared" si="2"/>
        <v>1ST-358-031</v>
      </c>
      <c r="E32" s="19" t="s">
        <v>539</v>
      </c>
      <c r="F32" s="19">
        <f t="shared" si="0"/>
        <v>2600</v>
      </c>
      <c r="G32" s="19" t="str">
        <f t="shared" si="1"/>
        <v>SET</v>
      </c>
      <c r="H32" s="18" t="s">
        <v>2622</v>
      </c>
      <c r="I32" s="14" t="s">
        <v>441</v>
      </c>
    </row>
    <row r="33" spans="1:9" x14ac:dyDescent="0.25">
      <c r="A33" s="17" t="s">
        <v>320</v>
      </c>
      <c r="B33" s="14" t="s">
        <v>295</v>
      </c>
      <c r="C33" s="18" t="s">
        <v>540</v>
      </c>
      <c r="D33" s="14" t="str">
        <f t="shared" si="2"/>
        <v>1ST-358-032</v>
      </c>
      <c r="E33" s="19" t="s">
        <v>541</v>
      </c>
      <c r="F33" s="19">
        <f t="shared" si="0"/>
        <v>3500</v>
      </c>
      <c r="G33" s="19" t="str">
        <f t="shared" si="1"/>
        <v>SET</v>
      </c>
      <c r="H33" s="18" t="s">
        <v>2623</v>
      </c>
      <c r="I33" s="14" t="s">
        <v>441</v>
      </c>
    </row>
    <row r="34" spans="1:9" x14ac:dyDescent="0.25">
      <c r="A34" s="17" t="s">
        <v>320</v>
      </c>
      <c r="B34" s="14" t="s">
        <v>295</v>
      </c>
      <c r="C34" s="18" t="s">
        <v>542</v>
      </c>
      <c r="D34" s="14" t="str">
        <f t="shared" si="2"/>
        <v>1ST-358-033</v>
      </c>
      <c r="E34" s="19" t="s">
        <v>543</v>
      </c>
      <c r="F34" s="19">
        <f t="shared" si="0"/>
        <v>4000</v>
      </c>
      <c r="G34" s="19" t="str">
        <f t="shared" si="1"/>
        <v>SET</v>
      </c>
      <c r="H34" s="18" t="s">
        <v>2624</v>
      </c>
      <c r="I34" s="14" t="s">
        <v>441</v>
      </c>
    </row>
    <row r="35" spans="1:9" x14ac:dyDescent="0.25">
      <c r="A35" s="17" t="s">
        <v>320</v>
      </c>
      <c r="B35" s="14" t="s">
        <v>294</v>
      </c>
      <c r="C35" s="18" t="s">
        <v>452</v>
      </c>
      <c r="D35" s="14" t="str">
        <f t="shared" si="2"/>
        <v>1ST-358-034</v>
      </c>
      <c r="E35" s="19" t="s">
        <v>544</v>
      </c>
      <c r="F35" s="19">
        <f t="shared" si="0"/>
        <v>800</v>
      </c>
      <c r="G35" s="19" t="str">
        <f t="shared" si="1"/>
        <v>ROLL</v>
      </c>
      <c r="H35" s="14"/>
      <c r="I35" s="14" t="s">
        <v>441</v>
      </c>
    </row>
    <row r="36" spans="1:9" x14ac:dyDescent="0.25">
      <c r="A36" s="17" t="s">
        <v>320</v>
      </c>
      <c r="B36" s="14" t="s">
        <v>294</v>
      </c>
      <c r="C36" s="18" t="s">
        <v>729</v>
      </c>
      <c r="D36" s="14" t="str">
        <f t="shared" si="2"/>
        <v>1ST-358-035</v>
      </c>
      <c r="E36" s="19" t="s">
        <v>545</v>
      </c>
      <c r="F36" s="19">
        <f t="shared" si="0"/>
        <v>930</v>
      </c>
      <c r="G36" s="19" t="str">
        <f t="shared" si="1"/>
        <v>ROLL</v>
      </c>
      <c r="H36" s="14"/>
      <c r="I36" s="14" t="s">
        <v>441</v>
      </c>
    </row>
    <row r="37" spans="1:9" x14ac:dyDescent="0.25">
      <c r="A37" s="17" t="s">
        <v>320</v>
      </c>
      <c r="B37" s="14" t="s">
        <v>294</v>
      </c>
      <c r="C37" s="18" t="s">
        <v>730</v>
      </c>
      <c r="D37" s="14" t="str">
        <f t="shared" si="2"/>
        <v>1ST-358-036</v>
      </c>
      <c r="E37" s="18" t="s">
        <v>456</v>
      </c>
      <c r="F37" s="19">
        <f t="shared" si="0"/>
        <v>1030</v>
      </c>
      <c r="G37" s="19" t="str">
        <f t="shared" si="1"/>
        <v>ROLL</v>
      </c>
      <c r="H37" s="18" t="s">
        <v>453</v>
      </c>
      <c r="I37" s="14" t="s">
        <v>441</v>
      </c>
    </row>
    <row r="38" spans="1:9" x14ac:dyDescent="0.25">
      <c r="A38" s="17" t="s">
        <v>320</v>
      </c>
      <c r="B38" s="14" t="s">
        <v>294</v>
      </c>
      <c r="C38" s="18" t="s">
        <v>731</v>
      </c>
      <c r="D38" s="14" t="str">
        <f t="shared" si="2"/>
        <v>1ST-358-037</v>
      </c>
      <c r="E38" s="19" t="s">
        <v>546</v>
      </c>
      <c r="F38" s="19">
        <f t="shared" si="0"/>
        <v>1385</v>
      </c>
      <c r="G38" s="19" t="str">
        <f t="shared" si="1"/>
        <v>ROLL</v>
      </c>
      <c r="H38" s="18" t="s">
        <v>454</v>
      </c>
      <c r="I38" s="14" t="s">
        <v>441</v>
      </c>
    </row>
    <row r="39" spans="1:9" x14ac:dyDescent="0.25">
      <c r="A39" s="17" t="s">
        <v>320</v>
      </c>
      <c r="B39" s="14" t="s">
        <v>294</v>
      </c>
      <c r="C39" s="18" t="s">
        <v>732</v>
      </c>
      <c r="D39" s="14" t="str">
        <f t="shared" si="2"/>
        <v>1ST-358-038</v>
      </c>
      <c r="E39" s="18" t="s">
        <v>544</v>
      </c>
      <c r="F39" s="19">
        <f t="shared" si="0"/>
        <v>800</v>
      </c>
      <c r="G39" s="19" t="str">
        <f t="shared" si="1"/>
        <v>ROLL</v>
      </c>
      <c r="H39" s="14"/>
      <c r="I39" s="14" t="s">
        <v>441</v>
      </c>
    </row>
    <row r="40" spans="1:9" x14ac:dyDescent="0.25">
      <c r="A40" s="17" t="s">
        <v>320</v>
      </c>
      <c r="B40" s="14" t="s">
        <v>294</v>
      </c>
      <c r="C40" s="18" t="s">
        <v>733</v>
      </c>
      <c r="D40" s="14" t="str">
        <f t="shared" si="2"/>
        <v>1ST-358-039</v>
      </c>
      <c r="E40" s="18" t="s">
        <v>545</v>
      </c>
      <c r="F40" s="19">
        <f t="shared" si="0"/>
        <v>930</v>
      </c>
      <c r="G40" s="19" t="str">
        <f t="shared" si="1"/>
        <v>ROLL</v>
      </c>
      <c r="H40" s="14"/>
      <c r="I40" s="14" t="s">
        <v>441</v>
      </c>
    </row>
    <row r="41" spans="1:9" x14ac:dyDescent="0.25">
      <c r="A41" s="17" t="s">
        <v>320</v>
      </c>
      <c r="B41" s="14" t="s">
        <v>294</v>
      </c>
      <c r="C41" s="19" t="s">
        <v>734</v>
      </c>
      <c r="D41" s="14" t="str">
        <f t="shared" si="2"/>
        <v>1ST-358-040</v>
      </c>
      <c r="E41" s="19" t="s">
        <v>456</v>
      </c>
      <c r="F41" s="19">
        <f t="shared" si="0"/>
        <v>1030</v>
      </c>
      <c r="G41" s="19" t="str">
        <f t="shared" si="1"/>
        <v>ROLL</v>
      </c>
      <c r="H41" s="14"/>
      <c r="I41" s="14" t="s">
        <v>441</v>
      </c>
    </row>
    <row r="42" spans="1:9" x14ac:dyDescent="0.25">
      <c r="A42" s="17" t="s">
        <v>320</v>
      </c>
      <c r="B42" s="14" t="s">
        <v>294</v>
      </c>
      <c r="C42" s="19" t="s">
        <v>735</v>
      </c>
      <c r="D42" s="14" t="str">
        <f t="shared" si="2"/>
        <v>1ST-358-041</v>
      </c>
      <c r="E42" s="19" t="s">
        <v>546</v>
      </c>
      <c r="F42" s="19">
        <f t="shared" si="0"/>
        <v>1385</v>
      </c>
      <c r="G42" s="19" t="str">
        <f t="shared" si="1"/>
        <v>ROLL</v>
      </c>
      <c r="H42" s="14"/>
      <c r="I42" s="14" t="s">
        <v>441</v>
      </c>
    </row>
    <row r="43" spans="1:9" x14ac:dyDescent="0.25">
      <c r="A43" s="17" t="s">
        <v>320</v>
      </c>
      <c r="B43" s="14" t="s">
        <v>293</v>
      </c>
      <c r="C43" s="18" t="s">
        <v>455</v>
      </c>
      <c r="D43" s="14" t="str">
        <f t="shared" si="2"/>
        <v>1ST-358-042</v>
      </c>
      <c r="E43" s="18" t="s">
        <v>459</v>
      </c>
      <c r="F43" s="19">
        <f t="shared" si="0"/>
        <v>750</v>
      </c>
      <c r="G43" s="19" t="str">
        <f t="shared" si="1"/>
        <v>ROLL</v>
      </c>
      <c r="H43" s="20" t="s">
        <v>460</v>
      </c>
      <c r="I43" s="14" t="s">
        <v>441</v>
      </c>
    </row>
    <row r="44" spans="1:9" x14ac:dyDescent="0.25">
      <c r="A44" s="17" t="s">
        <v>320</v>
      </c>
      <c r="B44" s="14" t="s">
        <v>293</v>
      </c>
      <c r="C44" s="20" t="s">
        <v>464</v>
      </c>
      <c r="D44" s="14" t="str">
        <f t="shared" si="2"/>
        <v>1ST-358-043</v>
      </c>
      <c r="E44" s="18" t="s">
        <v>547</v>
      </c>
      <c r="F44" s="19">
        <f t="shared" si="0"/>
        <v>900</v>
      </c>
      <c r="G44" s="19" t="str">
        <f t="shared" si="1"/>
        <v>ROLL</v>
      </c>
      <c r="H44" s="20" t="s">
        <v>461</v>
      </c>
      <c r="I44" s="14" t="s">
        <v>441</v>
      </c>
    </row>
    <row r="45" spans="1:9" x14ac:dyDescent="0.25">
      <c r="A45" s="17" t="s">
        <v>320</v>
      </c>
      <c r="B45" s="14" t="s">
        <v>293</v>
      </c>
      <c r="C45" s="14" t="s">
        <v>457</v>
      </c>
      <c r="D45" s="14" t="str">
        <f t="shared" si="2"/>
        <v>1ST-358-044</v>
      </c>
      <c r="E45" s="18" t="s">
        <v>548</v>
      </c>
      <c r="F45" s="19">
        <f t="shared" si="0"/>
        <v>1200</v>
      </c>
      <c r="G45" s="19" t="str">
        <f t="shared" si="1"/>
        <v>ROLL</v>
      </c>
      <c r="H45" s="20" t="s">
        <v>462</v>
      </c>
      <c r="I45" s="14" t="s">
        <v>441</v>
      </c>
    </row>
    <row r="46" spans="1:9" x14ac:dyDescent="0.25">
      <c r="A46" s="17" t="s">
        <v>320</v>
      </c>
      <c r="B46" s="14" t="s">
        <v>293</v>
      </c>
      <c r="C46" s="14" t="s">
        <v>458</v>
      </c>
      <c r="D46" s="14" t="str">
        <f t="shared" si="2"/>
        <v>1ST-358-045</v>
      </c>
      <c r="E46" s="18" t="s">
        <v>549</v>
      </c>
      <c r="F46" s="19">
        <f t="shared" si="0"/>
        <v>1650</v>
      </c>
      <c r="G46" s="19" t="str">
        <f t="shared" si="1"/>
        <v>ROLL</v>
      </c>
      <c r="H46" s="20" t="s">
        <v>463</v>
      </c>
      <c r="I46" s="14" t="s">
        <v>441</v>
      </c>
    </row>
    <row r="47" spans="1:9" x14ac:dyDescent="0.25">
      <c r="A47" s="17" t="s">
        <v>320</v>
      </c>
      <c r="B47" s="14" t="s">
        <v>292</v>
      </c>
      <c r="C47" s="18" t="s">
        <v>550</v>
      </c>
      <c r="D47" s="14" t="str">
        <f t="shared" si="2"/>
        <v>1ST-358-046</v>
      </c>
      <c r="E47" s="18" t="s">
        <v>551</v>
      </c>
      <c r="F47" s="19">
        <f t="shared" si="0"/>
        <v>250</v>
      </c>
      <c r="G47" s="19" t="str">
        <f t="shared" si="1"/>
        <v>ROLL</v>
      </c>
      <c r="H47" s="20" t="s">
        <v>465</v>
      </c>
      <c r="I47" s="14" t="s">
        <v>441</v>
      </c>
    </row>
    <row r="48" spans="1:9" x14ac:dyDescent="0.25">
      <c r="A48" s="17" t="s">
        <v>320</v>
      </c>
      <c r="B48" s="14" t="s">
        <v>292</v>
      </c>
      <c r="C48" s="18" t="s">
        <v>552</v>
      </c>
      <c r="D48" s="14" t="str">
        <f t="shared" si="2"/>
        <v>1ST-358-047</v>
      </c>
      <c r="E48" s="18" t="s">
        <v>553</v>
      </c>
      <c r="F48" s="19">
        <f t="shared" si="0"/>
        <v>405</v>
      </c>
      <c r="G48" s="19" t="str">
        <f t="shared" si="1"/>
        <v>ROLL</v>
      </c>
      <c r="H48" s="20" t="s">
        <v>465</v>
      </c>
      <c r="I48" s="14" t="s">
        <v>441</v>
      </c>
    </row>
    <row r="49" spans="1:9" x14ac:dyDescent="0.25">
      <c r="A49" s="17" t="s">
        <v>320</v>
      </c>
      <c r="B49" s="14" t="s">
        <v>292</v>
      </c>
      <c r="C49" s="18" t="s">
        <v>554</v>
      </c>
      <c r="D49" s="14" t="str">
        <f t="shared" si="2"/>
        <v>1ST-358-048</v>
      </c>
      <c r="E49" s="18" t="s">
        <v>555</v>
      </c>
      <c r="F49" s="19">
        <f t="shared" si="0"/>
        <v>485</v>
      </c>
      <c r="G49" s="19" t="str">
        <f t="shared" si="1"/>
        <v>ROLL</v>
      </c>
      <c r="H49" s="20" t="s">
        <v>465</v>
      </c>
      <c r="I49" s="14" t="s">
        <v>441</v>
      </c>
    </row>
    <row r="50" spans="1:9" x14ac:dyDescent="0.25">
      <c r="A50" s="17" t="s">
        <v>320</v>
      </c>
      <c r="B50" s="14" t="s">
        <v>292</v>
      </c>
      <c r="C50" s="18" t="s">
        <v>556</v>
      </c>
      <c r="D50" s="14" t="str">
        <f t="shared" si="2"/>
        <v>1ST-358-049</v>
      </c>
      <c r="E50" s="18" t="s">
        <v>557</v>
      </c>
      <c r="F50" s="19">
        <f t="shared" si="0"/>
        <v>845</v>
      </c>
      <c r="G50" s="19" t="str">
        <f t="shared" si="1"/>
        <v>ROLL</v>
      </c>
      <c r="H50" s="20" t="s">
        <v>465</v>
      </c>
      <c r="I50" s="14" t="s">
        <v>441</v>
      </c>
    </row>
    <row r="51" spans="1:9" x14ac:dyDescent="0.25">
      <c r="A51" s="17" t="s">
        <v>320</v>
      </c>
      <c r="B51" s="14" t="s">
        <v>292</v>
      </c>
      <c r="C51" s="18" t="s">
        <v>558</v>
      </c>
      <c r="D51" s="14" t="str">
        <f t="shared" si="2"/>
        <v>1ST-358-050</v>
      </c>
      <c r="E51" s="18" t="s">
        <v>559</v>
      </c>
      <c r="F51" s="19">
        <f t="shared" si="0"/>
        <v>555</v>
      </c>
      <c r="G51" s="19" t="str">
        <f t="shared" si="1"/>
        <v>ROLL</v>
      </c>
      <c r="H51" s="20" t="s">
        <v>465</v>
      </c>
      <c r="I51" s="14" t="s">
        <v>441</v>
      </c>
    </row>
    <row r="52" spans="1:9" x14ac:dyDescent="0.25">
      <c r="A52" s="17" t="s">
        <v>320</v>
      </c>
      <c r="B52" s="14" t="s">
        <v>292</v>
      </c>
      <c r="C52" s="18" t="s">
        <v>560</v>
      </c>
      <c r="D52" s="14" t="str">
        <f t="shared" si="2"/>
        <v>1ST-358-051</v>
      </c>
      <c r="E52" s="18" t="s">
        <v>561</v>
      </c>
      <c r="F52" s="19">
        <f t="shared" si="0"/>
        <v>825</v>
      </c>
      <c r="G52" s="19" t="str">
        <f t="shared" si="1"/>
        <v>ROLL</v>
      </c>
      <c r="H52" s="20" t="s">
        <v>465</v>
      </c>
      <c r="I52" s="14" t="s">
        <v>441</v>
      </c>
    </row>
    <row r="53" spans="1:9" x14ac:dyDescent="0.25">
      <c r="A53" s="17" t="s">
        <v>320</v>
      </c>
      <c r="B53" s="14" t="s">
        <v>292</v>
      </c>
      <c r="C53" s="18" t="s">
        <v>562</v>
      </c>
      <c r="D53" s="14" t="str">
        <f t="shared" si="2"/>
        <v>1ST-358-052</v>
      </c>
      <c r="E53" s="18" t="s">
        <v>563</v>
      </c>
      <c r="F53" s="19">
        <f t="shared" si="0"/>
        <v>1350</v>
      </c>
      <c r="G53" s="19" t="str">
        <f t="shared" si="1"/>
        <v>ROLL</v>
      </c>
      <c r="H53" s="20" t="s">
        <v>465</v>
      </c>
      <c r="I53" s="14" t="s">
        <v>441</v>
      </c>
    </row>
    <row r="54" spans="1:9" x14ac:dyDescent="0.25">
      <c r="A54" s="17" t="s">
        <v>320</v>
      </c>
      <c r="B54" s="14" t="s">
        <v>291</v>
      </c>
      <c r="C54" s="19" t="s">
        <v>564</v>
      </c>
      <c r="D54" s="14" t="str">
        <f t="shared" si="2"/>
        <v>1ST-358-053</v>
      </c>
      <c r="E54" s="19" t="s">
        <v>547</v>
      </c>
      <c r="F54" s="19">
        <f t="shared" si="0"/>
        <v>900</v>
      </c>
      <c r="G54" s="19" t="str">
        <f t="shared" si="1"/>
        <v>ROLL</v>
      </c>
      <c r="H54" s="18" t="s">
        <v>2625</v>
      </c>
      <c r="I54" s="14" t="s">
        <v>441</v>
      </c>
    </row>
    <row r="55" spans="1:9" x14ac:dyDescent="0.25">
      <c r="A55" s="17" t="s">
        <v>320</v>
      </c>
      <c r="B55" s="14" t="s">
        <v>291</v>
      </c>
      <c r="C55" s="19" t="s">
        <v>565</v>
      </c>
      <c r="D55" s="14" t="str">
        <f t="shared" si="2"/>
        <v>1ST-358-054</v>
      </c>
      <c r="E55" s="19" t="s">
        <v>566</v>
      </c>
      <c r="F55" s="19">
        <f t="shared" si="0"/>
        <v>990</v>
      </c>
      <c r="G55" s="19" t="str">
        <f t="shared" si="1"/>
        <v>ROLL</v>
      </c>
      <c r="H55" s="18" t="s">
        <v>2626</v>
      </c>
      <c r="I55" s="14" t="s">
        <v>441</v>
      </c>
    </row>
    <row r="56" spans="1:9" x14ac:dyDescent="0.25">
      <c r="A56" s="17" t="s">
        <v>320</v>
      </c>
      <c r="B56" s="14" t="s">
        <v>291</v>
      </c>
      <c r="C56" s="19" t="s">
        <v>567</v>
      </c>
      <c r="D56" s="14" t="str">
        <f t="shared" si="2"/>
        <v>1ST-358-055</v>
      </c>
      <c r="E56" s="19" t="s">
        <v>568</v>
      </c>
      <c r="F56" s="19">
        <f t="shared" si="0"/>
        <v>1190</v>
      </c>
      <c r="G56" s="19" t="str">
        <f t="shared" si="1"/>
        <v>ROLL</v>
      </c>
      <c r="H56" s="18" t="s">
        <v>2627</v>
      </c>
      <c r="I56" s="14" t="s">
        <v>441</v>
      </c>
    </row>
    <row r="57" spans="1:9" x14ac:dyDescent="0.25">
      <c r="A57" s="17" t="s">
        <v>320</v>
      </c>
      <c r="B57" s="14" t="s">
        <v>291</v>
      </c>
      <c r="C57" s="19" t="s">
        <v>569</v>
      </c>
      <c r="D57" s="14" t="str">
        <f t="shared" si="2"/>
        <v>1ST-358-056</v>
      </c>
      <c r="E57" s="19" t="s">
        <v>570</v>
      </c>
      <c r="F57" s="19">
        <f t="shared" si="0"/>
        <v>1620</v>
      </c>
      <c r="G57" s="19" t="str">
        <f t="shared" si="1"/>
        <v>ROLL</v>
      </c>
      <c r="H57" s="18" t="s">
        <v>2628</v>
      </c>
      <c r="I57" s="14" t="s">
        <v>441</v>
      </c>
    </row>
    <row r="58" spans="1:9" x14ac:dyDescent="0.25">
      <c r="A58" s="17" t="s">
        <v>320</v>
      </c>
      <c r="B58" s="14" t="s">
        <v>291</v>
      </c>
      <c r="C58" s="18" t="s">
        <v>571</v>
      </c>
      <c r="D58" s="14" t="str">
        <f t="shared" si="2"/>
        <v>1ST-358-057</v>
      </c>
      <c r="E58" s="18" t="s">
        <v>572</v>
      </c>
      <c r="F58" s="19">
        <f t="shared" si="0"/>
        <v>1965</v>
      </c>
      <c r="G58" s="19" t="str">
        <f t="shared" si="1"/>
        <v>ROLL</v>
      </c>
      <c r="H58" s="18" t="s">
        <v>2629</v>
      </c>
      <c r="I58" s="14" t="s">
        <v>441</v>
      </c>
    </row>
    <row r="59" spans="1:9" x14ac:dyDescent="0.25">
      <c r="A59" s="17" t="s">
        <v>320</v>
      </c>
      <c r="B59" s="14" t="s">
        <v>291</v>
      </c>
      <c r="C59" s="19" t="s">
        <v>573</v>
      </c>
      <c r="D59" s="14" t="str">
        <f t="shared" si="2"/>
        <v>1ST-358-058</v>
      </c>
      <c r="E59" s="19" t="s">
        <v>574</v>
      </c>
      <c r="F59" s="19">
        <f t="shared" si="0"/>
        <v>2125</v>
      </c>
      <c r="G59" s="19" t="str">
        <f t="shared" si="1"/>
        <v>ROLL</v>
      </c>
      <c r="H59" s="18" t="s">
        <v>2630</v>
      </c>
      <c r="I59" s="14" t="s">
        <v>441</v>
      </c>
    </row>
    <row r="60" spans="1:9" x14ac:dyDescent="0.25">
      <c r="A60" s="17" t="s">
        <v>320</v>
      </c>
      <c r="B60" s="14" t="s">
        <v>291</v>
      </c>
      <c r="C60" s="19" t="s">
        <v>3634</v>
      </c>
      <c r="D60" s="14" t="str">
        <f t="shared" si="2"/>
        <v>1ST-358-059</v>
      </c>
      <c r="E60" s="19" t="s">
        <v>575</v>
      </c>
      <c r="F60" s="19">
        <f t="shared" si="0"/>
        <v>2420</v>
      </c>
      <c r="G60" s="19" t="str">
        <f t="shared" si="1"/>
        <v>ROLL</v>
      </c>
      <c r="H60" s="18" t="s">
        <v>2631</v>
      </c>
      <c r="I60" s="14" t="s">
        <v>441</v>
      </c>
    </row>
    <row r="61" spans="1:9" x14ac:dyDescent="0.25">
      <c r="A61" s="17" t="s">
        <v>320</v>
      </c>
      <c r="B61" s="14" t="s">
        <v>291</v>
      </c>
      <c r="C61" s="19" t="s">
        <v>576</v>
      </c>
      <c r="D61" s="14" t="str">
        <f t="shared" si="2"/>
        <v>1ST-358-060</v>
      </c>
      <c r="E61" s="19" t="s">
        <v>577</v>
      </c>
      <c r="F61" s="19">
        <f t="shared" si="0"/>
        <v>2800</v>
      </c>
      <c r="G61" s="19" t="str">
        <f t="shared" si="1"/>
        <v>ROLL</v>
      </c>
      <c r="H61" s="18" t="s">
        <v>2632</v>
      </c>
      <c r="I61" s="14" t="s">
        <v>441</v>
      </c>
    </row>
    <row r="62" spans="1:9" x14ac:dyDescent="0.25">
      <c r="A62" s="17" t="s">
        <v>320</v>
      </c>
      <c r="B62" s="14" t="s">
        <v>291</v>
      </c>
      <c r="C62" s="19" t="s">
        <v>578</v>
      </c>
      <c r="D62" s="14" t="str">
        <f t="shared" si="2"/>
        <v>1ST-358-061</v>
      </c>
      <c r="E62" s="19" t="s">
        <v>579</v>
      </c>
      <c r="F62" s="19">
        <f t="shared" si="0"/>
        <v>3700</v>
      </c>
      <c r="G62" s="19" t="str">
        <f t="shared" si="1"/>
        <v>ROLL</v>
      </c>
      <c r="H62" s="18" t="s">
        <v>2633</v>
      </c>
      <c r="I62" s="14" t="s">
        <v>441</v>
      </c>
    </row>
    <row r="63" spans="1:9" x14ac:dyDescent="0.25">
      <c r="A63" s="17" t="s">
        <v>320</v>
      </c>
      <c r="B63" s="14" t="s">
        <v>291</v>
      </c>
      <c r="C63" s="18" t="s">
        <v>580</v>
      </c>
      <c r="D63" s="14" t="str">
        <f t="shared" si="2"/>
        <v>1ST-358-062</v>
      </c>
      <c r="E63" s="18" t="s">
        <v>581</v>
      </c>
      <c r="F63" s="19">
        <f t="shared" si="0"/>
        <v>6480</v>
      </c>
      <c r="G63" s="19" t="str">
        <f t="shared" si="1"/>
        <v>ROLL</v>
      </c>
      <c r="H63" s="18" t="s">
        <v>2634</v>
      </c>
      <c r="I63" s="14" t="s">
        <v>441</v>
      </c>
    </row>
    <row r="64" spans="1:9" x14ac:dyDescent="0.25">
      <c r="A64" s="17" t="s">
        <v>320</v>
      </c>
      <c r="B64" s="14" t="s">
        <v>290</v>
      </c>
      <c r="C64" s="19" t="s">
        <v>582</v>
      </c>
      <c r="D64" s="14" t="str">
        <f t="shared" si="2"/>
        <v>1ST-358-063</v>
      </c>
      <c r="E64" s="19" t="s">
        <v>583</v>
      </c>
      <c r="F64" s="19">
        <f t="shared" si="0"/>
        <v>18.5</v>
      </c>
      <c r="G64" s="19" t="str">
        <f t="shared" si="1"/>
        <v>PC</v>
      </c>
      <c r="H64" s="18" t="s">
        <v>2635</v>
      </c>
      <c r="I64" s="14" t="s">
        <v>441</v>
      </c>
    </row>
    <row r="65" spans="1:9" x14ac:dyDescent="0.25">
      <c r="A65" s="17" t="s">
        <v>320</v>
      </c>
      <c r="B65" s="14" t="s">
        <v>290</v>
      </c>
      <c r="C65" s="19" t="s">
        <v>584</v>
      </c>
      <c r="D65" s="14" t="str">
        <f t="shared" si="2"/>
        <v>1ST-358-064</v>
      </c>
      <c r="E65" s="19" t="s">
        <v>585</v>
      </c>
      <c r="F65" s="19">
        <f t="shared" si="0"/>
        <v>19.5</v>
      </c>
      <c r="G65" s="19" t="str">
        <f t="shared" si="1"/>
        <v>PC</v>
      </c>
      <c r="H65" s="18" t="s">
        <v>2636</v>
      </c>
      <c r="I65" s="14" t="s">
        <v>441</v>
      </c>
    </row>
    <row r="66" spans="1:9" x14ac:dyDescent="0.25">
      <c r="A66" s="17" t="s">
        <v>320</v>
      </c>
      <c r="B66" s="14" t="s">
        <v>290</v>
      </c>
      <c r="C66" s="19" t="s">
        <v>586</v>
      </c>
      <c r="D66" s="14" t="str">
        <f t="shared" si="2"/>
        <v>1ST-358-065</v>
      </c>
      <c r="E66" s="19" t="s">
        <v>587</v>
      </c>
      <c r="F66" s="19">
        <f t="shared" si="0"/>
        <v>20.5</v>
      </c>
      <c r="G66" s="19" t="str">
        <f t="shared" si="1"/>
        <v>PC</v>
      </c>
      <c r="H66" s="18" t="s">
        <v>2637</v>
      </c>
      <c r="I66" s="14" t="s">
        <v>441</v>
      </c>
    </row>
    <row r="67" spans="1:9" x14ac:dyDescent="0.25">
      <c r="A67" s="17" t="s">
        <v>320</v>
      </c>
      <c r="B67" s="14" t="s">
        <v>289</v>
      </c>
      <c r="C67" s="19" t="s">
        <v>588</v>
      </c>
      <c r="D67" s="14" t="str">
        <f t="shared" si="2"/>
        <v>1ST-358-066</v>
      </c>
      <c r="E67" s="19" t="s">
        <v>589</v>
      </c>
      <c r="F67" s="19">
        <f t="shared" ref="F67:F130" si="3">VALUE(LEFT(E67,FIND("/",E67)-1))</f>
        <v>1150</v>
      </c>
      <c r="G67" s="19" t="str">
        <f t="shared" ref="G67:G126" si="4">TRIM(MID(E67,FIND("/",E67)+1,LEN(E67)))</f>
        <v>PC</v>
      </c>
      <c r="H67" s="18" t="s">
        <v>2638</v>
      </c>
      <c r="I67" s="14" t="s">
        <v>441</v>
      </c>
    </row>
    <row r="68" spans="1:9" x14ac:dyDescent="0.25">
      <c r="A68" s="17" t="s">
        <v>320</v>
      </c>
      <c r="B68" s="14" t="s">
        <v>289</v>
      </c>
      <c r="C68" s="19" t="s">
        <v>590</v>
      </c>
      <c r="D68" s="14" t="str">
        <f t="shared" ref="D68:D131" si="5">LEFT($D$2,FIND("-",$D$2,FIND("-",$D$2)+1)) &amp; TEXT(RIGHT($D$2,3)+ROW(D66),"000")</f>
        <v>1ST-358-067</v>
      </c>
      <c r="E68" s="19" t="s">
        <v>591</v>
      </c>
      <c r="F68" s="19">
        <f t="shared" si="3"/>
        <v>2200</v>
      </c>
      <c r="G68" s="19" t="str">
        <f t="shared" si="4"/>
        <v>PC</v>
      </c>
      <c r="H68" s="18" t="s">
        <v>2639</v>
      </c>
      <c r="I68" s="14" t="s">
        <v>441</v>
      </c>
    </row>
    <row r="69" spans="1:9" x14ac:dyDescent="0.25">
      <c r="A69" s="17" t="s">
        <v>320</v>
      </c>
      <c r="B69" s="14" t="s">
        <v>288</v>
      </c>
      <c r="C69" s="19" t="s">
        <v>466</v>
      </c>
      <c r="D69" s="14" t="str">
        <f t="shared" si="5"/>
        <v>1ST-358-068</v>
      </c>
      <c r="E69" s="19" t="s">
        <v>467</v>
      </c>
      <c r="F69" s="19">
        <f t="shared" si="3"/>
        <v>300</v>
      </c>
      <c r="G69" s="19" t="str">
        <f t="shared" si="4"/>
        <v>BOX</v>
      </c>
      <c r="H69" s="18" t="s">
        <v>468</v>
      </c>
      <c r="I69" s="14" t="s">
        <v>441</v>
      </c>
    </row>
    <row r="70" spans="1:9" x14ac:dyDescent="0.25">
      <c r="A70" s="17" t="s">
        <v>320</v>
      </c>
      <c r="B70" s="14" t="s">
        <v>287</v>
      </c>
      <c r="C70" s="14" t="s">
        <v>469</v>
      </c>
      <c r="D70" s="14" t="str">
        <f t="shared" si="5"/>
        <v>1ST-358-069</v>
      </c>
      <c r="E70" s="19" t="s">
        <v>592</v>
      </c>
      <c r="F70" s="19">
        <f t="shared" si="3"/>
        <v>2900</v>
      </c>
      <c r="G70" s="19" t="str">
        <f t="shared" si="4"/>
        <v>PC</v>
      </c>
      <c r="H70" s="18" t="s">
        <v>441</v>
      </c>
      <c r="I70" s="14" t="s">
        <v>441</v>
      </c>
    </row>
    <row r="71" spans="1:9" x14ac:dyDescent="0.25">
      <c r="A71" s="17" t="s">
        <v>320</v>
      </c>
      <c r="B71" s="14" t="s">
        <v>286</v>
      </c>
      <c r="C71" s="18" t="s">
        <v>593</v>
      </c>
      <c r="D71" s="14" t="str">
        <f t="shared" si="5"/>
        <v>1ST-358-070</v>
      </c>
      <c r="E71" s="19" t="s">
        <v>485</v>
      </c>
      <c r="F71" s="19">
        <f t="shared" si="3"/>
        <v>2150</v>
      </c>
      <c r="G71" s="19" t="str">
        <f t="shared" si="4"/>
        <v>SET</v>
      </c>
      <c r="H71" s="18" t="s">
        <v>470</v>
      </c>
      <c r="I71" s="14" t="s">
        <v>441</v>
      </c>
    </row>
    <row r="72" spans="1:9" x14ac:dyDescent="0.25">
      <c r="A72" s="17" t="s">
        <v>320</v>
      </c>
      <c r="B72" s="14" t="s">
        <v>286</v>
      </c>
      <c r="C72" s="18" t="s">
        <v>594</v>
      </c>
      <c r="D72" s="14" t="str">
        <f t="shared" si="5"/>
        <v>1ST-358-071</v>
      </c>
      <c r="E72" s="19" t="s">
        <v>485</v>
      </c>
      <c r="F72" s="19">
        <f t="shared" si="3"/>
        <v>2150</v>
      </c>
      <c r="G72" s="19" t="str">
        <f t="shared" si="4"/>
        <v>SET</v>
      </c>
      <c r="H72" s="18" t="s">
        <v>470</v>
      </c>
      <c r="I72" s="14" t="s">
        <v>441</v>
      </c>
    </row>
    <row r="73" spans="1:9" x14ac:dyDescent="0.25">
      <c r="A73" s="17" t="s">
        <v>320</v>
      </c>
      <c r="B73" s="14" t="s">
        <v>286</v>
      </c>
      <c r="C73" s="18" t="s">
        <v>595</v>
      </c>
      <c r="D73" s="14" t="str">
        <f t="shared" si="5"/>
        <v>1ST-358-072</v>
      </c>
      <c r="E73" s="19" t="s">
        <v>485</v>
      </c>
      <c r="F73" s="19">
        <f t="shared" si="3"/>
        <v>2150</v>
      </c>
      <c r="G73" s="19" t="str">
        <f t="shared" si="4"/>
        <v>SET</v>
      </c>
      <c r="H73" s="18" t="s">
        <v>470</v>
      </c>
      <c r="I73" s="14" t="s">
        <v>441</v>
      </c>
    </row>
    <row r="74" spans="1:9" x14ac:dyDescent="0.25">
      <c r="A74" s="17" t="s">
        <v>320</v>
      </c>
      <c r="B74" s="14" t="s">
        <v>285</v>
      </c>
      <c r="C74" s="19" t="s">
        <v>596</v>
      </c>
      <c r="D74" s="14" t="str">
        <f t="shared" si="5"/>
        <v>1ST-358-073</v>
      </c>
      <c r="E74" s="19" t="s">
        <v>597</v>
      </c>
      <c r="F74" s="19">
        <f t="shared" si="3"/>
        <v>205</v>
      </c>
      <c r="G74" s="19" t="str">
        <f t="shared" si="4"/>
        <v>ROLL</v>
      </c>
      <c r="H74" s="18" t="s">
        <v>2640</v>
      </c>
      <c r="I74" s="14" t="s">
        <v>441</v>
      </c>
    </row>
    <row r="75" spans="1:9" x14ac:dyDescent="0.25">
      <c r="A75" s="17" t="s">
        <v>320</v>
      </c>
      <c r="B75" s="14" t="s">
        <v>285</v>
      </c>
      <c r="C75" s="19" t="s">
        <v>598</v>
      </c>
      <c r="D75" s="14" t="str">
        <f t="shared" si="5"/>
        <v>1ST-358-074</v>
      </c>
      <c r="E75" s="19" t="s">
        <v>599</v>
      </c>
      <c r="F75" s="19">
        <f t="shared" si="3"/>
        <v>285</v>
      </c>
      <c r="G75" s="19" t="str">
        <f t="shared" si="4"/>
        <v>ROLL</v>
      </c>
      <c r="H75" s="18" t="s">
        <v>2641</v>
      </c>
      <c r="I75" s="14" t="s">
        <v>441</v>
      </c>
    </row>
    <row r="76" spans="1:9" x14ac:dyDescent="0.25">
      <c r="A76" s="17" t="s">
        <v>320</v>
      </c>
      <c r="B76" s="14" t="s">
        <v>285</v>
      </c>
      <c r="C76" s="19" t="s">
        <v>600</v>
      </c>
      <c r="D76" s="14" t="str">
        <f t="shared" si="5"/>
        <v>1ST-358-075</v>
      </c>
      <c r="E76" s="19" t="s">
        <v>601</v>
      </c>
      <c r="F76" s="19">
        <f t="shared" si="3"/>
        <v>365</v>
      </c>
      <c r="G76" s="19" t="str">
        <f t="shared" si="4"/>
        <v>ROLL</v>
      </c>
      <c r="H76" s="18" t="s">
        <v>2642</v>
      </c>
      <c r="I76" s="14" t="s">
        <v>441</v>
      </c>
    </row>
    <row r="77" spans="1:9" x14ac:dyDescent="0.25">
      <c r="A77" s="17" t="s">
        <v>320</v>
      </c>
      <c r="B77" s="14" t="s">
        <v>285</v>
      </c>
      <c r="C77" s="19" t="s">
        <v>602</v>
      </c>
      <c r="D77" s="14" t="str">
        <f t="shared" si="5"/>
        <v>1ST-358-076</v>
      </c>
      <c r="E77" s="19" t="s">
        <v>603</v>
      </c>
      <c r="F77" s="19">
        <f t="shared" si="3"/>
        <v>455</v>
      </c>
      <c r="G77" s="19" t="str">
        <f t="shared" si="4"/>
        <v>ROLL</v>
      </c>
      <c r="H77" s="18" t="s">
        <v>2643</v>
      </c>
      <c r="I77" s="14" t="s">
        <v>441</v>
      </c>
    </row>
    <row r="78" spans="1:9" x14ac:dyDescent="0.25">
      <c r="A78" s="17" t="s">
        <v>320</v>
      </c>
      <c r="B78" s="14" t="s">
        <v>285</v>
      </c>
      <c r="C78" s="19" t="s">
        <v>604</v>
      </c>
      <c r="D78" s="14" t="str">
        <f t="shared" si="5"/>
        <v>1ST-358-077</v>
      </c>
      <c r="E78" s="19" t="s">
        <v>605</v>
      </c>
      <c r="F78" s="19">
        <f t="shared" si="3"/>
        <v>720</v>
      </c>
      <c r="G78" s="19" t="str">
        <f t="shared" si="4"/>
        <v>ROLL</v>
      </c>
      <c r="H78" s="18" t="s">
        <v>2644</v>
      </c>
      <c r="I78" s="14" t="s">
        <v>441</v>
      </c>
    </row>
    <row r="79" spans="1:9" ht="14.4" customHeight="1" x14ac:dyDescent="0.25">
      <c r="A79" s="17" t="s">
        <v>320</v>
      </c>
      <c r="B79" s="14" t="s">
        <v>285</v>
      </c>
      <c r="C79" s="19" t="s">
        <v>606</v>
      </c>
      <c r="D79" s="14" t="str">
        <f t="shared" si="5"/>
        <v>1ST-358-078</v>
      </c>
      <c r="E79" s="19" t="s">
        <v>607</v>
      </c>
      <c r="F79" s="19">
        <f t="shared" si="3"/>
        <v>1400</v>
      </c>
      <c r="G79" s="19" t="str">
        <f t="shared" si="4"/>
        <v>ROLL</v>
      </c>
      <c r="H79" s="18" t="s">
        <v>2963</v>
      </c>
      <c r="I79" s="14" t="s">
        <v>441</v>
      </c>
    </row>
    <row r="80" spans="1:9" ht="14.4" customHeight="1" x14ac:dyDescent="0.25">
      <c r="A80" s="17" t="s">
        <v>320</v>
      </c>
      <c r="B80" s="14" t="s">
        <v>284</v>
      </c>
      <c r="C80" s="18" t="s">
        <v>608</v>
      </c>
      <c r="D80" s="14" t="str">
        <f t="shared" si="5"/>
        <v>1ST-358-079</v>
      </c>
      <c r="E80" s="18" t="s">
        <v>597</v>
      </c>
      <c r="F80" s="19">
        <f t="shared" si="3"/>
        <v>205</v>
      </c>
      <c r="G80" s="19" t="str">
        <f t="shared" si="4"/>
        <v>ROLL</v>
      </c>
      <c r="H80" s="18" t="s">
        <v>2964</v>
      </c>
      <c r="I80" s="14" t="s">
        <v>441</v>
      </c>
    </row>
    <row r="81" spans="1:9" ht="14.4" customHeight="1" x14ac:dyDescent="0.25">
      <c r="A81" s="17" t="s">
        <v>320</v>
      </c>
      <c r="B81" s="14" t="s">
        <v>284</v>
      </c>
      <c r="C81" s="18" t="s">
        <v>3635</v>
      </c>
      <c r="D81" s="14" t="str">
        <f t="shared" si="5"/>
        <v>1ST-358-080</v>
      </c>
      <c r="E81" s="18" t="s">
        <v>599</v>
      </c>
      <c r="F81" s="19">
        <f t="shared" si="3"/>
        <v>285</v>
      </c>
      <c r="G81" s="19" t="str">
        <f t="shared" si="4"/>
        <v>ROLL</v>
      </c>
      <c r="H81" s="18" t="s">
        <v>2965</v>
      </c>
      <c r="I81" s="14" t="s">
        <v>441</v>
      </c>
    </row>
    <row r="82" spans="1:9" ht="14.4" customHeight="1" x14ac:dyDescent="0.25">
      <c r="A82" s="17" t="s">
        <v>320</v>
      </c>
      <c r="B82" s="14" t="s">
        <v>284</v>
      </c>
      <c r="C82" s="18" t="s">
        <v>3636</v>
      </c>
      <c r="D82" s="14" t="str">
        <f t="shared" si="5"/>
        <v>1ST-358-081</v>
      </c>
      <c r="E82" s="18" t="s">
        <v>601</v>
      </c>
      <c r="F82" s="19">
        <f t="shared" si="3"/>
        <v>365</v>
      </c>
      <c r="G82" s="19" t="str">
        <f t="shared" si="4"/>
        <v>ROLL</v>
      </c>
      <c r="H82" s="18" t="s">
        <v>2966</v>
      </c>
      <c r="I82" s="14" t="s">
        <v>441</v>
      </c>
    </row>
    <row r="83" spans="1:9" ht="14.4" customHeight="1" x14ac:dyDescent="0.25">
      <c r="A83" s="17" t="s">
        <v>320</v>
      </c>
      <c r="B83" s="14" t="s">
        <v>284</v>
      </c>
      <c r="C83" s="18" t="s">
        <v>609</v>
      </c>
      <c r="D83" s="14" t="str">
        <f t="shared" si="5"/>
        <v>1ST-358-082</v>
      </c>
      <c r="E83" s="18" t="s">
        <v>603</v>
      </c>
      <c r="F83" s="19">
        <f t="shared" si="3"/>
        <v>455</v>
      </c>
      <c r="G83" s="19" t="str">
        <f t="shared" si="4"/>
        <v>ROLL</v>
      </c>
      <c r="H83" s="18" t="s">
        <v>2967</v>
      </c>
      <c r="I83" s="14" t="s">
        <v>441</v>
      </c>
    </row>
    <row r="84" spans="1:9" ht="14.4" customHeight="1" x14ac:dyDescent="0.25">
      <c r="A84" s="17" t="s">
        <v>320</v>
      </c>
      <c r="B84" s="14" t="s">
        <v>284</v>
      </c>
      <c r="C84" s="18" t="s">
        <v>610</v>
      </c>
      <c r="D84" s="14" t="str">
        <f t="shared" si="5"/>
        <v>1ST-358-083</v>
      </c>
      <c r="E84" s="18" t="s">
        <v>605</v>
      </c>
      <c r="F84" s="19">
        <f t="shared" si="3"/>
        <v>720</v>
      </c>
      <c r="G84" s="19" t="str">
        <f t="shared" si="4"/>
        <v>ROLL</v>
      </c>
      <c r="H84" s="18" t="s">
        <v>2968</v>
      </c>
      <c r="I84" s="14" t="s">
        <v>441</v>
      </c>
    </row>
    <row r="85" spans="1:9" ht="14.4" customHeight="1" x14ac:dyDescent="0.25">
      <c r="A85" s="17" t="s">
        <v>320</v>
      </c>
      <c r="B85" s="14" t="s">
        <v>284</v>
      </c>
      <c r="C85" s="18" t="s">
        <v>611</v>
      </c>
      <c r="D85" s="14" t="str">
        <f t="shared" si="5"/>
        <v>1ST-358-084</v>
      </c>
      <c r="E85" s="18" t="s">
        <v>607</v>
      </c>
      <c r="F85" s="19">
        <f t="shared" si="3"/>
        <v>1400</v>
      </c>
      <c r="G85" s="19" t="str">
        <f t="shared" si="4"/>
        <v>ROLL</v>
      </c>
      <c r="H85" s="18" t="s">
        <v>2969</v>
      </c>
      <c r="I85" s="14" t="s">
        <v>441</v>
      </c>
    </row>
    <row r="86" spans="1:9" x14ac:dyDescent="0.25">
      <c r="A86" s="17" t="s">
        <v>320</v>
      </c>
      <c r="B86" s="14" t="s">
        <v>283</v>
      </c>
      <c r="C86" s="18" t="s">
        <v>471</v>
      </c>
      <c r="D86" s="14" t="str">
        <f t="shared" si="5"/>
        <v>1ST-358-085</v>
      </c>
      <c r="E86" s="19" t="s">
        <v>535</v>
      </c>
      <c r="F86" s="19">
        <f t="shared" si="3"/>
        <v>1950</v>
      </c>
      <c r="G86" s="19" t="str">
        <f t="shared" si="4"/>
        <v>PC</v>
      </c>
      <c r="H86" s="18" t="s">
        <v>441</v>
      </c>
      <c r="I86" s="14" t="s">
        <v>441</v>
      </c>
    </row>
    <row r="87" spans="1:9" x14ac:dyDescent="0.25">
      <c r="A87" s="17" t="s">
        <v>320</v>
      </c>
      <c r="B87" s="14" t="s">
        <v>282</v>
      </c>
      <c r="C87" s="18" t="s">
        <v>472</v>
      </c>
      <c r="D87" s="14" t="str">
        <f t="shared" si="5"/>
        <v>1ST-358-086</v>
      </c>
      <c r="E87" s="19" t="s">
        <v>612</v>
      </c>
      <c r="F87" s="19">
        <f t="shared" si="3"/>
        <v>1050</v>
      </c>
      <c r="G87" s="19" t="str">
        <f t="shared" si="4"/>
        <v>PC</v>
      </c>
      <c r="H87" s="18" t="s">
        <v>474</v>
      </c>
      <c r="I87" s="14" t="s">
        <v>441</v>
      </c>
    </row>
    <row r="88" spans="1:9" x14ac:dyDescent="0.25">
      <c r="A88" s="17" t="s">
        <v>320</v>
      </c>
      <c r="B88" s="14" t="s">
        <v>281</v>
      </c>
      <c r="C88" s="18" t="s">
        <v>3637</v>
      </c>
      <c r="D88" s="14" t="str">
        <f t="shared" si="5"/>
        <v>1ST-358-087</v>
      </c>
      <c r="E88" s="18" t="s">
        <v>503</v>
      </c>
      <c r="F88" s="19">
        <f t="shared" si="3"/>
        <v>180</v>
      </c>
      <c r="G88" s="19" t="str">
        <f t="shared" si="4"/>
        <v>PC</v>
      </c>
      <c r="H88" s="18" t="s">
        <v>473</v>
      </c>
      <c r="I88" s="14" t="s">
        <v>441</v>
      </c>
    </row>
    <row r="89" spans="1:9" x14ac:dyDescent="0.25">
      <c r="A89" s="17" t="s">
        <v>320</v>
      </c>
      <c r="B89" s="14" t="s">
        <v>281</v>
      </c>
      <c r="C89" s="18" t="s">
        <v>613</v>
      </c>
      <c r="D89" s="14" t="str">
        <f t="shared" si="5"/>
        <v>1ST-358-088</v>
      </c>
      <c r="E89" s="18" t="s">
        <v>614</v>
      </c>
      <c r="F89" s="19">
        <f t="shared" si="3"/>
        <v>299</v>
      </c>
      <c r="G89" s="19" t="str">
        <f t="shared" si="4"/>
        <v>PC</v>
      </c>
      <c r="H89" s="18" t="s">
        <v>441</v>
      </c>
      <c r="I89" s="14" t="s">
        <v>441</v>
      </c>
    </row>
    <row r="90" spans="1:9" x14ac:dyDescent="0.25">
      <c r="A90" s="17" t="s">
        <v>320</v>
      </c>
      <c r="B90" s="14" t="s">
        <v>280</v>
      </c>
      <c r="C90" s="18" t="s">
        <v>475</v>
      </c>
      <c r="D90" s="14" t="str">
        <f t="shared" si="5"/>
        <v>1ST-358-089</v>
      </c>
      <c r="E90" s="19" t="s">
        <v>615</v>
      </c>
      <c r="F90" s="19">
        <f t="shared" si="3"/>
        <v>125</v>
      </c>
      <c r="G90" s="19" t="str">
        <f t="shared" si="4"/>
        <v>PC</v>
      </c>
      <c r="H90" s="20" t="s">
        <v>476</v>
      </c>
      <c r="I90" s="14" t="s">
        <v>441</v>
      </c>
    </row>
    <row r="91" spans="1:9" x14ac:dyDescent="0.25">
      <c r="A91" s="17" t="s">
        <v>320</v>
      </c>
      <c r="B91" s="14" t="s">
        <v>279</v>
      </c>
      <c r="C91" s="18" t="s">
        <v>477</v>
      </c>
      <c r="D91" s="14" t="str">
        <f t="shared" si="5"/>
        <v>1ST-358-090</v>
      </c>
      <c r="E91" s="19" t="s">
        <v>486</v>
      </c>
      <c r="F91" s="19">
        <f t="shared" si="3"/>
        <v>118</v>
      </c>
      <c r="G91" s="19" t="str">
        <f t="shared" si="4"/>
        <v>PC</v>
      </c>
      <c r="H91" s="18" t="s">
        <v>478</v>
      </c>
      <c r="I91" s="14" t="s">
        <v>441</v>
      </c>
    </row>
    <row r="92" spans="1:9" x14ac:dyDescent="0.25">
      <c r="A92" s="17" t="s">
        <v>320</v>
      </c>
      <c r="B92" s="14" t="s">
        <v>278</v>
      </c>
      <c r="C92" s="19" t="s">
        <v>2645</v>
      </c>
      <c r="D92" s="14" t="str">
        <f t="shared" si="5"/>
        <v>1ST-358-091</v>
      </c>
      <c r="E92" s="19" t="s">
        <v>616</v>
      </c>
      <c r="F92" s="19">
        <f t="shared" si="3"/>
        <v>57</v>
      </c>
      <c r="G92" s="19" t="str">
        <f t="shared" si="4"/>
        <v>PC</v>
      </c>
      <c r="H92" s="18" t="s">
        <v>479</v>
      </c>
      <c r="I92" s="14" t="s">
        <v>441</v>
      </c>
    </row>
    <row r="93" spans="1:9" x14ac:dyDescent="0.25">
      <c r="A93" s="17" t="s">
        <v>320</v>
      </c>
      <c r="B93" s="14" t="s">
        <v>278</v>
      </c>
      <c r="C93" s="19" t="s">
        <v>2646</v>
      </c>
      <c r="D93" s="14" t="str">
        <f t="shared" si="5"/>
        <v>1ST-358-092</v>
      </c>
      <c r="E93" s="19" t="s">
        <v>617</v>
      </c>
      <c r="F93" s="19">
        <f t="shared" si="3"/>
        <v>85.5</v>
      </c>
      <c r="G93" s="19" t="str">
        <f t="shared" si="4"/>
        <v>PC</v>
      </c>
      <c r="H93" s="14" t="s">
        <v>479</v>
      </c>
      <c r="I93" s="14" t="s">
        <v>441</v>
      </c>
    </row>
    <row r="94" spans="1:9" x14ac:dyDescent="0.25">
      <c r="A94" s="17" t="s">
        <v>320</v>
      </c>
      <c r="B94" s="14" t="s">
        <v>278</v>
      </c>
      <c r="C94" s="19" t="s">
        <v>2647</v>
      </c>
      <c r="D94" s="14" t="str">
        <f t="shared" si="5"/>
        <v>1ST-358-093</v>
      </c>
      <c r="E94" s="19" t="s">
        <v>618</v>
      </c>
      <c r="F94" s="19">
        <f t="shared" si="3"/>
        <v>123.5</v>
      </c>
      <c r="G94" s="19" t="str">
        <f t="shared" si="4"/>
        <v>PC</v>
      </c>
      <c r="H94" s="14" t="s">
        <v>479</v>
      </c>
      <c r="I94" s="14" t="s">
        <v>441</v>
      </c>
    </row>
    <row r="95" spans="1:9" x14ac:dyDescent="0.25">
      <c r="A95" s="17" t="s">
        <v>320</v>
      </c>
      <c r="B95" s="14" t="s">
        <v>277</v>
      </c>
      <c r="C95" s="18" t="s">
        <v>2648</v>
      </c>
      <c r="D95" s="14" t="str">
        <f t="shared" si="5"/>
        <v>1ST-358-094</v>
      </c>
      <c r="E95" s="18" t="s">
        <v>619</v>
      </c>
      <c r="F95" s="19">
        <f t="shared" si="3"/>
        <v>2.5</v>
      </c>
      <c r="G95" s="19" t="str">
        <f t="shared" si="4"/>
        <v>PC</v>
      </c>
      <c r="H95" s="14" t="s">
        <v>441</v>
      </c>
      <c r="I95" s="14" t="s">
        <v>441</v>
      </c>
    </row>
    <row r="96" spans="1:9" x14ac:dyDescent="0.25">
      <c r="A96" s="17" t="s">
        <v>320</v>
      </c>
      <c r="B96" s="14" t="s">
        <v>277</v>
      </c>
      <c r="C96" s="18" t="s">
        <v>2649</v>
      </c>
      <c r="D96" s="14" t="str">
        <f t="shared" si="5"/>
        <v>1ST-358-095</v>
      </c>
      <c r="E96" s="18" t="s">
        <v>620</v>
      </c>
      <c r="F96" s="19">
        <f t="shared" si="3"/>
        <v>3.7</v>
      </c>
      <c r="G96" s="19" t="str">
        <f t="shared" si="4"/>
        <v>PC</v>
      </c>
      <c r="H96" s="14" t="s">
        <v>441</v>
      </c>
      <c r="I96" s="14" t="s">
        <v>441</v>
      </c>
    </row>
    <row r="97" spans="1:9" x14ac:dyDescent="0.25">
      <c r="A97" s="17" t="s">
        <v>320</v>
      </c>
      <c r="B97" s="14" t="s">
        <v>277</v>
      </c>
      <c r="C97" s="18" t="s">
        <v>2650</v>
      </c>
      <c r="D97" s="14" t="str">
        <f t="shared" si="5"/>
        <v>1ST-358-096</v>
      </c>
      <c r="E97" s="18" t="s">
        <v>621</v>
      </c>
      <c r="F97" s="19">
        <f t="shared" si="3"/>
        <v>4.5</v>
      </c>
      <c r="G97" s="19" t="str">
        <f t="shared" si="4"/>
        <v>PC</v>
      </c>
      <c r="H97" s="14" t="s">
        <v>441</v>
      </c>
      <c r="I97" s="14" t="s">
        <v>441</v>
      </c>
    </row>
    <row r="98" spans="1:9" x14ac:dyDescent="0.25">
      <c r="A98" s="17" t="s">
        <v>320</v>
      </c>
      <c r="B98" s="14" t="s">
        <v>276</v>
      </c>
      <c r="C98" s="18" t="s">
        <v>3638</v>
      </c>
      <c r="D98" s="14" t="str">
        <f t="shared" si="5"/>
        <v>1ST-358-097</v>
      </c>
      <c r="E98" s="18" t="s">
        <v>622</v>
      </c>
      <c r="F98" s="19">
        <f t="shared" si="3"/>
        <v>5</v>
      </c>
      <c r="G98" s="19" t="str">
        <f t="shared" si="4"/>
        <v>ROLL</v>
      </c>
      <c r="H98" s="14"/>
      <c r="I98" s="14" t="s">
        <v>441</v>
      </c>
    </row>
    <row r="99" spans="1:9" x14ac:dyDescent="0.25">
      <c r="A99" s="17" t="s">
        <v>320</v>
      </c>
      <c r="B99" s="14" t="s">
        <v>276</v>
      </c>
      <c r="C99" s="18" t="s">
        <v>3639</v>
      </c>
      <c r="D99" s="14" t="str">
        <f t="shared" si="5"/>
        <v>1ST-358-098</v>
      </c>
      <c r="E99" s="18" t="s">
        <v>623</v>
      </c>
      <c r="F99" s="19">
        <f t="shared" si="3"/>
        <v>7</v>
      </c>
      <c r="G99" s="19" t="str">
        <f t="shared" si="4"/>
        <v>ROLL</v>
      </c>
      <c r="H99" s="14"/>
      <c r="I99" s="14" t="s">
        <v>441</v>
      </c>
    </row>
    <row r="100" spans="1:9" x14ac:dyDescent="0.25">
      <c r="A100" s="17" t="s">
        <v>320</v>
      </c>
      <c r="B100" s="14" t="s">
        <v>276</v>
      </c>
      <c r="C100" s="18" t="s">
        <v>3640</v>
      </c>
      <c r="D100" s="14" t="str">
        <f t="shared" si="5"/>
        <v>1ST-358-099</v>
      </c>
      <c r="E100" s="18" t="s">
        <v>624</v>
      </c>
      <c r="F100" s="19">
        <f t="shared" si="3"/>
        <v>9</v>
      </c>
      <c r="G100" s="19" t="str">
        <f t="shared" si="4"/>
        <v>ROLL</v>
      </c>
      <c r="H100" s="14"/>
      <c r="I100" s="14" t="s">
        <v>441</v>
      </c>
    </row>
    <row r="101" spans="1:9" x14ac:dyDescent="0.25">
      <c r="A101" s="17" t="s">
        <v>320</v>
      </c>
      <c r="B101" s="14" t="s">
        <v>275</v>
      </c>
      <c r="C101" s="19" t="s">
        <v>625</v>
      </c>
      <c r="D101" s="14" t="str">
        <f t="shared" si="5"/>
        <v>1ST-358-100</v>
      </c>
      <c r="E101" s="19" t="s">
        <v>487</v>
      </c>
      <c r="F101" s="19">
        <f t="shared" si="3"/>
        <v>9.5</v>
      </c>
      <c r="G101" s="19" t="str">
        <f t="shared" si="4"/>
        <v>PC</v>
      </c>
      <c r="H101" s="14"/>
      <c r="I101" s="14" t="s">
        <v>441</v>
      </c>
    </row>
    <row r="102" spans="1:9" x14ac:dyDescent="0.25">
      <c r="A102" s="17" t="s">
        <v>320</v>
      </c>
      <c r="B102" s="14" t="s">
        <v>275</v>
      </c>
      <c r="C102" s="19" t="s">
        <v>626</v>
      </c>
      <c r="D102" s="14" t="str">
        <f t="shared" si="5"/>
        <v>1ST-358-101</v>
      </c>
      <c r="E102" s="19" t="s">
        <v>487</v>
      </c>
      <c r="F102" s="19">
        <f t="shared" si="3"/>
        <v>9.5</v>
      </c>
      <c r="G102" s="19" t="str">
        <f t="shared" si="4"/>
        <v>PC</v>
      </c>
      <c r="H102" s="14"/>
      <c r="I102" s="14" t="s">
        <v>441</v>
      </c>
    </row>
    <row r="103" spans="1:9" x14ac:dyDescent="0.25">
      <c r="A103" s="17" t="s">
        <v>320</v>
      </c>
      <c r="B103" s="14" t="s">
        <v>274</v>
      </c>
      <c r="C103" s="18" t="s">
        <v>627</v>
      </c>
      <c r="D103" s="14" t="str">
        <f t="shared" si="5"/>
        <v>1ST-358-102</v>
      </c>
      <c r="E103" s="18" t="s">
        <v>628</v>
      </c>
      <c r="F103" s="19">
        <f t="shared" si="3"/>
        <v>109</v>
      </c>
      <c r="G103" s="19" t="str">
        <f t="shared" si="4"/>
        <v>PC</v>
      </c>
      <c r="H103" s="14"/>
      <c r="I103" s="14" t="s">
        <v>441</v>
      </c>
    </row>
    <row r="104" spans="1:9" x14ac:dyDescent="0.25">
      <c r="A104" s="17" t="s">
        <v>320</v>
      </c>
      <c r="B104" s="14" t="s">
        <v>274</v>
      </c>
      <c r="C104" s="18" t="s">
        <v>629</v>
      </c>
      <c r="D104" s="14" t="str">
        <f t="shared" si="5"/>
        <v>1ST-358-103</v>
      </c>
      <c r="E104" s="18" t="s">
        <v>628</v>
      </c>
      <c r="F104" s="19">
        <f t="shared" si="3"/>
        <v>109</v>
      </c>
      <c r="G104" s="19" t="str">
        <f t="shared" si="4"/>
        <v>PC</v>
      </c>
      <c r="H104" s="14"/>
      <c r="I104" s="14" t="s">
        <v>441</v>
      </c>
    </row>
    <row r="105" spans="1:9" x14ac:dyDescent="0.25">
      <c r="A105" s="17" t="s">
        <v>320</v>
      </c>
      <c r="B105" s="14" t="s">
        <v>273</v>
      </c>
      <c r="C105" s="18" t="s">
        <v>630</v>
      </c>
      <c r="D105" s="14" t="str">
        <f t="shared" si="5"/>
        <v>1ST-358-104</v>
      </c>
      <c r="E105" s="18" t="s">
        <v>631</v>
      </c>
      <c r="F105" s="19">
        <f t="shared" si="3"/>
        <v>38</v>
      </c>
      <c r="G105" s="19" t="str">
        <f t="shared" si="4"/>
        <v>PC</v>
      </c>
      <c r="H105" s="14"/>
      <c r="I105" s="14" t="s">
        <v>441</v>
      </c>
    </row>
    <row r="106" spans="1:9" x14ac:dyDescent="0.25">
      <c r="A106" s="17" t="s">
        <v>320</v>
      </c>
      <c r="B106" s="14" t="s">
        <v>273</v>
      </c>
      <c r="C106" s="18" t="s">
        <v>632</v>
      </c>
      <c r="D106" s="14" t="str">
        <f t="shared" si="5"/>
        <v>1ST-358-105</v>
      </c>
      <c r="E106" s="18" t="s">
        <v>498</v>
      </c>
      <c r="F106" s="19">
        <f t="shared" si="3"/>
        <v>28</v>
      </c>
      <c r="G106" s="19" t="str">
        <f t="shared" si="4"/>
        <v>PC</v>
      </c>
      <c r="H106" s="14"/>
      <c r="I106" s="14" t="s">
        <v>441</v>
      </c>
    </row>
    <row r="107" spans="1:9" x14ac:dyDescent="0.25">
      <c r="A107" s="17" t="s">
        <v>320</v>
      </c>
      <c r="B107" s="14" t="s">
        <v>272</v>
      </c>
      <c r="C107" s="18" t="s">
        <v>633</v>
      </c>
      <c r="D107" s="14" t="str">
        <f t="shared" si="5"/>
        <v>1ST-358-106</v>
      </c>
      <c r="E107" s="18" t="s">
        <v>634</v>
      </c>
      <c r="F107" s="19">
        <f t="shared" si="3"/>
        <v>30</v>
      </c>
      <c r="G107" s="19" t="str">
        <f t="shared" si="4"/>
        <v>SET</v>
      </c>
      <c r="H107" s="14"/>
      <c r="I107" s="14" t="s">
        <v>441</v>
      </c>
    </row>
    <row r="108" spans="1:9" x14ac:dyDescent="0.25">
      <c r="A108" s="17" t="s">
        <v>320</v>
      </c>
      <c r="B108" s="14" t="s">
        <v>272</v>
      </c>
      <c r="C108" s="18" t="s">
        <v>635</v>
      </c>
      <c r="D108" s="14" t="str">
        <f t="shared" si="5"/>
        <v>1ST-358-107</v>
      </c>
      <c r="E108" s="18" t="s">
        <v>636</v>
      </c>
      <c r="F108" s="19">
        <f t="shared" si="3"/>
        <v>85</v>
      </c>
      <c r="G108" s="19" t="str">
        <f t="shared" si="4"/>
        <v>SET</v>
      </c>
      <c r="H108" s="14"/>
      <c r="I108" s="14" t="s">
        <v>441</v>
      </c>
    </row>
    <row r="109" spans="1:9" x14ac:dyDescent="0.25">
      <c r="A109" s="17" t="s">
        <v>320</v>
      </c>
      <c r="B109" s="14" t="s">
        <v>271</v>
      </c>
      <c r="C109" s="18" t="s">
        <v>637</v>
      </c>
      <c r="D109" s="14" t="str">
        <f t="shared" si="5"/>
        <v>1ST-358-108</v>
      </c>
      <c r="E109" s="18" t="s">
        <v>638</v>
      </c>
      <c r="F109" s="19">
        <f t="shared" si="3"/>
        <v>42</v>
      </c>
      <c r="G109" s="19" t="str">
        <f t="shared" si="4"/>
        <v>PC</v>
      </c>
      <c r="H109" s="18" t="s">
        <v>2651</v>
      </c>
      <c r="I109" s="14" t="s">
        <v>441</v>
      </c>
    </row>
    <row r="110" spans="1:9" x14ac:dyDescent="0.25">
      <c r="A110" s="17" t="s">
        <v>320</v>
      </c>
      <c r="B110" s="14" t="s">
        <v>271</v>
      </c>
      <c r="C110" s="18" t="s">
        <v>639</v>
      </c>
      <c r="D110" s="14" t="str">
        <f t="shared" si="5"/>
        <v>1ST-358-109</v>
      </c>
      <c r="E110" s="18" t="s">
        <v>640</v>
      </c>
      <c r="F110" s="19">
        <f t="shared" si="3"/>
        <v>45</v>
      </c>
      <c r="G110" s="19" t="str">
        <f t="shared" si="4"/>
        <v>PC</v>
      </c>
      <c r="H110" s="18" t="s">
        <v>2652</v>
      </c>
      <c r="I110" s="14" t="s">
        <v>441</v>
      </c>
    </row>
    <row r="111" spans="1:9" x14ac:dyDescent="0.25">
      <c r="A111" s="17" t="s">
        <v>320</v>
      </c>
      <c r="B111" s="14" t="s">
        <v>271</v>
      </c>
      <c r="C111" s="18" t="s">
        <v>641</v>
      </c>
      <c r="D111" s="14" t="str">
        <f t="shared" si="5"/>
        <v>1ST-358-110</v>
      </c>
      <c r="E111" s="18" t="s">
        <v>642</v>
      </c>
      <c r="F111" s="19">
        <f t="shared" si="3"/>
        <v>47</v>
      </c>
      <c r="G111" s="19" t="str">
        <f t="shared" si="4"/>
        <v>PC</v>
      </c>
      <c r="H111" s="18" t="s">
        <v>2653</v>
      </c>
      <c r="I111" s="14" t="s">
        <v>441</v>
      </c>
    </row>
    <row r="112" spans="1:9" x14ac:dyDescent="0.25">
      <c r="A112" s="17" t="s">
        <v>320</v>
      </c>
      <c r="B112" s="14" t="s">
        <v>271</v>
      </c>
      <c r="C112" s="18" t="s">
        <v>643</v>
      </c>
      <c r="D112" s="14" t="str">
        <f t="shared" si="5"/>
        <v>1ST-358-111</v>
      </c>
      <c r="E112" s="18" t="s">
        <v>644</v>
      </c>
      <c r="F112" s="19">
        <f t="shared" si="3"/>
        <v>49</v>
      </c>
      <c r="G112" s="19" t="str">
        <f t="shared" si="4"/>
        <v>PC</v>
      </c>
      <c r="H112" s="18" t="s">
        <v>2654</v>
      </c>
      <c r="I112" s="14" t="s">
        <v>441</v>
      </c>
    </row>
    <row r="113" spans="1:9" x14ac:dyDescent="0.25">
      <c r="A113" s="17" t="s">
        <v>320</v>
      </c>
      <c r="B113" s="14" t="s">
        <v>271</v>
      </c>
      <c r="C113" s="18" t="s">
        <v>645</v>
      </c>
      <c r="D113" s="14" t="str">
        <f t="shared" si="5"/>
        <v>1ST-358-112</v>
      </c>
      <c r="E113" s="18" t="s">
        <v>495</v>
      </c>
      <c r="F113" s="19">
        <f t="shared" si="3"/>
        <v>52</v>
      </c>
      <c r="G113" s="19" t="str">
        <f t="shared" si="4"/>
        <v>PC</v>
      </c>
      <c r="H113" s="18" t="s">
        <v>2655</v>
      </c>
      <c r="I113" s="14" t="s">
        <v>441</v>
      </c>
    </row>
    <row r="114" spans="1:9" x14ac:dyDescent="0.25">
      <c r="A114" s="17" t="s">
        <v>320</v>
      </c>
      <c r="B114" s="14" t="s">
        <v>271</v>
      </c>
      <c r="C114" s="18" t="s">
        <v>646</v>
      </c>
      <c r="D114" s="14" t="str">
        <f t="shared" si="5"/>
        <v>1ST-358-113</v>
      </c>
      <c r="E114" s="18" t="s">
        <v>647</v>
      </c>
      <c r="F114" s="19">
        <f t="shared" si="3"/>
        <v>54</v>
      </c>
      <c r="G114" s="19" t="str">
        <f t="shared" si="4"/>
        <v>PC</v>
      </c>
      <c r="H114" s="18" t="s">
        <v>2656</v>
      </c>
      <c r="I114" s="14" t="s">
        <v>441</v>
      </c>
    </row>
    <row r="115" spans="1:9" x14ac:dyDescent="0.25">
      <c r="A115" s="17" t="s">
        <v>320</v>
      </c>
      <c r="B115" s="14" t="s">
        <v>271</v>
      </c>
      <c r="C115" s="18" t="s">
        <v>648</v>
      </c>
      <c r="D115" s="14" t="str">
        <f t="shared" si="5"/>
        <v>1ST-358-114</v>
      </c>
      <c r="E115" s="18" t="s">
        <v>616</v>
      </c>
      <c r="F115" s="19">
        <f t="shared" si="3"/>
        <v>57</v>
      </c>
      <c r="G115" s="19" t="str">
        <f t="shared" si="4"/>
        <v>PC</v>
      </c>
      <c r="H115" s="18" t="s">
        <v>2657</v>
      </c>
      <c r="I115" s="14" t="s">
        <v>441</v>
      </c>
    </row>
    <row r="116" spans="1:9" x14ac:dyDescent="0.25">
      <c r="A116" s="17" t="s">
        <v>320</v>
      </c>
      <c r="B116" s="14" t="s">
        <v>270</v>
      </c>
      <c r="C116" s="18" t="s">
        <v>649</v>
      </c>
      <c r="D116" s="14" t="str">
        <f t="shared" si="5"/>
        <v>1ST-358-115</v>
      </c>
      <c r="E116" s="18" t="s">
        <v>650</v>
      </c>
      <c r="F116" s="19">
        <f t="shared" si="3"/>
        <v>78</v>
      </c>
      <c r="G116" s="19" t="str">
        <f t="shared" si="4"/>
        <v>PC</v>
      </c>
      <c r="H116" s="18" t="s">
        <v>2658</v>
      </c>
      <c r="I116" s="14" t="s">
        <v>441</v>
      </c>
    </row>
    <row r="117" spans="1:9" x14ac:dyDescent="0.25">
      <c r="A117" s="17" t="s">
        <v>320</v>
      </c>
      <c r="B117" s="14" t="s">
        <v>270</v>
      </c>
      <c r="C117" s="18" t="s">
        <v>651</v>
      </c>
      <c r="D117" s="14" t="str">
        <f t="shared" si="5"/>
        <v>1ST-358-116</v>
      </c>
      <c r="E117" s="18" t="s">
        <v>652</v>
      </c>
      <c r="F117" s="19">
        <f t="shared" si="3"/>
        <v>80</v>
      </c>
      <c r="G117" s="19" t="str">
        <f t="shared" si="4"/>
        <v>PC</v>
      </c>
      <c r="H117" s="18" t="s">
        <v>447</v>
      </c>
      <c r="I117" s="14" t="s">
        <v>441</v>
      </c>
    </row>
    <row r="118" spans="1:9" x14ac:dyDescent="0.25">
      <c r="A118" s="17" t="s">
        <v>320</v>
      </c>
      <c r="B118" s="14" t="s">
        <v>269</v>
      </c>
      <c r="C118" s="18" t="s">
        <v>3641</v>
      </c>
      <c r="D118" s="14" t="str">
        <f t="shared" si="5"/>
        <v>1ST-358-117</v>
      </c>
      <c r="E118" s="19" t="s">
        <v>653</v>
      </c>
      <c r="F118" s="19">
        <f t="shared" si="3"/>
        <v>375</v>
      </c>
      <c r="G118" s="19" t="str">
        <f t="shared" si="4"/>
        <v>SET</v>
      </c>
      <c r="H118" s="14" t="s">
        <v>480</v>
      </c>
      <c r="I118" s="14" t="s">
        <v>441</v>
      </c>
    </row>
    <row r="119" spans="1:9" x14ac:dyDescent="0.25">
      <c r="A119" s="17" t="s">
        <v>320</v>
      </c>
      <c r="B119" s="14" t="s">
        <v>269</v>
      </c>
      <c r="C119" s="18" t="s">
        <v>3642</v>
      </c>
      <c r="D119" s="14" t="str">
        <f t="shared" si="5"/>
        <v>1ST-358-118</v>
      </c>
      <c r="E119" s="19" t="s">
        <v>653</v>
      </c>
      <c r="F119" s="19">
        <f t="shared" si="3"/>
        <v>375</v>
      </c>
      <c r="G119" s="19" t="str">
        <f t="shared" si="4"/>
        <v>SET</v>
      </c>
      <c r="H119" s="14" t="s">
        <v>480</v>
      </c>
      <c r="I119" s="14" t="s">
        <v>441</v>
      </c>
    </row>
    <row r="120" spans="1:9" x14ac:dyDescent="0.25">
      <c r="A120" s="17" t="s">
        <v>320</v>
      </c>
      <c r="B120" s="14" t="s">
        <v>268</v>
      </c>
      <c r="C120" s="14" t="s">
        <v>481</v>
      </c>
      <c r="D120" s="14" t="str">
        <f t="shared" si="5"/>
        <v>1ST-358-119</v>
      </c>
      <c r="E120" s="18" t="s">
        <v>654</v>
      </c>
      <c r="F120" s="19">
        <f t="shared" si="3"/>
        <v>620</v>
      </c>
      <c r="G120" s="19" t="str">
        <f t="shared" si="4"/>
        <v>PC</v>
      </c>
      <c r="H120" s="18" t="s">
        <v>482</v>
      </c>
      <c r="I120" s="14" t="s">
        <v>441</v>
      </c>
    </row>
    <row r="121" spans="1:9" ht="24" customHeight="1" x14ac:dyDescent="0.25">
      <c r="A121" s="17" t="s">
        <v>320</v>
      </c>
      <c r="B121" s="14" t="s">
        <v>267</v>
      </c>
      <c r="C121" s="18" t="s">
        <v>2970</v>
      </c>
      <c r="D121" s="14" t="str">
        <f t="shared" si="5"/>
        <v>1ST-358-120</v>
      </c>
      <c r="E121" s="18" t="s">
        <v>655</v>
      </c>
      <c r="F121" s="19">
        <f t="shared" si="3"/>
        <v>95</v>
      </c>
      <c r="G121" s="19" t="str">
        <f t="shared" si="4"/>
        <v>PC</v>
      </c>
      <c r="H121" s="18" t="s">
        <v>2971</v>
      </c>
      <c r="I121" s="14" t="s">
        <v>441</v>
      </c>
    </row>
    <row r="122" spans="1:9" x14ac:dyDescent="0.25">
      <c r="A122" s="17" t="s">
        <v>320</v>
      </c>
      <c r="B122" s="14" t="s">
        <v>267</v>
      </c>
      <c r="C122" s="18" t="s">
        <v>2972</v>
      </c>
      <c r="D122" s="14" t="str">
        <f t="shared" si="5"/>
        <v>1ST-358-121</v>
      </c>
      <c r="E122" s="18" t="s">
        <v>656</v>
      </c>
      <c r="F122" s="19">
        <f t="shared" si="3"/>
        <v>160</v>
      </c>
      <c r="G122" s="19" t="str">
        <f t="shared" si="4"/>
        <v>PC</v>
      </c>
      <c r="H122" s="18" t="s">
        <v>2659</v>
      </c>
      <c r="I122" s="14" t="s">
        <v>441</v>
      </c>
    </row>
    <row r="123" spans="1:9" x14ac:dyDescent="0.25">
      <c r="A123" s="17" t="s">
        <v>320</v>
      </c>
      <c r="B123" s="14" t="s">
        <v>267</v>
      </c>
      <c r="C123" s="18" t="s">
        <v>2973</v>
      </c>
      <c r="D123" s="14" t="str">
        <f t="shared" si="5"/>
        <v>1ST-358-122</v>
      </c>
      <c r="E123" s="18" t="s">
        <v>657</v>
      </c>
      <c r="F123" s="19">
        <f t="shared" si="3"/>
        <v>170</v>
      </c>
      <c r="G123" s="19" t="str">
        <f t="shared" si="4"/>
        <v>PC</v>
      </c>
      <c r="H123" s="18" t="s">
        <v>2660</v>
      </c>
      <c r="I123" s="14" t="s">
        <v>441</v>
      </c>
    </row>
    <row r="124" spans="1:9" x14ac:dyDescent="0.25">
      <c r="A124" s="17" t="s">
        <v>320</v>
      </c>
      <c r="B124" s="14" t="s">
        <v>266</v>
      </c>
      <c r="C124" s="18" t="s">
        <v>658</v>
      </c>
      <c r="D124" s="14" t="str">
        <f t="shared" si="5"/>
        <v>1ST-358-123</v>
      </c>
      <c r="E124" s="18" t="s">
        <v>659</v>
      </c>
      <c r="F124" s="19">
        <f t="shared" si="3"/>
        <v>115</v>
      </c>
      <c r="G124" s="19" t="str">
        <f t="shared" si="4"/>
        <v>SET</v>
      </c>
      <c r="H124" s="18" t="s">
        <v>2661</v>
      </c>
      <c r="I124" s="14" t="s">
        <v>441</v>
      </c>
    </row>
    <row r="125" spans="1:9" x14ac:dyDescent="0.25">
      <c r="A125" s="17" t="s">
        <v>320</v>
      </c>
      <c r="B125" s="14" t="s">
        <v>266</v>
      </c>
      <c r="C125" s="18" t="s">
        <v>660</v>
      </c>
      <c r="D125" s="14" t="str">
        <f t="shared" si="5"/>
        <v>1ST-358-124</v>
      </c>
      <c r="E125" s="18" t="s">
        <v>661</v>
      </c>
      <c r="F125" s="19">
        <f t="shared" si="3"/>
        <v>145</v>
      </c>
      <c r="G125" s="19" t="str">
        <f t="shared" si="4"/>
        <v>SET</v>
      </c>
      <c r="H125" s="18" t="s">
        <v>2662</v>
      </c>
      <c r="I125" s="14" t="s">
        <v>441</v>
      </c>
    </row>
    <row r="126" spans="1:9" x14ac:dyDescent="0.25">
      <c r="A126" s="17" t="s">
        <v>320</v>
      </c>
      <c r="B126" s="14" t="s">
        <v>266</v>
      </c>
      <c r="C126" s="18" t="s">
        <v>3643</v>
      </c>
      <c r="D126" s="14" t="str">
        <f t="shared" si="5"/>
        <v>1ST-358-125</v>
      </c>
      <c r="E126" s="18" t="s">
        <v>662</v>
      </c>
      <c r="F126" s="19">
        <f t="shared" si="3"/>
        <v>170</v>
      </c>
      <c r="G126" s="19" t="str">
        <f t="shared" si="4"/>
        <v>SET</v>
      </c>
      <c r="H126" s="18" t="s">
        <v>2663</v>
      </c>
      <c r="I126" s="14" t="s">
        <v>441</v>
      </c>
    </row>
    <row r="127" spans="1:9" ht="26.4" x14ac:dyDescent="0.25">
      <c r="A127" s="17" t="s">
        <v>320</v>
      </c>
      <c r="B127" s="14" t="s">
        <v>265</v>
      </c>
      <c r="C127" s="18" t="s">
        <v>3617</v>
      </c>
      <c r="D127" s="14" t="str">
        <f t="shared" si="5"/>
        <v>1ST-358-126</v>
      </c>
      <c r="E127" s="18" t="s">
        <v>663</v>
      </c>
      <c r="F127" s="19">
        <f t="shared" si="3"/>
        <v>156</v>
      </c>
      <c r="G127" s="19" t="str">
        <f t="shared" ref="G127:G133" si="6">TRIM(MID(E127,FIND("/",E127)+1,LEN(E127)))</f>
        <v>PC</v>
      </c>
      <c r="H127" s="18" t="s">
        <v>2974</v>
      </c>
      <c r="I127" s="14" t="s">
        <v>441</v>
      </c>
    </row>
    <row r="128" spans="1:9" ht="26.4" x14ac:dyDescent="0.25">
      <c r="A128" s="17" t="s">
        <v>320</v>
      </c>
      <c r="B128" s="14" t="s">
        <v>265</v>
      </c>
      <c r="C128" s="18" t="s">
        <v>3644</v>
      </c>
      <c r="D128" s="14" t="str">
        <f t="shared" si="5"/>
        <v>1ST-358-127</v>
      </c>
      <c r="E128" s="18" t="s">
        <v>664</v>
      </c>
      <c r="F128" s="19">
        <f t="shared" si="3"/>
        <v>149</v>
      </c>
      <c r="G128" s="19" t="str">
        <f t="shared" si="6"/>
        <v>PC</v>
      </c>
      <c r="H128" s="18" t="s">
        <v>2975</v>
      </c>
      <c r="I128" s="14" t="s">
        <v>441</v>
      </c>
    </row>
    <row r="129" spans="1:9" ht="26.4" x14ac:dyDescent="0.25">
      <c r="A129" s="17" t="s">
        <v>320</v>
      </c>
      <c r="B129" s="14" t="s">
        <v>265</v>
      </c>
      <c r="C129" s="18" t="s">
        <v>3645</v>
      </c>
      <c r="D129" s="14" t="str">
        <f t="shared" si="5"/>
        <v>1ST-358-128</v>
      </c>
      <c r="E129" s="18" t="s">
        <v>665</v>
      </c>
      <c r="F129" s="19">
        <f t="shared" si="3"/>
        <v>204</v>
      </c>
      <c r="G129" s="19" t="str">
        <f t="shared" si="6"/>
        <v>PC</v>
      </c>
      <c r="H129" s="18" t="s">
        <v>2976</v>
      </c>
      <c r="I129" s="14" t="s">
        <v>441</v>
      </c>
    </row>
    <row r="130" spans="1:9" ht="26.4" x14ac:dyDescent="0.25">
      <c r="A130" s="17" t="s">
        <v>320</v>
      </c>
      <c r="B130" s="14" t="s">
        <v>265</v>
      </c>
      <c r="C130" s="18" t="s">
        <v>3646</v>
      </c>
      <c r="D130" s="14" t="str">
        <f t="shared" si="5"/>
        <v>1ST-358-129</v>
      </c>
      <c r="E130" s="18" t="s">
        <v>666</v>
      </c>
      <c r="F130" s="19">
        <f t="shared" si="3"/>
        <v>147</v>
      </c>
      <c r="G130" s="19" t="str">
        <f t="shared" si="6"/>
        <v>PC</v>
      </c>
      <c r="H130" s="18" t="s">
        <v>2977</v>
      </c>
      <c r="I130" s="14" t="s">
        <v>441</v>
      </c>
    </row>
    <row r="131" spans="1:9" ht="26.4" x14ac:dyDescent="0.25">
      <c r="A131" s="17" t="s">
        <v>320</v>
      </c>
      <c r="B131" s="14" t="s">
        <v>265</v>
      </c>
      <c r="C131" s="18" t="s">
        <v>3647</v>
      </c>
      <c r="D131" s="14" t="str">
        <f t="shared" si="5"/>
        <v>1ST-358-130</v>
      </c>
      <c r="E131" s="18" t="s">
        <v>667</v>
      </c>
      <c r="F131" s="19">
        <f t="shared" ref="F131:F195" si="7">VALUE(LEFT(E131,FIND("/",E131)-1))</f>
        <v>169</v>
      </c>
      <c r="G131" s="19" t="str">
        <f t="shared" si="6"/>
        <v>PC</v>
      </c>
      <c r="H131" s="18" t="s">
        <v>2978</v>
      </c>
      <c r="I131" s="14" t="s">
        <v>441</v>
      </c>
    </row>
    <row r="132" spans="1:9" ht="26.4" x14ac:dyDescent="0.25">
      <c r="A132" s="17" t="s">
        <v>320</v>
      </c>
      <c r="B132" s="14" t="s">
        <v>265</v>
      </c>
      <c r="C132" s="18" t="s">
        <v>3648</v>
      </c>
      <c r="D132" s="14" t="str">
        <f t="shared" ref="D132:D195" si="8">LEFT($D$2,FIND("-",$D$2,FIND("-",$D$2)+1)) &amp; TEXT(RIGHT($D$2,3)+ROW(D130),"000")</f>
        <v>1ST-358-131</v>
      </c>
      <c r="E132" s="18" t="s">
        <v>668</v>
      </c>
      <c r="F132" s="19">
        <f t="shared" si="7"/>
        <v>167</v>
      </c>
      <c r="G132" s="19" t="str">
        <f t="shared" si="6"/>
        <v>PC</v>
      </c>
      <c r="H132" s="18" t="s">
        <v>2979</v>
      </c>
      <c r="I132" s="14" t="s">
        <v>441</v>
      </c>
    </row>
    <row r="133" spans="1:9" ht="26.4" x14ac:dyDescent="0.25">
      <c r="A133" s="17" t="s">
        <v>320</v>
      </c>
      <c r="B133" s="14" t="s">
        <v>265</v>
      </c>
      <c r="C133" s="18" t="s">
        <v>3649</v>
      </c>
      <c r="D133" s="14" t="str">
        <f t="shared" si="8"/>
        <v>1ST-358-132</v>
      </c>
      <c r="E133" s="18" t="s">
        <v>669</v>
      </c>
      <c r="F133" s="19">
        <f t="shared" si="7"/>
        <v>212</v>
      </c>
      <c r="G133" s="19" t="str">
        <f t="shared" si="6"/>
        <v>PC</v>
      </c>
      <c r="H133" s="18" t="s">
        <v>2980</v>
      </c>
      <c r="I133" s="14" t="s">
        <v>441</v>
      </c>
    </row>
    <row r="134" spans="1:9" x14ac:dyDescent="0.25">
      <c r="A134" s="17" t="s">
        <v>320</v>
      </c>
      <c r="B134" s="14" t="s">
        <v>264</v>
      </c>
      <c r="C134" s="18" t="s">
        <v>2981</v>
      </c>
      <c r="D134" s="14" t="str">
        <f t="shared" si="8"/>
        <v>1ST-358-133</v>
      </c>
      <c r="E134" s="19" t="s">
        <v>670</v>
      </c>
      <c r="F134" s="19">
        <f t="shared" si="7"/>
        <v>310</v>
      </c>
      <c r="G134" s="19" t="str">
        <f t="shared" ref="G134:G141" si="9">TRIM(MID(E134,FIND("/",E134)+1,LEN(E134)))</f>
        <v>PC</v>
      </c>
      <c r="H134" s="19" t="s">
        <v>2664</v>
      </c>
      <c r="I134" s="14" t="s">
        <v>441</v>
      </c>
    </row>
    <row r="135" spans="1:9" x14ac:dyDescent="0.25">
      <c r="A135" s="17" t="s">
        <v>320</v>
      </c>
      <c r="B135" s="14" t="s">
        <v>264</v>
      </c>
      <c r="C135" s="18" t="s">
        <v>2982</v>
      </c>
      <c r="D135" s="14" t="str">
        <f t="shared" si="8"/>
        <v>1ST-358-134</v>
      </c>
      <c r="E135" s="19" t="s">
        <v>670</v>
      </c>
      <c r="F135" s="19">
        <f t="shared" si="7"/>
        <v>310</v>
      </c>
      <c r="G135" s="19" t="str">
        <f t="shared" si="9"/>
        <v>PC</v>
      </c>
      <c r="H135" s="19" t="s">
        <v>2664</v>
      </c>
      <c r="I135" s="14" t="s">
        <v>441</v>
      </c>
    </row>
    <row r="136" spans="1:9" x14ac:dyDescent="0.25">
      <c r="A136" s="17" t="s">
        <v>320</v>
      </c>
      <c r="B136" s="14" t="s">
        <v>264</v>
      </c>
      <c r="C136" s="18" t="s">
        <v>2983</v>
      </c>
      <c r="D136" s="14" t="str">
        <f t="shared" si="8"/>
        <v>1ST-358-135</v>
      </c>
      <c r="E136" s="19" t="s">
        <v>671</v>
      </c>
      <c r="F136" s="19">
        <f t="shared" si="7"/>
        <v>380</v>
      </c>
      <c r="G136" s="19" t="str">
        <f t="shared" si="9"/>
        <v>PC</v>
      </c>
      <c r="H136" s="18" t="s">
        <v>2665</v>
      </c>
      <c r="I136" s="14" t="s">
        <v>441</v>
      </c>
    </row>
    <row r="137" spans="1:9" x14ac:dyDescent="0.25">
      <c r="A137" s="17" t="s">
        <v>320</v>
      </c>
      <c r="B137" s="14" t="s">
        <v>264</v>
      </c>
      <c r="C137" s="18" t="s">
        <v>2984</v>
      </c>
      <c r="D137" s="14" t="str">
        <f t="shared" si="8"/>
        <v>1ST-358-136</v>
      </c>
      <c r="E137" s="19" t="s">
        <v>672</v>
      </c>
      <c r="F137" s="19">
        <f t="shared" si="7"/>
        <v>460</v>
      </c>
      <c r="G137" s="19" t="str">
        <f t="shared" si="9"/>
        <v>PC</v>
      </c>
      <c r="H137" s="18" t="s">
        <v>2666</v>
      </c>
      <c r="I137" s="14" t="s">
        <v>441</v>
      </c>
    </row>
    <row r="138" spans="1:9" x14ac:dyDescent="0.25">
      <c r="A138" s="17" t="s">
        <v>320</v>
      </c>
      <c r="B138" s="14" t="s">
        <v>264</v>
      </c>
      <c r="C138" s="18" t="s">
        <v>2985</v>
      </c>
      <c r="D138" s="14" t="str">
        <f t="shared" si="8"/>
        <v>1ST-358-137</v>
      </c>
      <c r="E138" s="19" t="s">
        <v>673</v>
      </c>
      <c r="F138" s="19">
        <f t="shared" si="7"/>
        <v>250</v>
      </c>
      <c r="G138" s="19" t="str">
        <f t="shared" si="9"/>
        <v>PC</v>
      </c>
      <c r="H138" s="19" t="s">
        <v>2667</v>
      </c>
      <c r="I138" s="14" t="s">
        <v>441</v>
      </c>
    </row>
    <row r="139" spans="1:9" x14ac:dyDescent="0.25">
      <c r="A139" s="17" t="s">
        <v>320</v>
      </c>
      <c r="B139" s="14" t="s">
        <v>264</v>
      </c>
      <c r="C139" s="18" t="s">
        <v>2986</v>
      </c>
      <c r="D139" s="14" t="str">
        <f t="shared" si="8"/>
        <v>1ST-358-138</v>
      </c>
      <c r="E139" s="19" t="s">
        <v>673</v>
      </c>
      <c r="F139" s="19">
        <f t="shared" si="7"/>
        <v>250</v>
      </c>
      <c r="G139" s="19" t="str">
        <f t="shared" si="9"/>
        <v>PC</v>
      </c>
      <c r="H139" s="19" t="s">
        <v>2667</v>
      </c>
      <c r="I139" s="14" t="s">
        <v>441</v>
      </c>
    </row>
    <row r="140" spans="1:9" x14ac:dyDescent="0.25">
      <c r="A140" s="17" t="s">
        <v>320</v>
      </c>
      <c r="B140" s="14" t="s">
        <v>264</v>
      </c>
      <c r="C140" s="18" t="s">
        <v>2987</v>
      </c>
      <c r="D140" s="14" t="str">
        <f t="shared" si="8"/>
        <v>1ST-358-139</v>
      </c>
      <c r="E140" s="19" t="s">
        <v>671</v>
      </c>
      <c r="F140" s="19">
        <f t="shared" si="7"/>
        <v>380</v>
      </c>
      <c r="G140" s="19" t="str">
        <f t="shared" si="9"/>
        <v>PC</v>
      </c>
      <c r="H140" s="18" t="s">
        <v>2665</v>
      </c>
      <c r="I140" s="14" t="s">
        <v>441</v>
      </c>
    </row>
    <row r="141" spans="1:9" x14ac:dyDescent="0.25">
      <c r="A141" s="17" t="s">
        <v>320</v>
      </c>
      <c r="B141" s="14" t="s">
        <v>264</v>
      </c>
      <c r="C141" s="18" t="s">
        <v>2988</v>
      </c>
      <c r="D141" s="14" t="str">
        <f t="shared" si="8"/>
        <v>1ST-358-140</v>
      </c>
      <c r="E141" s="19" t="s">
        <v>672</v>
      </c>
      <c r="F141" s="19">
        <f t="shared" si="7"/>
        <v>460</v>
      </c>
      <c r="G141" s="19" t="str">
        <f t="shared" si="9"/>
        <v>PC</v>
      </c>
      <c r="H141" s="18" t="s">
        <v>2666</v>
      </c>
      <c r="I141" s="14" t="s">
        <v>441</v>
      </c>
    </row>
    <row r="142" spans="1:9" x14ac:dyDescent="0.25">
      <c r="A142" s="17" t="s">
        <v>320</v>
      </c>
      <c r="B142" s="14" t="s">
        <v>263</v>
      </c>
      <c r="C142" s="18" t="s">
        <v>3650</v>
      </c>
      <c r="D142" s="14" t="str">
        <f t="shared" si="8"/>
        <v>1ST-358-141</v>
      </c>
      <c r="E142" s="19" t="s">
        <v>674</v>
      </c>
      <c r="F142" s="19">
        <f t="shared" si="7"/>
        <v>320</v>
      </c>
      <c r="G142" s="19" t="str">
        <f t="shared" ref="G142:G149" si="10">TRIM(MID(E142,FIND("/",E142)+1,LEN(E142)))</f>
        <v>PC</v>
      </c>
      <c r="H142" s="19" t="s">
        <v>2668</v>
      </c>
      <c r="I142" s="14" t="s">
        <v>441</v>
      </c>
    </row>
    <row r="143" spans="1:9" x14ac:dyDescent="0.25">
      <c r="A143" s="17" t="s">
        <v>320</v>
      </c>
      <c r="B143" s="14" t="s">
        <v>263</v>
      </c>
      <c r="C143" s="18" t="s">
        <v>3651</v>
      </c>
      <c r="D143" s="14" t="str">
        <f t="shared" si="8"/>
        <v>1ST-358-142</v>
      </c>
      <c r="E143" s="19" t="s">
        <v>674</v>
      </c>
      <c r="F143" s="19">
        <f t="shared" si="7"/>
        <v>320</v>
      </c>
      <c r="G143" s="19" t="str">
        <f t="shared" si="10"/>
        <v>PC</v>
      </c>
      <c r="H143" s="19" t="s">
        <v>2668</v>
      </c>
      <c r="I143" s="14" t="s">
        <v>441</v>
      </c>
    </row>
    <row r="144" spans="1:9" x14ac:dyDescent="0.25">
      <c r="A144" s="17" t="s">
        <v>320</v>
      </c>
      <c r="B144" s="14" t="s">
        <v>263</v>
      </c>
      <c r="C144" s="18" t="s">
        <v>3652</v>
      </c>
      <c r="D144" s="14" t="str">
        <f t="shared" si="8"/>
        <v>1ST-358-143</v>
      </c>
      <c r="E144" s="18" t="s">
        <v>675</v>
      </c>
      <c r="F144" s="19">
        <f t="shared" si="7"/>
        <v>370</v>
      </c>
      <c r="G144" s="19" t="str">
        <f t="shared" si="10"/>
        <v>PC</v>
      </c>
      <c r="H144" s="18" t="s">
        <v>2669</v>
      </c>
      <c r="I144" s="14" t="s">
        <v>441</v>
      </c>
    </row>
    <row r="145" spans="1:9" x14ac:dyDescent="0.25">
      <c r="A145" s="17" t="s">
        <v>320</v>
      </c>
      <c r="B145" s="14" t="s">
        <v>263</v>
      </c>
      <c r="C145" s="18" t="s">
        <v>3653</v>
      </c>
      <c r="D145" s="14" t="str">
        <f t="shared" si="8"/>
        <v>1ST-358-144</v>
      </c>
      <c r="E145" s="19" t="s">
        <v>676</v>
      </c>
      <c r="F145" s="19">
        <f t="shared" si="7"/>
        <v>390</v>
      </c>
      <c r="G145" s="19" t="str">
        <f t="shared" si="10"/>
        <v>PC</v>
      </c>
      <c r="H145" s="18" t="s">
        <v>2670</v>
      </c>
      <c r="I145" s="14" t="s">
        <v>441</v>
      </c>
    </row>
    <row r="146" spans="1:9" x14ac:dyDescent="0.25">
      <c r="A146" s="17" t="s">
        <v>320</v>
      </c>
      <c r="B146" s="14" t="s">
        <v>263</v>
      </c>
      <c r="C146" s="18" t="s">
        <v>3654</v>
      </c>
      <c r="D146" s="14" t="str">
        <f t="shared" si="8"/>
        <v>1ST-358-145</v>
      </c>
      <c r="E146" s="19" t="s">
        <v>674</v>
      </c>
      <c r="F146" s="19">
        <f t="shared" si="7"/>
        <v>320</v>
      </c>
      <c r="G146" s="19" t="str">
        <f t="shared" si="10"/>
        <v>PC</v>
      </c>
      <c r="H146" s="19" t="s">
        <v>2668</v>
      </c>
      <c r="I146" s="14" t="s">
        <v>441</v>
      </c>
    </row>
    <row r="147" spans="1:9" x14ac:dyDescent="0.25">
      <c r="A147" s="17" t="s">
        <v>320</v>
      </c>
      <c r="B147" s="14" t="s">
        <v>263</v>
      </c>
      <c r="C147" s="18" t="s">
        <v>3655</v>
      </c>
      <c r="D147" s="14" t="str">
        <f t="shared" si="8"/>
        <v>1ST-358-146</v>
      </c>
      <c r="E147" s="19" t="s">
        <v>674</v>
      </c>
      <c r="F147" s="19">
        <f t="shared" si="7"/>
        <v>320</v>
      </c>
      <c r="G147" s="19" t="str">
        <f t="shared" si="10"/>
        <v>PC</v>
      </c>
      <c r="H147" s="19" t="s">
        <v>2668</v>
      </c>
      <c r="I147" s="14" t="s">
        <v>441</v>
      </c>
    </row>
    <row r="148" spans="1:9" x14ac:dyDescent="0.25">
      <c r="A148" s="17" t="s">
        <v>320</v>
      </c>
      <c r="B148" s="14" t="s">
        <v>263</v>
      </c>
      <c r="C148" s="18" t="s">
        <v>3656</v>
      </c>
      <c r="D148" s="14" t="str">
        <f t="shared" si="8"/>
        <v>1ST-358-147</v>
      </c>
      <c r="E148" s="18" t="s">
        <v>675</v>
      </c>
      <c r="F148" s="19">
        <f t="shared" si="7"/>
        <v>370</v>
      </c>
      <c r="G148" s="19" t="str">
        <f t="shared" si="10"/>
        <v>PC</v>
      </c>
      <c r="H148" s="18" t="s">
        <v>2669</v>
      </c>
      <c r="I148" s="14" t="s">
        <v>441</v>
      </c>
    </row>
    <row r="149" spans="1:9" x14ac:dyDescent="0.25">
      <c r="A149" s="17" t="s">
        <v>320</v>
      </c>
      <c r="B149" s="14" t="s">
        <v>263</v>
      </c>
      <c r="C149" s="18" t="s">
        <v>3657</v>
      </c>
      <c r="D149" s="14" t="str">
        <f t="shared" si="8"/>
        <v>1ST-358-148</v>
      </c>
      <c r="E149" s="19" t="s">
        <v>676</v>
      </c>
      <c r="F149" s="19">
        <f t="shared" si="7"/>
        <v>390</v>
      </c>
      <c r="G149" s="19" t="str">
        <f t="shared" si="10"/>
        <v>PC</v>
      </c>
      <c r="H149" s="18" t="s">
        <v>2670</v>
      </c>
      <c r="I149" s="14" t="s">
        <v>441</v>
      </c>
    </row>
    <row r="150" spans="1:9" x14ac:dyDescent="0.25">
      <c r="A150" s="17" t="s">
        <v>320</v>
      </c>
      <c r="B150" s="14" t="s">
        <v>262</v>
      </c>
      <c r="C150" s="18" t="s">
        <v>677</v>
      </c>
      <c r="D150" s="14" t="str">
        <f t="shared" si="8"/>
        <v>1ST-358-149</v>
      </c>
      <c r="E150" s="18" t="s">
        <v>678</v>
      </c>
      <c r="F150" s="19">
        <f t="shared" si="7"/>
        <v>152</v>
      </c>
      <c r="G150" s="19" t="str">
        <f t="shared" ref="G150:G157" si="11">TRIM(MID(E150,FIND("/",E150)+1,LEN(E150)))</f>
        <v>PC</v>
      </c>
      <c r="H150" s="18" t="s">
        <v>2671</v>
      </c>
      <c r="I150" s="14" t="s">
        <v>441</v>
      </c>
    </row>
    <row r="151" spans="1:9" x14ac:dyDescent="0.25">
      <c r="A151" s="17" t="s">
        <v>320</v>
      </c>
      <c r="B151" s="14" t="s">
        <v>262</v>
      </c>
      <c r="C151" s="18" t="s">
        <v>679</v>
      </c>
      <c r="D151" s="14" t="str">
        <f t="shared" si="8"/>
        <v>1ST-358-150</v>
      </c>
      <c r="E151" s="18" t="s">
        <v>678</v>
      </c>
      <c r="F151" s="19">
        <f t="shared" si="7"/>
        <v>152</v>
      </c>
      <c r="G151" s="19" t="str">
        <f t="shared" si="11"/>
        <v>PC</v>
      </c>
      <c r="H151" s="18" t="s">
        <v>2671</v>
      </c>
      <c r="I151" s="14" t="s">
        <v>441</v>
      </c>
    </row>
    <row r="152" spans="1:9" x14ac:dyDescent="0.25">
      <c r="A152" s="17" t="s">
        <v>320</v>
      </c>
      <c r="B152" s="14" t="s">
        <v>262</v>
      </c>
      <c r="C152" s="18" t="s">
        <v>680</v>
      </c>
      <c r="D152" s="14" t="str">
        <f t="shared" si="8"/>
        <v>1ST-358-151</v>
      </c>
      <c r="E152" s="18" t="s">
        <v>681</v>
      </c>
      <c r="F152" s="19">
        <f t="shared" si="7"/>
        <v>162</v>
      </c>
      <c r="G152" s="19" t="str">
        <f t="shared" si="11"/>
        <v>PC</v>
      </c>
      <c r="H152" s="18" t="s">
        <v>2672</v>
      </c>
      <c r="I152" s="14" t="s">
        <v>441</v>
      </c>
    </row>
    <row r="153" spans="1:9" x14ac:dyDescent="0.25">
      <c r="A153" s="17" t="s">
        <v>320</v>
      </c>
      <c r="B153" s="14" t="s">
        <v>262</v>
      </c>
      <c r="C153" s="19" t="s">
        <v>682</v>
      </c>
      <c r="D153" s="14" t="str">
        <f t="shared" si="8"/>
        <v>1ST-358-152</v>
      </c>
      <c r="E153" s="19" t="s">
        <v>681</v>
      </c>
      <c r="F153" s="19">
        <f t="shared" si="7"/>
        <v>162</v>
      </c>
      <c r="G153" s="19" t="str">
        <f t="shared" si="11"/>
        <v>PC</v>
      </c>
      <c r="H153" s="18" t="s">
        <v>2672</v>
      </c>
      <c r="I153" s="14" t="s">
        <v>441</v>
      </c>
    </row>
    <row r="154" spans="1:9" x14ac:dyDescent="0.25">
      <c r="A154" s="17" t="s">
        <v>320</v>
      </c>
      <c r="B154" s="14" t="s">
        <v>261</v>
      </c>
      <c r="C154" s="18" t="s">
        <v>2989</v>
      </c>
      <c r="D154" s="14" t="str">
        <f t="shared" si="8"/>
        <v>1ST-358-153</v>
      </c>
      <c r="E154" s="18" t="s">
        <v>683</v>
      </c>
      <c r="F154" s="19">
        <f t="shared" si="7"/>
        <v>235</v>
      </c>
      <c r="G154" s="19" t="str">
        <f t="shared" si="11"/>
        <v>PC</v>
      </c>
      <c r="H154" s="18" t="s">
        <v>2673</v>
      </c>
      <c r="I154" s="14" t="s">
        <v>441</v>
      </c>
    </row>
    <row r="155" spans="1:9" x14ac:dyDescent="0.25">
      <c r="A155" s="17" t="s">
        <v>320</v>
      </c>
      <c r="B155" s="14" t="s">
        <v>261</v>
      </c>
      <c r="C155" s="18" t="s">
        <v>2990</v>
      </c>
      <c r="D155" s="14" t="str">
        <f t="shared" si="8"/>
        <v>1ST-358-154</v>
      </c>
      <c r="E155" s="18" t="s">
        <v>684</v>
      </c>
      <c r="F155" s="19">
        <f t="shared" si="7"/>
        <v>255</v>
      </c>
      <c r="G155" s="19" t="str">
        <f t="shared" si="11"/>
        <v>PC</v>
      </c>
      <c r="H155" s="18" t="s">
        <v>2674</v>
      </c>
      <c r="I155" s="14" t="s">
        <v>441</v>
      </c>
    </row>
    <row r="156" spans="1:9" x14ac:dyDescent="0.25">
      <c r="A156" s="17" t="s">
        <v>320</v>
      </c>
      <c r="B156" s="14" t="s">
        <v>260</v>
      </c>
      <c r="C156" s="18" t="s">
        <v>2991</v>
      </c>
      <c r="D156" s="14" t="str">
        <f t="shared" si="8"/>
        <v>1ST-358-155</v>
      </c>
      <c r="E156" s="18" t="s">
        <v>684</v>
      </c>
      <c r="F156" s="19">
        <f t="shared" si="7"/>
        <v>255</v>
      </c>
      <c r="G156" s="19" t="str">
        <f t="shared" si="11"/>
        <v>PC</v>
      </c>
      <c r="H156" s="18" t="s">
        <v>2675</v>
      </c>
      <c r="I156" s="14" t="s">
        <v>441</v>
      </c>
    </row>
    <row r="157" spans="1:9" x14ac:dyDescent="0.25">
      <c r="A157" s="17" t="s">
        <v>320</v>
      </c>
      <c r="B157" s="14" t="s">
        <v>260</v>
      </c>
      <c r="C157" s="18" t="s">
        <v>2992</v>
      </c>
      <c r="D157" s="14" t="str">
        <f t="shared" si="8"/>
        <v>1ST-358-156</v>
      </c>
      <c r="E157" s="19" t="s">
        <v>504</v>
      </c>
      <c r="F157" s="19">
        <f t="shared" si="7"/>
        <v>275</v>
      </c>
      <c r="G157" s="19" t="str">
        <f t="shared" si="11"/>
        <v>PC</v>
      </c>
      <c r="H157" s="18" t="s">
        <v>2676</v>
      </c>
      <c r="I157" s="14" t="s">
        <v>441</v>
      </c>
    </row>
    <row r="158" spans="1:9" x14ac:dyDescent="0.25">
      <c r="A158" s="17" t="s">
        <v>320</v>
      </c>
      <c r="B158" s="14" t="s">
        <v>259</v>
      </c>
      <c r="C158" s="18" t="s">
        <v>3658</v>
      </c>
      <c r="D158" s="14" t="str">
        <f t="shared" si="8"/>
        <v>1ST-358-157</v>
      </c>
      <c r="E158" s="18" t="s">
        <v>640</v>
      </c>
      <c r="F158" s="19">
        <f t="shared" si="7"/>
        <v>45</v>
      </c>
      <c r="G158" s="19" t="str">
        <f t="shared" ref="G158:G189" si="12">TRIM(MID(E158,FIND("/",E158)+1,LEN(E158)))</f>
        <v>PC</v>
      </c>
      <c r="H158" s="18" t="s">
        <v>2677</v>
      </c>
      <c r="I158" s="14" t="s">
        <v>441</v>
      </c>
    </row>
    <row r="159" spans="1:9" x14ac:dyDescent="0.25">
      <c r="A159" s="17" t="s">
        <v>320</v>
      </c>
      <c r="B159" s="14" t="s">
        <v>259</v>
      </c>
      <c r="C159" s="18" t="s">
        <v>3659</v>
      </c>
      <c r="D159" s="14" t="str">
        <f t="shared" si="8"/>
        <v>1ST-358-158</v>
      </c>
      <c r="E159" s="18" t="s">
        <v>495</v>
      </c>
      <c r="F159" s="19">
        <f t="shared" si="7"/>
        <v>52</v>
      </c>
      <c r="G159" s="19" t="str">
        <f t="shared" si="12"/>
        <v>PC</v>
      </c>
      <c r="H159" s="18" t="s">
        <v>2678</v>
      </c>
      <c r="I159" s="14" t="s">
        <v>441</v>
      </c>
    </row>
    <row r="160" spans="1:9" x14ac:dyDescent="0.25">
      <c r="A160" s="17" t="s">
        <v>320</v>
      </c>
      <c r="B160" s="14" t="s">
        <v>259</v>
      </c>
      <c r="C160" s="18" t="s">
        <v>3660</v>
      </c>
      <c r="D160" s="14" t="str">
        <f t="shared" si="8"/>
        <v>1ST-358-159</v>
      </c>
      <c r="E160" s="18" t="s">
        <v>647</v>
      </c>
      <c r="F160" s="19">
        <f t="shared" si="7"/>
        <v>54</v>
      </c>
      <c r="G160" s="19" t="str">
        <f t="shared" si="12"/>
        <v>PC</v>
      </c>
      <c r="H160" s="18" t="s">
        <v>2679</v>
      </c>
      <c r="I160" s="14" t="s">
        <v>441</v>
      </c>
    </row>
    <row r="161" spans="1:9" x14ac:dyDescent="0.25">
      <c r="A161" s="17" t="s">
        <v>320</v>
      </c>
      <c r="B161" s="14" t="s">
        <v>259</v>
      </c>
      <c r="C161" s="18" t="s">
        <v>3661</v>
      </c>
      <c r="D161" s="14" t="str">
        <f t="shared" si="8"/>
        <v>1ST-358-160</v>
      </c>
      <c r="E161" s="19" t="s">
        <v>685</v>
      </c>
      <c r="F161" s="19">
        <f t="shared" si="7"/>
        <v>76</v>
      </c>
      <c r="G161" s="19" t="str">
        <f t="shared" si="12"/>
        <v>PC</v>
      </c>
      <c r="H161" s="18" t="s">
        <v>2680</v>
      </c>
      <c r="I161" s="14" t="s">
        <v>441</v>
      </c>
    </row>
    <row r="162" spans="1:9" x14ac:dyDescent="0.25">
      <c r="A162" s="17" t="s">
        <v>320</v>
      </c>
      <c r="B162" s="14" t="s">
        <v>259</v>
      </c>
      <c r="C162" s="18" t="s">
        <v>3662</v>
      </c>
      <c r="D162" s="14" t="str">
        <f t="shared" si="8"/>
        <v>1ST-358-161</v>
      </c>
      <c r="E162" s="19" t="s">
        <v>686</v>
      </c>
      <c r="F162" s="19">
        <f t="shared" si="7"/>
        <v>87</v>
      </c>
      <c r="G162" s="19" t="str">
        <f t="shared" si="12"/>
        <v>PC</v>
      </c>
      <c r="H162" s="18" t="s">
        <v>2681</v>
      </c>
      <c r="I162" s="14" t="s">
        <v>441</v>
      </c>
    </row>
    <row r="163" spans="1:9" x14ac:dyDescent="0.25">
      <c r="A163" s="17" t="s">
        <v>320</v>
      </c>
      <c r="B163" s="14" t="s">
        <v>259</v>
      </c>
      <c r="C163" s="18" t="s">
        <v>3663</v>
      </c>
      <c r="D163" s="14" t="str">
        <f t="shared" si="8"/>
        <v>1ST-358-162</v>
      </c>
      <c r="E163" s="19" t="s">
        <v>687</v>
      </c>
      <c r="F163" s="19">
        <f t="shared" si="7"/>
        <v>108</v>
      </c>
      <c r="G163" s="19" t="str">
        <f t="shared" si="12"/>
        <v>PC</v>
      </c>
      <c r="H163" s="18" t="s">
        <v>2682</v>
      </c>
      <c r="I163" s="14" t="s">
        <v>441</v>
      </c>
    </row>
    <row r="164" spans="1:9" ht="26.4" x14ac:dyDescent="0.25">
      <c r="A164" s="17" t="s">
        <v>320</v>
      </c>
      <c r="B164" s="14" t="s">
        <v>258</v>
      </c>
      <c r="C164" s="18" t="s">
        <v>688</v>
      </c>
      <c r="D164" s="14" t="str">
        <f t="shared" si="8"/>
        <v>1ST-358-163</v>
      </c>
      <c r="E164" s="18" t="s">
        <v>640</v>
      </c>
      <c r="F164" s="19">
        <f t="shared" si="7"/>
        <v>45</v>
      </c>
      <c r="G164" s="19" t="str">
        <f t="shared" si="12"/>
        <v>PC</v>
      </c>
      <c r="H164" s="18" t="s">
        <v>2993</v>
      </c>
      <c r="I164" s="14" t="s">
        <v>441</v>
      </c>
    </row>
    <row r="165" spans="1:9" ht="26.4" x14ac:dyDescent="0.25">
      <c r="A165" s="17" t="s">
        <v>320</v>
      </c>
      <c r="B165" s="14" t="s">
        <v>258</v>
      </c>
      <c r="C165" s="18" t="s">
        <v>689</v>
      </c>
      <c r="D165" s="14" t="str">
        <f t="shared" si="8"/>
        <v>1ST-358-164</v>
      </c>
      <c r="E165" s="18" t="s">
        <v>690</v>
      </c>
      <c r="F165" s="19">
        <f t="shared" si="7"/>
        <v>50</v>
      </c>
      <c r="G165" s="19" t="str">
        <f t="shared" si="12"/>
        <v>PC</v>
      </c>
      <c r="H165" s="18" t="s">
        <v>2994</v>
      </c>
      <c r="I165" s="14" t="s">
        <v>441</v>
      </c>
    </row>
    <row r="166" spans="1:9" ht="26.4" x14ac:dyDescent="0.25">
      <c r="A166" s="17" t="s">
        <v>320</v>
      </c>
      <c r="B166" s="14" t="s">
        <v>258</v>
      </c>
      <c r="C166" s="18" t="s">
        <v>691</v>
      </c>
      <c r="D166" s="14" t="str">
        <f t="shared" si="8"/>
        <v>1ST-358-165</v>
      </c>
      <c r="E166" s="18" t="s">
        <v>692</v>
      </c>
      <c r="F166" s="19">
        <f t="shared" si="7"/>
        <v>60</v>
      </c>
      <c r="G166" s="19" t="str">
        <f t="shared" si="12"/>
        <v>PC</v>
      </c>
      <c r="H166" s="18" t="s">
        <v>2995</v>
      </c>
      <c r="I166" s="14" t="s">
        <v>441</v>
      </c>
    </row>
    <row r="167" spans="1:9" x14ac:dyDescent="0.25">
      <c r="A167" s="17" t="s">
        <v>320</v>
      </c>
      <c r="B167" s="14" t="s">
        <v>258</v>
      </c>
      <c r="C167" s="18" t="s">
        <v>693</v>
      </c>
      <c r="D167" s="14" t="str">
        <f t="shared" si="8"/>
        <v>1ST-358-166</v>
      </c>
      <c r="E167" s="18" t="s">
        <v>694</v>
      </c>
      <c r="F167" s="19">
        <f t="shared" si="7"/>
        <v>70</v>
      </c>
      <c r="G167" s="19" t="str">
        <f t="shared" si="12"/>
        <v>PC</v>
      </c>
      <c r="H167" s="18" t="s">
        <v>2683</v>
      </c>
      <c r="I167" s="14" t="s">
        <v>441</v>
      </c>
    </row>
    <row r="168" spans="1:9" ht="26.4" x14ac:dyDescent="0.25">
      <c r="A168" s="17" t="s">
        <v>320</v>
      </c>
      <c r="B168" s="14" t="s">
        <v>257</v>
      </c>
      <c r="C168" s="18" t="s">
        <v>695</v>
      </c>
      <c r="D168" s="14" t="str">
        <f t="shared" si="8"/>
        <v>1ST-358-167</v>
      </c>
      <c r="E168" s="18" t="s">
        <v>696</v>
      </c>
      <c r="F168" s="19">
        <f t="shared" si="7"/>
        <v>48</v>
      </c>
      <c r="G168" s="19" t="str">
        <f t="shared" si="12"/>
        <v>PC</v>
      </c>
      <c r="H168" s="18" t="s">
        <v>2996</v>
      </c>
      <c r="I168" s="14" t="s">
        <v>441</v>
      </c>
    </row>
    <row r="169" spans="1:9" ht="26.4" x14ac:dyDescent="0.25">
      <c r="A169" s="17" t="s">
        <v>320</v>
      </c>
      <c r="B169" s="14" t="s">
        <v>257</v>
      </c>
      <c r="C169" s="18" t="s">
        <v>697</v>
      </c>
      <c r="D169" s="14" t="str">
        <f t="shared" si="8"/>
        <v>1ST-358-168</v>
      </c>
      <c r="E169" s="18" t="s">
        <v>698</v>
      </c>
      <c r="F169" s="19">
        <f t="shared" si="7"/>
        <v>55</v>
      </c>
      <c r="G169" s="19" t="str">
        <f t="shared" si="12"/>
        <v>PC</v>
      </c>
      <c r="H169" s="18" t="s">
        <v>2997</v>
      </c>
      <c r="I169" s="14" t="s">
        <v>441</v>
      </c>
    </row>
    <row r="170" spans="1:9" ht="26.4" x14ac:dyDescent="0.25">
      <c r="A170" s="17" t="s">
        <v>320</v>
      </c>
      <c r="B170" s="14" t="s">
        <v>257</v>
      </c>
      <c r="C170" s="18" t="s">
        <v>699</v>
      </c>
      <c r="D170" s="14" t="str">
        <f t="shared" si="8"/>
        <v>1ST-358-169</v>
      </c>
      <c r="E170" s="18" t="s">
        <v>700</v>
      </c>
      <c r="F170" s="19">
        <f t="shared" si="7"/>
        <v>65</v>
      </c>
      <c r="G170" s="19" t="str">
        <f t="shared" si="12"/>
        <v>PC</v>
      </c>
      <c r="H170" s="18" t="s">
        <v>2998</v>
      </c>
      <c r="I170" s="14" t="s">
        <v>441</v>
      </c>
    </row>
    <row r="171" spans="1:9" ht="26.4" x14ac:dyDescent="0.25">
      <c r="A171" s="17" t="s">
        <v>320</v>
      </c>
      <c r="B171" s="14" t="s">
        <v>257</v>
      </c>
      <c r="C171" s="18" t="s">
        <v>701</v>
      </c>
      <c r="D171" s="14" t="str">
        <f t="shared" si="8"/>
        <v>1ST-358-170</v>
      </c>
      <c r="E171" s="18" t="s">
        <v>702</v>
      </c>
      <c r="F171" s="19">
        <f t="shared" si="7"/>
        <v>75</v>
      </c>
      <c r="G171" s="19" t="str">
        <f t="shared" si="12"/>
        <v>PC</v>
      </c>
      <c r="H171" s="18" t="s">
        <v>2999</v>
      </c>
      <c r="I171" s="14" t="s">
        <v>441</v>
      </c>
    </row>
    <row r="172" spans="1:9" x14ac:dyDescent="0.25">
      <c r="A172" s="17" t="s">
        <v>320</v>
      </c>
      <c r="B172" s="14" t="s">
        <v>256</v>
      </c>
      <c r="C172" s="18" t="s">
        <v>3664</v>
      </c>
      <c r="D172" s="14" t="str">
        <f t="shared" si="8"/>
        <v>1ST-358-171</v>
      </c>
      <c r="E172" s="18" t="s">
        <v>703</v>
      </c>
      <c r="F172" s="19">
        <f t="shared" si="7"/>
        <v>145</v>
      </c>
      <c r="G172" s="19" t="str">
        <f t="shared" si="12"/>
        <v>PC</v>
      </c>
      <c r="H172" s="18" t="s">
        <v>2684</v>
      </c>
      <c r="I172" s="14" t="s">
        <v>441</v>
      </c>
    </row>
    <row r="173" spans="1:9" x14ac:dyDescent="0.25">
      <c r="A173" s="17" t="s">
        <v>320</v>
      </c>
      <c r="B173" s="14" t="s">
        <v>256</v>
      </c>
      <c r="C173" s="18" t="s">
        <v>704</v>
      </c>
      <c r="D173" s="14" t="str">
        <f t="shared" si="8"/>
        <v>1ST-358-172</v>
      </c>
      <c r="E173" s="18" t="s">
        <v>703</v>
      </c>
      <c r="F173" s="19">
        <f t="shared" si="7"/>
        <v>145</v>
      </c>
      <c r="G173" s="19" t="str">
        <f t="shared" si="12"/>
        <v>PC</v>
      </c>
      <c r="H173" s="18" t="s">
        <v>2684</v>
      </c>
      <c r="I173" s="14" t="s">
        <v>441</v>
      </c>
    </row>
    <row r="174" spans="1:9" x14ac:dyDescent="0.25">
      <c r="A174" s="17" t="s">
        <v>320</v>
      </c>
      <c r="B174" s="14" t="s">
        <v>255</v>
      </c>
      <c r="C174" s="14" t="s">
        <v>488</v>
      </c>
      <c r="D174" s="14" t="str">
        <f t="shared" si="8"/>
        <v>1ST-358-173</v>
      </c>
      <c r="E174" s="14" t="s">
        <v>489</v>
      </c>
      <c r="F174" s="19">
        <f t="shared" si="7"/>
        <v>280</v>
      </c>
      <c r="G174" s="19" t="str">
        <f t="shared" si="12"/>
        <v>PC</v>
      </c>
      <c r="H174" s="14" t="s">
        <v>490</v>
      </c>
      <c r="I174" s="14" t="s">
        <v>441</v>
      </c>
    </row>
    <row r="175" spans="1:9" x14ac:dyDescent="0.25">
      <c r="A175" s="17" t="s">
        <v>320</v>
      </c>
      <c r="B175" s="14" t="s">
        <v>254</v>
      </c>
      <c r="C175" s="14" t="s">
        <v>491</v>
      </c>
      <c r="D175" s="14" t="str">
        <f t="shared" si="8"/>
        <v>1ST-358-174</v>
      </c>
      <c r="E175" s="14" t="s">
        <v>492</v>
      </c>
      <c r="F175" s="19">
        <f t="shared" si="7"/>
        <v>290</v>
      </c>
      <c r="G175" s="19" t="str">
        <f t="shared" si="12"/>
        <v>PC</v>
      </c>
      <c r="H175" s="14" t="s">
        <v>493</v>
      </c>
      <c r="I175" s="14" t="s">
        <v>441</v>
      </c>
    </row>
    <row r="176" spans="1:9" x14ac:dyDescent="0.25">
      <c r="A176" s="17" t="s">
        <v>320</v>
      </c>
      <c r="B176" s="14" t="s">
        <v>253</v>
      </c>
      <c r="C176" s="18" t="s">
        <v>705</v>
      </c>
      <c r="D176" s="14" t="str">
        <f t="shared" si="8"/>
        <v>1ST-358-175</v>
      </c>
      <c r="E176" s="18" t="s">
        <v>700</v>
      </c>
      <c r="F176" s="19">
        <f t="shared" si="7"/>
        <v>65</v>
      </c>
      <c r="G176" s="19" t="str">
        <f t="shared" si="12"/>
        <v>PC</v>
      </c>
      <c r="H176" s="18" t="s">
        <v>2685</v>
      </c>
      <c r="I176" s="14" t="s">
        <v>441</v>
      </c>
    </row>
    <row r="177" spans="1:9" x14ac:dyDescent="0.25">
      <c r="A177" s="17" t="s">
        <v>320</v>
      </c>
      <c r="B177" s="14" t="s">
        <v>253</v>
      </c>
      <c r="C177" s="18" t="s">
        <v>706</v>
      </c>
      <c r="D177" s="14" t="str">
        <f t="shared" si="8"/>
        <v>1ST-358-176</v>
      </c>
      <c r="E177" s="18" t="s">
        <v>702</v>
      </c>
      <c r="F177" s="19">
        <f t="shared" si="7"/>
        <v>75</v>
      </c>
      <c r="G177" s="19" t="str">
        <f t="shared" si="12"/>
        <v>PC</v>
      </c>
      <c r="H177" s="18" t="s">
        <v>2686</v>
      </c>
      <c r="I177" s="14" t="s">
        <v>441</v>
      </c>
    </row>
    <row r="178" spans="1:9" x14ac:dyDescent="0.25">
      <c r="A178" s="17" t="s">
        <v>320</v>
      </c>
      <c r="B178" s="14" t="s">
        <v>253</v>
      </c>
      <c r="C178" s="18" t="s">
        <v>707</v>
      </c>
      <c r="D178" s="14" t="str">
        <f t="shared" si="8"/>
        <v>1ST-358-177</v>
      </c>
      <c r="E178" s="18" t="s">
        <v>708</v>
      </c>
      <c r="F178" s="19">
        <f t="shared" si="7"/>
        <v>85</v>
      </c>
      <c r="G178" s="19" t="str">
        <f t="shared" si="12"/>
        <v>PC</v>
      </c>
      <c r="H178" s="18" t="s">
        <v>2687</v>
      </c>
      <c r="I178" s="14" t="s">
        <v>441</v>
      </c>
    </row>
    <row r="179" spans="1:9" ht="26.4" x14ac:dyDescent="0.25">
      <c r="A179" s="17" t="s">
        <v>320</v>
      </c>
      <c r="B179" s="14" t="s">
        <v>252</v>
      </c>
      <c r="C179" s="18" t="s">
        <v>709</v>
      </c>
      <c r="D179" s="14" t="str">
        <f t="shared" si="8"/>
        <v>1ST-358-178</v>
      </c>
      <c r="E179" s="18" t="s">
        <v>710</v>
      </c>
      <c r="F179" s="19">
        <f t="shared" si="7"/>
        <v>120</v>
      </c>
      <c r="G179" s="19" t="str">
        <f t="shared" si="12"/>
        <v>PC</v>
      </c>
      <c r="H179" s="18" t="s">
        <v>3000</v>
      </c>
      <c r="I179" s="14" t="s">
        <v>441</v>
      </c>
    </row>
    <row r="180" spans="1:9" ht="26.4" x14ac:dyDescent="0.25">
      <c r="A180" s="17" t="s">
        <v>320</v>
      </c>
      <c r="B180" s="14" t="s">
        <v>252</v>
      </c>
      <c r="C180" s="18" t="s">
        <v>711</v>
      </c>
      <c r="D180" s="14" t="str">
        <f t="shared" si="8"/>
        <v>1ST-358-179</v>
      </c>
      <c r="E180" s="18" t="s">
        <v>712</v>
      </c>
      <c r="F180" s="19">
        <f t="shared" si="7"/>
        <v>135</v>
      </c>
      <c r="G180" s="19" t="str">
        <f t="shared" si="12"/>
        <v>PC</v>
      </c>
      <c r="H180" s="18" t="s">
        <v>3001</v>
      </c>
      <c r="I180" s="14" t="s">
        <v>441</v>
      </c>
    </row>
    <row r="181" spans="1:9" ht="26.4" x14ac:dyDescent="0.25">
      <c r="A181" s="17" t="s">
        <v>320</v>
      </c>
      <c r="B181" s="14" t="s">
        <v>252</v>
      </c>
      <c r="C181" s="18" t="s">
        <v>713</v>
      </c>
      <c r="D181" s="14" t="str">
        <f t="shared" si="8"/>
        <v>1ST-358-180</v>
      </c>
      <c r="E181" s="18" t="s">
        <v>712</v>
      </c>
      <c r="F181" s="19">
        <f t="shared" si="7"/>
        <v>135</v>
      </c>
      <c r="G181" s="19" t="str">
        <f t="shared" si="12"/>
        <v>PC</v>
      </c>
      <c r="H181" s="18" t="s">
        <v>3001</v>
      </c>
      <c r="I181" s="14" t="s">
        <v>441</v>
      </c>
    </row>
    <row r="182" spans="1:9" ht="26.4" x14ac:dyDescent="0.25">
      <c r="A182" s="17" t="s">
        <v>320</v>
      </c>
      <c r="B182" s="14" t="s">
        <v>252</v>
      </c>
      <c r="C182" s="18" t="s">
        <v>3665</v>
      </c>
      <c r="D182" s="14" t="str">
        <f t="shared" si="8"/>
        <v>1ST-358-181</v>
      </c>
      <c r="E182" s="19" t="s">
        <v>656</v>
      </c>
      <c r="F182" s="19">
        <f t="shared" si="7"/>
        <v>160</v>
      </c>
      <c r="G182" s="19" t="str">
        <f t="shared" si="12"/>
        <v>PC</v>
      </c>
      <c r="H182" s="18" t="s">
        <v>3002</v>
      </c>
      <c r="I182" s="14" t="s">
        <v>441</v>
      </c>
    </row>
    <row r="183" spans="1:9" ht="26.4" x14ac:dyDescent="0.25">
      <c r="A183" s="17" t="s">
        <v>320</v>
      </c>
      <c r="B183" s="14" t="s">
        <v>252</v>
      </c>
      <c r="C183" s="18" t="s">
        <v>3666</v>
      </c>
      <c r="D183" s="14" t="str">
        <f t="shared" si="8"/>
        <v>1ST-358-182</v>
      </c>
      <c r="E183" s="18" t="s">
        <v>714</v>
      </c>
      <c r="F183" s="19">
        <f t="shared" si="7"/>
        <v>175</v>
      </c>
      <c r="G183" s="19" t="str">
        <f t="shared" si="12"/>
        <v>PC</v>
      </c>
      <c r="H183" s="18" t="s">
        <v>3003</v>
      </c>
      <c r="I183" s="14" t="s">
        <v>441</v>
      </c>
    </row>
    <row r="184" spans="1:9" x14ac:dyDescent="0.25">
      <c r="A184" s="17" t="s">
        <v>320</v>
      </c>
      <c r="B184" s="14" t="s">
        <v>251</v>
      </c>
      <c r="C184" s="18" t="s">
        <v>3667</v>
      </c>
      <c r="D184" s="14" t="str">
        <f t="shared" si="8"/>
        <v>1ST-358-183</v>
      </c>
      <c r="E184" s="18" t="s">
        <v>715</v>
      </c>
      <c r="F184" s="19">
        <f t="shared" si="7"/>
        <v>140</v>
      </c>
      <c r="G184" s="19" t="str">
        <f t="shared" si="12"/>
        <v>PC</v>
      </c>
      <c r="H184" s="18" t="s">
        <v>2688</v>
      </c>
      <c r="I184" s="14" t="s">
        <v>441</v>
      </c>
    </row>
    <row r="185" spans="1:9" x14ac:dyDescent="0.25">
      <c r="A185" s="17" t="s">
        <v>320</v>
      </c>
      <c r="B185" s="14" t="s">
        <v>251</v>
      </c>
      <c r="C185" s="18" t="s">
        <v>716</v>
      </c>
      <c r="D185" s="14" t="str">
        <f t="shared" si="8"/>
        <v>1ST-358-184</v>
      </c>
      <c r="E185" s="18" t="s">
        <v>703</v>
      </c>
      <c r="F185" s="19">
        <f t="shared" si="7"/>
        <v>145</v>
      </c>
      <c r="G185" s="19" t="str">
        <f t="shared" si="12"/>
        <v>PC</v>
      </c>
      <c r="H185" s="18" t="s">
        <v>2689</v>
      </c>
      <c r="I185" s="14" t="s">
        <v>441</v>
      </c>
    </row>
    <row r="186" spans="1:9" x14ac:dyDescent="0.25">
      <c r="A186" s="17" t="s">
        <v>320</v>
      </c>
      <c r="B186" s="14" t="s">
        <v>251</v>
      </c>
      <c r="C186" s="18" t="s">
        <v>3668</v>
      </c>
      <c r="D186" s="14" t="str">
        <f t="shared" si="8"/>
        <v>1ST-358-185</v>
      </c>
      <c r="E186" s="18" t="s">
        <v>656</v>
      </c>
      <c r="F186" s="19">
        <f t="shared" si="7"/>
        <v>160</v>
      </c>
      <c r="G186" s="19" t="str">
        <f t="shared" si="12"/>
        <v>PC</v>
      </c>
      <c r="H186" s="18" t="s">
        <v>2690</v>
      </c>
      <c r="I186" s="14" t="s">
        <v>441</v>
      </c>
    </row>
    <row r="187" spans="1:9" x14ac:dyDescent="0.25">
      <c r="A187" s="17" t="s">
        <v>320</v>
      </c>
      <c r="B187" s="14" t="s">
        <v>251</v>
      </c>
      <c r="C187" s="18" t="s">
        <v>717</v>
      </c>
      <c r="D187" s="14" t="str">
        <f t="shared" si="8"/>
        <v>1ST-358-186</v>
      </c>
      <c r="E187" s="18" t="s">
        <v>703</v>
      </c>
      <c r="F187" s="19">
        <f t="shared" si="7"/>
        <v>145</v>
      </c>
      <c r="G187" s="19" t="str">
        <f t="shared" si="12"/>
        <v>PC</v>
      </c>
      <c r="H187" s="18" t="s">
        <v>2689</v>
      </c>
      <c r="I187" s="14" t="s">
        <v>441</v>
      </c>
    </row>
    <row r="188" spans="1:9" x14ac:dyDescent="0.25">
      <c r="A188" s="17" t="s">
        <v>320</v>
      </c>
      <c r="B188" s="14" t="s">
        <v>251</v>
      </c>
      <c r="C188" s="18" t="s">
        <v>3669</v>
      </c>
      <c r="D188" s="14" t="str">
        <f t="shared" si="8"/>
        <v>1ST-358-187</v>
      </c>
      <c r="E188" s="18" t="s">
        <v>656</v>
      </c>
      <c r="F188" s="19">
        <f t="shared" si="7"/>
        <v>160</v>
      </c>
      <c r="G188" s="19" t="str">
        <f t="shared" si="12"/>
        <v>PC</v>
      </c>
      <c r="H188" s="18" t="s">
        <v>2690</v>
      </c>
      <c r="I188" s="14" t="s">
        <v>441</v>
      </c>
    </row>
    <row r="189" spans="1:9" x14ac:dyDescent="0.25">
      <c r="A189" s="17" t="s">
        <v>320</v>
      </c>
      <c r="B189" s="14" t="s">
        <v>251</v>
      </c>
      <c r="C189" s="18" t="s">
        <v>3670</v>
      </c>
      <c r="D189" s="14" t="str">
        <f t="shared" si="8"/>
        <v>1ST-358-188</v>
      </c>
      <c r="E189" s="18" t="s">
        <v>714</v>
      </c>
      <c r="F189" s="19">
        <f t="shared" si="7"/>
        <v>175</v>
      </c>
      <c r="G189" s="19" t="str">
        <f t="shared" si="12"/>
        <v>PC</v>
      </c>
      <c r="H189" s="18" t="s">
        <v>2691</v>
      </c>
      <c r="I189" s="14" t="s">
        <v>441</v>
      </c>
    </row>
    <row r="190" spans="1:9" x14ac:dyDescent="0.25">
      <c r="A190" s="17" t="s">
        <v>320</v>
      </c>
      <c r="B190" s="14" t="s">
        <v>250</v>
      </c>
      <c r="C190" s="19" t="s">
        <v>718</v>
      </c>
      <c r="D190" s="14" t="str">
        <f t="shared" si="8"/>
        <v>1ST-358-189</v>
      </c>
      <c r="E190" s="19" t="s">
        <v>678</v>
      </c>
      <c r="F190" s="19">
        <f t="shared" si="7"/>
        <v>152</v>
      </c>
      <c r="G190" s="19" t="str">
        <f t="shared" ref="G190:G194" si="13">TRIM(MID(E190,FIND("/",E190)+1,LEN(E190)))</f>
        <v>PC</v>
      </c>
      <c r="H190" s="18" t="s">
        <v>2692</v>
      </c>
      <c r="I190" s="14" t="s">
        <v>441</v>
      </c>
    </row>
    <row r="191" spans="1:9" x14ac:dyDescent="0.25">
      <c r="A191" s="17" t="s">
        <v>320</v>
      </c>
      <c r="B191" s="14" t="s">
        <v>250</v>
      </c>
      <c r="C191" s="19" t="s">
        <v>719</v>
      </c>
      <c r="D191" s="14" t="str">
        <f t="shared" si="8"/>
        <v>1ST-358-190</v>
      </c>
      <c r="E191" s="19" t="s">
        <v>720</v>
      </c>
      <c r="F191" s="19">
        <f t="shared" si="7"/>
        <v>163</v>
      </c>
      <c r="G191" s="19" t="str">
        <f t="shared" si="13"/>
        <v>PC</v>
      </c>
      <c r="H191" s="18" t="s">
        <v>2693</v>
      </c>
      <c r="I191" s="14" t="s">
        <v>441</v>
      </c>
    </row>
    <row r="192" spans="1:9" x14ac:dyDescent="0.25">
      <c r="A192" s="17" t="s">
        <v>320</v>
      </c>
      <c r="B192" s="14" t="s">
        <v>250</v>
      </c>
      <c r="C192" s="18" t="s">
        <v>3671</v>
      </c>
      <c r="D192" s="14" t="str">
        <f t="shared" si="8"/>
        <v>1ST-358-191</v>
      </c>
      <c r="E192" s="19" t="s">
        <v>721</v>
      </c>
      <c r="F192" s="19">
        <f t="shared" si="7"/>
        <v>172</v>
      </c>
      <c r="G192" s="19" t="str">
        <f t="shared" si="13"/>
        <v>PC</v>
      </c>
      <c r="H192" s="18" t="s">
        <v>2694</v>
      </c>
      <c r="I192" s="14" t="s">
        <v>441</v>
      </c>
    </row>
    <row r="193" spans="1:9" x14ac:dyDescent="0.25">
      <c r="A193" s="17" t="s">
        <v>320</v>
      </c>
      <c r="B193" s="14" t="s">
        <v>250</v>
      </c>
      <c r="C193" s="18" t="s">
        <v>3672</v>
      </c>
      <c r="D193" s="14" t="str">
        <f t="shared" si="8"/>
        <v>1ST-358-192</v>
      </c>
      <c r="E193" s="19" t="s">
        <v>722</v>
      </c>
      <c r="F193" s="19">
        <f t="shared" si="7"/>
        <v>203</v>
      </c>
      <c r="G193" s="19" t="str">
        <f t="shared" si="13"/>
        <v>PC</v>
      </c>
      <c r="H193" s="18" t="s">
        <v>2695</v>
      </c>
      <c r="I193" s="14" t="s">
        <v>441</v>
      </c>
    </row>
    <row r="194" spans="1:9" x14ac:dyDescent="0.25">
      <c r="A194" s="17" t="s">
        <v>320</v>
      </c>
      <c r="B194" s="14" t="s">
        <v>250</v>
      </c>
      <c r="C194" s="18" t="s">
        <v>3673</v>
      </c>
      <c r="D194" s="14" t="str">
        <f t="shared" si="8"/>
        <v>1ST-358-193</v>
      </c>
      <c r="E194" s="19" t="s">
        <v>723</v>
      </c>
      <c r="F194" s="19">
        <f t="shared" si="7"/>
        <v>228</v>
      </c>
      <c r="G194" s="19" t="str">
        <f t="shared" si="13"/>
        <v>PC</v>
      </c>
      <c r="H194" s="18" t="s">
        <v>2696</v>
      </c>
      <c r="I194" s="14" t="s">
        <v>441</v>
      </c>
    </row>
    <row r="195" spans="1:9" x14ac:dyDescent="0.25">
      <c r="A195" s="17" t="s">
        <v>320</v>
      </c>
      <c r="B195" s="14" t="s">
        <v>249</v>
      </c>
      <c r="C195" s="18" t="s">
        <v>3674</v>
      </c>
      <c r="D195" s="14" t="str">
        <f t="shared" si="8"/>
        <v>1ST-358-194</v>
      </c>
      <c r="E195" s="18" t="s">
        <v>739</v>
      </c>
      <c r="F195" s="19">
        <f t="shared" si="7"/>
        <v>155</v>
      </c>
      <c r="G195" s="19" t="str">
        <f t="shared" ref="G195:G199" si="14">TRIM(MID(E195,FIND("/",E195)+1,LEN(E195)))</f>
        <v>PC</v>
      </c>
      <c r="H195" s="18" t="s">
        <v>2697</v>
      </c>
      <c r="I195" s="14" t="s">
        <v>441</v>
      </c>
    </row>
    <row r="196" spans="1:9" x14ac:dyDescent="0.25">
      <c r="A196" s="17" t="s">
        <v>320</v>
      </c>
      <c r="B196" s="14" t="s">
        <v>249</v>
      </c>
      <c r="C196" s="18" t="s">
        <v>3675</v>
      </c>
      <c r="D196" s="14" t="str">
        <f t="shared" ref="D196:D260" si="15">LEFT($D$2,FIND("-",$D$2,FIND("-",$D$2)+1)) &amp; TEXT(RIGHT($D$2,3)+ROW(D194),"000")</f>
        <v>1ST-358-195</v>
      </c>
      <c r="E196" s="18" t="s">
        <v>740</v>
      </c>
      <c r="F196" s="19">
        <f t="shared" ref="F196:F199" si="16">VALUE(LEFT(E196,FIND("/",E196)-1))</f>
        <v>165</v>
      </c>
      <c r="G196" s="19" t="str">
        <f t="shared" si="14"/>
        <v>PC</v>
      </c>
      <c r="H196" s="18" t="s">
        <v>2698</v>
      </c>
      <c r="I196" s="14" t="s">
        <v>441</v>
      </c>
    </row>
    <row r="197" spans="1:9" x14ac:dyDescent="0.25">
      <c r="A197" s="17" t="s">
        <v>320</v>
      </c>
      <c r="B197" s="14" t="s">
        <v>249</v>
      </c>
      <c r="C197" s="18" t="s">
        <v>3671</v>
      </c>
      <c r="D197" s="14" t="str">
        <f t="shared" si="15"/>
        <v>1ST-358-196</v>
      </c>
      <c r="E197" s="18" t="s">
        <v>741</v>
      </c>
      <c r="F197" s="19">
        <f t="shared" si="16"/>
        <v>190</v>
      </c>
      <c r="G197" s="19" t="str">
        <f t="shared" si="14"/>
        <v>PC</v>
      </c>
      <c r="H197" s="18" t="s">
        <v>2699</v>
      </c>
      <c r="I197" s="14" t="s">
        <v>441</v>
      </c>
    </row>
    <row r="198" spans="1:9" x14ac:dyDescent="0.25">
      <c r="A198" s="17" t="s">
        <v>320</v>
      </c>
      <c r="B198" s="14" t="s">
        <v>249</v>
      </c>
      <c r="C198" s="18" t="s">
        <v>3672</v>
      </c>
      <c r="D198" s="14" t="str">
        <f t="shared" si="15"/>
        <v>1ST-358-197</v>
      </c>
      <c r="E198" s="18" t="s">
        <v>517</v>
      </c>
      <c r="F198" s="19">
        <f t="shared" si="16"/>
        <v>205</v>
      </c>
      <c r="G198" s="19" t="str">
        <f t="shared" si="14"/>
        <v>PC</v>
      </c>
      <c r="H198" s="18" t="s">
        <v>2700</v>
      </c>
      <c r="I198" s="14" t="s">
        <v>441</v>
      </c>
    </row>
    <row r="199" spans="1:9" x14ac:dyDescent="0.25">
      <c r="A199" s="17" t="s">
        <v>320</v>
      </c>
      <c r="B199" s="14" t="s">
        <v>249</v>
      </c>
      <c r="C199" s="18" t="s">
        <v>3673</v>
      </c>
      <c r="D199" s="14" t="str">
        <f t="shared" si="15"/>
        <v>1ST-358-198</v>
      </c>
      <c r="E199" s="18" t="s">
        <v>683</v>
      </c>
      <c r="F199" s="19">
        <f t="shared" si="16"/>
        <v>235</v>
      </c>
      <c r="G199" s="19" t="str">
        <f t="shared" si="14"/>
        <v>PC</v>
      </c>
      <c r="H199" s="18" t="s">
        <v>2673</v>
      </c>
      <c r="I199" s="14" t="s">
        <v>441</v>
      </c>
    </row>
    <row r="200" spans="1:9" ht="26.4" x14ac:dyDescent="0.25">
      <c r="A200" s="17" t="s">
        <v>320</v>
      </c>
      <c r="B200" s="14" t="s">
        <v>248</v>
      </c>
      <c r="C200" s="18" t="s">
        <v>849</v>
      </c>
      <c r="D200" s="14" t="str">
        <f t="shared" si="15"/>
        <v>1ST-358-199</v>
      </c>
      <c r="E200" s="18" t="s">
        <v>850</v>
      </c>
      <c r="F200" s="19">
        <f t="shared" ref="F200:F205" si="17">VALUE(LEFT(E200,FIND("/",E200)-1))</f>
        <v>230</v>
      </c>
      <c r="G200" s="19" t="str">
        <f t="shared" ref="G200:G205" si="18">TRIM(MID(E200,FIND("/",E200)+1,LEN(E200)))</f>
        <v>PC</v>
      </c>
      <c r="H200" s="20" t="s">
        <v>742</v>
      </c>
      <c r="I200" s="21">
        <v>0.5</v>
      </c>
    </row>
    <row r="201" spans="1:9" ht="26.4" x14ac:dyDescent="0.25">
      <c r="A201" s="17" t="s">
        <v>320</v>
      </c>
      <c r="B201" s="14" t="s">
        <v>248</v>
      </c>
      <c r="C201" s="18" t="s">
        <v>851</v>
      </c>
      <c r="D201" s="14" t="str">
        <f t="shared" si="15"/>
        <v>1ST-358-200</v>
      </c>
      <c r="E201" s="18" t="s">
        <v>506</v>
      </c>
      <c r="F201" s="19">
        <f t="shared" si="17"/>
        <v>345</v>
      </c>
      <c r="G201" s="19" t="str">
        <f t="shared" si="18"/>
        <v>PC</v>
      </c>
      <c r="H201" s="20" t="s">
        <v>742</v>
      </c>
      <c r="I201" s="21">
        <v>0.5</v>
      </c>
    </row>
    <row r="202" spans="1:9" ht="26.4" x14ac:dyDescent="0.25">
      <c r="A202" s="17" t="s">
        <v>320</v>
      </c>
      <c r="B202" s="14" t="s">
        <v>248</v>
      </c>
      <c r="C202" s="18" t="s">
        <v>852</v>
      </c>
      <c r="D202" s="14" t="str">
        <f t="shared" si="15"/>
        <v>1ST-358-201</v>
      </c>
      <c r="E202" s="18" t="s">
        <v>853</v>
      </c>
      <c r="F202" s="19">
        <f t="shared" si="17"/>
        <v>565</v>
      </c>
      <c r="G202" s="19" t="str">
        <f t="shared" si="18"/>
        <v>PC</v>
      </c>
      <c r="H202" s="20" t="s">
        <v>742</v>
      </c>
      <c r="I202" s="21">
        <v>0.5</v>
      </c>
    </row>
    <row r="203" spans="1:9" ht="26.4" x14ac:dyDescent="0.25">
      <c r="A203" s="17" t="s">
        <v>320</v>
      </c>
      <c r="B203" s="14" t="s">
        <v>248</v>
      </c>
      <c r="C203" s="18" t="s">
        <v>854</v>
      </c>
      <c r="D203" s="14" t="str">
        <f t="shared" si="15"/>
        <v>1ST-358-202</v>
      </c>
      <c r="E203" s="18" t="s">
        <v>855</v>
      </c>
      <c r="F203" s="19">
        <f t="shared" si="17"/>
        <v>870</v>
      </c>
      <c r="G203" s="19" t="str">
        <f t="shared" si="18"/>
        <v>PC</v>
      </c>
      <c r="H203" s="20" t="s">
        <v>742</v>
      </c>
      <c r="I203" s="21">
        <v>0.5</v>
      </c>
    </row>
    <row r="204" spans="1:9" ht="26.4" x14ac:dyDescent="0.25">
      <c r="A204" s="17" t="s">
        <v>320</v>
      </c>
      <c r="B204" s="14" t="s">
        <v>248</v>
      </c>
      <c r="C204" s="18" t="s">
        <v>856</v>
      </c>
      <c r="D204" s="14" t="str">
        <f t="shared" si="15"/>
        <v>1ST-358-203</v>
      </c>
      <c r="E204" s="18" t="s">
        <v>857</v>
      </c>
      <c r="F204" s="19">
        <f t="shared" si="17"/>
        <v>1270</v>
      </c>
      <c r="G204" s="19" t="str">
        <f t="shared" si="18"/>
        <v>PC</v>
      </c>
      <c r="H204" s="20" t="s">
        <v>742</v>
      </c>
      <c r="I204" s="21">
        <v>0.5</v>
      </c>
    </row>
    <row r="205" spans="1:9" ht="26.4" x14ac:dyDescent="0.25">
      <c r="A205" s="17" t="s">
        <v>320</v>
      </c>
      <c r="B205" s="14" t="s">
        <v>248</v>
      </c>
      <c r="C205" s="18" t="s">
        <v>858</v>
      </c>
      <c r="D205" s="14" t="str">
        <f t="shared" si="15"/>
        <v>1ST-358-204</v>
      </c>
      <c r="E205" s="18" t="s">
        <v>859</v>
      </c>
      <c r="F205" s="19">
        <f t="shared" si="17"/>
        <v>1885</v>
      </c>
      <c r="G205" s="19" t="str">
        <f t="shared" si="18"/>
        <v>PC</v>
      </c>
      <c r="H205" s="20" t="s">
        <v>742</v>
      </c>
      <c r="I205" s="21">
        <v>0.5</v>
      </c>
    </row>
    <row r="206" spans="1:9" x14ac:dyDescent="0.25">
      <c r="A206" s="17" t="s">
        <v>320</v>
      </c>
      <c r="B206" s="14" t="s">
        <v>247</v>
      </c>
      <c r="C206" s="18" t="s">
        <v>860</v>
      </c>
      <c r="D206" s="14" t="str">
        <f t="shared" si="15"/>
        <v>1ST-358-205</v>
      </c>
      <c r="E206" s="18" t="s">
        <v>861</v>
      </c>
      <c r="F206" s="19">
        <f t="shared" ref="F206:F211" si="19">VALUE(LEFT(E206,FIND("/",E206)-1))</f>
        <v>325</v>
      </c>
      <c r="G206" s="19" t="str">
        <f t="shared" ref="G206:G211" si="20">TRIM(MID(E206,FIND("/",E206)+1,LEN(E206)))</f>
        <v>PC</v>
      </c>
      <c r="H206" s="20" t="s">
        <v>743</v>
      </c>
      <c r="I206" s="21">
        <v>0.4</v>
      </c>
    </row>
    <row r="207" spans="1:9" x14ac:dyDescent="0.25">
      <c r="A207" s="17" t="s">
        <v>320</v>
      </c>
      <c r="B207" s="14" t="s">
        <v>247</v>
      </c>
      <c r="C207" s="18" t="s">
        <v>862</v>
      </c>
      <c r="D207" s="14" t="str">
        <f t="shared" si="15"/>
        <v>1ST-358-206</v>
      </c>
      <c r="E207" s="18" t="s">
        <v>863</v>
      </c>
      <c r="F207" s="19">
        <f t="shared" si="19"/>
        <v>450</v>
      </c>
      <c r="G207" s="19" t="str">
        <f t="shared" si="20"/>
        <v>PC</v>
      </c>
      <c r="H207" s="20" t="s">
        <v>743</v>
      </c>
      <c r="I207" s="21">
        <v>0.4</v>
      </c>
    </row>
    <row r="208" spans="1:9" x14ac:dyDescent="0.25">
      <c r="A208" s="17" t="s">
        <v>320</v>
      </c>
      <c r="B208" s="14" t="s">
        <v>247</v>
      </c>
      <c r="C208" s="18" t="s">
        <v>864</v>
      </c>
      <c r="D208" s="14" t="str">
        <f t="shared" si="15"/>
        <v>1ST-358-207</v>
      </c>
      <c r="E208" s="18" t="s">
        <v>865</v>
      </c>
      <c r="F208" s="19">
        <f t="shared" si="19"/>
        <v>645</v>
      </c>
      <c r="G208" s="19" t="str">
        <f t="shared" si="20"/>
        <v>PC</v>
      </c>
      <c r="H208" s="20" t="s">
        <v>743</v>
      </c>
      <c r="I208" s="21">
        <v>0.4</v>
      </c>
    </row>
    <row r="209" spans="1:9" x14ac:dyDescent="0.25">
      <c r="A209" s="17" t="s">
        <v>320</v>
      </c>
      <c r="B209" s="14" t="s">
        <v>247</v>
      </c>
      <c r="C209" s="18" t="s">
        <v>866</v>
      </c>
      <c r="D209" s="14" t="str">
        <f t="shared" si="15"/>
        <v>1ST-358-208</v>
      </c>
      <c r="E209" s="18" t="s">
        <v>867</v>
      </c>
      <c r="F209" s="19">
        <f t="shared" si="19"/>
        <v>1065</v>
      </c>
      <c r="G209" s="19" t="str">
        <f t="shared" si="20"/>
        <v>PC</v>
      </c>
      <c r="H209" s="20" t="s">
        <v>743</v>
      </c>
      <c r="I209" s="21">
        <v>0.4</v>
      </c>
    </row>
    <row r="210" spans="1:9" x14ac:dyDescent="0.25">
      <c r="A210" s="17" t="s">
        <v>320</v>
      </c>
      <c r="B210" s="14" t="s">
        <v>247</v>
      </c>
      <c r="C210" s="18" t="s">
        <v>868</v>
      </c>
      <c r="D210" s="14" t="str">
        <f t="shared" si="15"/>
        <v>1ST-358-209</v>
      </c>
      <c r="E210" s="18" t="s">
        <v>869</v>
      </c>
      <c r="F210" s="19">
        <f t="shared" si="19"/>
        <v>1480</v>
      </c>
      <c r="G210" s="19" t="str">
        <f t="shared" si="20"/>
        <v>PC</v>
      </c>
      <c r="H210" s="20" t="s">
        <v>743</v>
      </c>
      <c r="I210" s="21">
        <v>0.4</v>
      </c>
    </row>
    <row r="211" spans="1:9" x14ac:dyDescent="0.25">
      <c r="A211" s="17" t="s">
        <v>320</v>
      </c>
      <c r="B211" s="14" t="s">
        <v>247</v>
      </c>
      <c r="C211" s="18" t="s">
        <v>870</v>
      </c>
      <c r="D211" s="14" t="str">
        <f t="shared" si="15"/>
        <v>1ST-358-210</v>
      </c>
      <c r="E211" s="18" t="s">
        <v>871</v>
      </c>
      <c r="F211" s="19">
        <f t="shared" si="19"/>
        <v>2100</v>
      </c>
      <c r="G211" s="19" t="str">
        <f t="shared" si="20"/>
        <v>PC</v>
      </c>
      <c r="H211" s="20" t="s">
        <v>743</v>
      </c>
      <c r="I211" s="21">
        <v>0.4</v>
      </c>
    </row>
    <row r="212" spans="1:9" ht="26.4" x14ac:dyDescent="0.25">
      <c r="A212" s="17" t="s">
        <v>320</v>
      </c>
      <c r="B212" s="14" t="s">
        <v>246</v>
      </c>
      <c r="C212" s="18" t="s">
        <v>872</v>
      </c>
      <c r="D212" s="14" t="str">
        <f t="shared" si="15"/>
        <v>1ST-358-211</v>
      </c>
      <c r="E212" s="18" t="s">
        <v>873</v>
      </c>
      <c r="F212" s="19">
        <f t="shared" ref="F212:F217" si="21">VALUE(LEFT(E212,FIND("/",E212)-1))</f>
        <v>53</v>
      </c>
      <c r="G212" s="19" t="str">
        <f t="shared" ref="G212:G217" si="22">TRIM(MID(E212,FIND("/",E212)+1,LEN(E212)))</f>
        <v>PC</v>
      </c>
      <c r="H212" s="18" t="s">
        <v>3004</v>
      </c>
      <c r="I212" s="14" t="s">
        <v>441</v>
      </c>
    </row>
    <row r="213" spans="1:9" ht="26.4" x14ac:dyDescent="0.25">
      <c r="A213" s="17" t="s">
        <v>320</v>
      </c>
      <c r="B213" s="14" t="s">
        <v>246</v>
      </c>
      <c r="C213" s="18" t="s">
        <v>874</v>
      </c>
      <c r="D213" s="14" t="str">
        <f t="shared" si="15"/>
        <v>1ST-358-212</v>
      </c>
      <c r="E213" s="18" t="s">
        <v>875</v>
      </c>
      <c r="F213" s="19">
        <f t="shared" si="21"/>
        <v>77</v>
      </c>
      <c r="G213" s="19" t="str">
        <f t="shared" si="22"/>
        <v>PC</v>
      </c>
      <c r="H213" s="18" t="s">
        <v>3005</v>
      </c>
      <c r="I213" s="14" t="s">
        <v>441</v>
      </c>
    </row>
    <row r="214" spans="1:9" ht="26.4" x14ac:dyDescent="0.25">
      <c r="A214" s="17" t="s">
        <v>320</v>
      </c>
      <c r="B214" s="14" t="s">
        <v>246</v>
      </c>
      <c r="C214" s="18" t="s">
        <v>876</v>
      </c>
      <c r="D214" s="14" t="str">
        <f t="shared" si="15"/>
        <v>1ST-358-213</v>
      </c>
      <c r="E214" s="18" t="s">
        <v>877</v>
      </c>
      <c r="F214" s="19">
        <f t="shared" si="21"/>
        <v>101</v>
      </c>
      <c r="G214" s="19" t="str">
        <f t="shared" si="22"/>
        <v>PC</v>
      </c>
      <c r="H214" s="18" t="s">
        <v>3006</v>
      </c>
      <c r="I214" s="14" t="s">
        <v>441</v>
      </c>
    </row>
    <row r="215" spans="1:9" ht="26.4" x14ac:dyDescent="0.25">
      <c r="A215" s="17" t="s">
        <v>320</v>
      </c>
      <c r="B215" s="14" t="s">
        <v>246</v>
      </c>
      <c r="C215" s="18" t="s">
        <v>878</v>
      </c>
      <c r="D215" s="14" t="str">
        <f t="shared" si="15"/>
        <v>1ST-358-214</v>
      </c>
      <c r="E215" s="18" t="s">
        <v>668</v>
      </c>
      <c r="F215" s="19">
        <f t="shared" si="21"/>
        <v>167</v>
      </c>
      <c r="G215" s="19" t="str">
        <f t="shared" si="22"/>
        <v>PC</v>
      </c>
      <c r="H215" s="18" t="s">
        <v>3007</v>
      </c>
      <c r="I215" s="14" t="s">
        <v>441</v>
      </c>
    </row>
    <row r="216" spans="1:9" ht="26.4" x14ac:dyDescent="0.25">
      <c r="A216" s="17" t="s">
        <v>320</v>
      </c>
      <c r="B216" s="14" t="s">
        <v>246</v>
      </c>
      <c r="C216" s="18" t="s">
        <v>879</v>
      </c>
      <c r="D216" s="14" t="str">
        <f t="shared" si="15"/>
        <v>1ST-358-215</v>
      </c>
      <c r="E216" s="18" t="s">
        <v>880</v>
      </c>
      <c r="F216" s="19">
        <f t="shared" si="21"/>
        <v>341</v>
      </c>
      <c r="G216" s="19" t="str">
        <f t="shared" si="22"/>
        <v>PC</v>
      </c>
      <c r="H216" s="18" t="s">
        <v>3008</v>
      </c>
      <c r="I216" s="14" t="s">
        <v>441</v>
      </c>
    </row>
    <row r="217" spans="1:9" ht="26.4" x14ac:dyDescent="0.25">
      <c r="A217" s="17" t="s">
        <v>320</v>
      </c>
      <c r="B217" s="14" t="s">
        <v>246</v>
      </c>
      <c r="C217" s="18" t="s">
        <v>881</v>
      </c>
      <c r="D217" s="14" t="str">
        <f t="shared" si="15"/>
        <v>1ST-358-216</v>
      </c>
      <c r="E217" s="18" t="s">
        <v>882</v>
      </c>
      <c r="F217" s="19">
        <f t="shared" si="21"/>
        <v>521</v>
      </c>
      <c r="G217" s="19" t="str">
        <f t="shared" si="22"/>
        <v>PC</v>
      </c>
      <c r="H217" s="18" t="s">
        <v>3009</v>
      </c>
      <c r="I217" s="14" t="s">
        <v>441</v>
      </c>
    </row>
    <row r="218" spans="1:9" x14ac:dyDescent="0.25">
      <c r="A218" s="17" t="s">
        <v>320</v>
      </c>
      <c r="B218" s="14" t="s">
        <v>245</v>
      </c>
      <c r="C218" s="18" t="s">
        <v>883</v>
      </c>
      <c r="D218" s="14" t="str">
        <f t="shared" si="15"/>
        <v>1ST-358-217</v>
      </c>
      <c r="E218" s="18" t="s">
        <v>884</v>
      </c>
      <c r="F218" s="19">
        <f t="shared" ref="F218:F223" si="23">VALUE(LEFT(E218,FIND("/",E218)-1))</f>
        <v>63</v>
      </c>
      <c r="G218" s="19" t="str">
        <f t="shared" ref="G218:G223" si="24">TRIM(MID(E218,FIND("/",E218)+1,LEN(E218)))</f>
        <v>PC</v>
      </c>
      <c r="H218" s="18" t="s">
        <v>2701</v>
      </c>
      <c r="I218" s="14" t="s">
        <v>441</v>
      </c>
    </row>
    <row r="219" spans="1:9" x14ac:dyDescent="0.25">
      <c r="A219" s="17" t="s">
        <v>320</v>
      </c>
      <c r="B219" s="14" t="s">
        <v>245</v>
      </c>
      <c r="C219" s="18" t="s">
        <v>885</v>
      </c>
      <c r="D219" s="14" t="str">
        <f t="shared" si="15"/>
        <v>1ST-358-218</v>
      </c>
      <c r="E219" s="18" t="s">
        <v>795</v>
      </c>
      <c r="F219" s="19">
        <f t="shared" si="23"/>
        <v>81</v>
      </c>
      <c r="G219" s="19" t="str">
        <f t="shared" si="24"/>
        <v>PC</v>
      </c>
      <c r="H219" s="18" t="s">
        <v>2702</v>
      </c>
      <c r="I219" s="14" t="s">
        <v>441</v>
      </c>
    </row>
    <row r="220" spans="1:9" x14ac:dyDescent="0.25">
      <c r="A220" s="17" t="s">
        <v>320</v>
      </c>
      <c r="B220" s="14" t="s">
        <v>245</v>
      </c>
      <c r="C220" s="18" t="s">
        <v>886</v>
      </c>
      <c r="D220" s="14" t="str">
        <f t="shared" si="15"/>
        <v>1ST-358-219</v>
      </c>
      <c r="E220" s="18" t="s">
        <v>887</v>
      </c>
      <c r="F220" s="19">
        <f t="shared" si="23"/>
        <v>111</v>
      </c>
      <c r="G220" s="19" t="str">
        <f t="shared" si="24"/>
        <v>PC</v>
      </c>
      <c r="H220" s="18" t="s">
        <v>2703</v>
      </c>
      <c r="I220" s="14" t="s">
        <v>441</v>
      </c>
    </row>
    <row r="221" spans="1:9" x14ac:dyDescent="0.25">
      <c r="A221" s="17" t="s">
        <v>320</v>
      </c>
      <c r="B221" s="14" t="s">
        <v>245</v>
      </c>
      <c r="C221" s="18" t="s">
        <v>888</v>
      </c>
      <c r="D221" s="14" t="str">
        <f t="shared" si="15"/>
        <v>1ST-358-220</v>
      </c>
      <c r="E221" s="18" t="s">
        <v>889</v>
      </c>
      <c r="F221" s="19">
        <f t="shared" si="23"/>
        <v>183</v>
      </c>
      <c r="G221" s="19" t="str">
        <f t="shared" si="24"/>
        <v>PC</v>
      </c>
      <c r="H221" s="18" t="s">
        <v>2704</v>
      </c>
      <c r="I221" s="14" t="s">
        <v>441</v>
      </c>
    </row>
    <row r="222" spans="1:9" x14ac:dyDescent="0.25">
      <c r="A222" s="17" t="s">
        <v>320</v>
      </c>
      <c r="B222" s="14" t="s">
        <v>245</v>
      </c>
      <c r="C222" s="18" t="s">
        <v>890</v>
      </c>
      <c r="D222" s="14" t="str">
        <f t="shared" si="15"/>
        <v>1ST-358-221</v>
      </c>
      <c r="E222" s="18" t="s">
        <v>891</v>
      </c>
      <c r="F222" s="19">
        <f t="shared" si="23"/>
        <v>294</v>
      </c>
      <c r="G222" s="19" t="str">
        <f t="shared" si="24"/>
        <v>PC</v>
      </c>
      <c r="H222" s="18" t="s">
        <v>2705</v>
      </c>
      <c r="I222" s="14" t="s">
        <v>441</v>
      </c>
    </row>
    <row r="223" spans="1:9" x14ac:dyDescent="0.25">
      <c r="A223" s="17" t="s">
        <v>320</v>
      </c>
      <c r="B223" s="14" t="s">
        <v>245</v>
      </c>
      <c r="C223" s="18" t="s">
        <v>892</v>
      </c>
      <c r="D223" s="14" t="str">
        <f t="shared" si="15"/>
        <v>1ST-358-222</v>
      </c>
      <c r="E223" s="18" t="s">
        <v>893</v>
      </c>
      <c r="F223" s="19">
        <f t="shared" si="23"/>
        <v>459</v>
      </c>
      <c r="G223" s="19" t="str">
        <f t="shared" si="24"/>
        <v>PC</v>
      </c>
      <c r="H223" s="18" t="s">
        <v>2706</v>
      </c>
      <c r="I223" s="14" t="s">
        <v>441</v>
      </c>
    </row>
    <row r="224" spans="1:9" x14ac:dyDescent="0.25">
      <c r="A224" s="17" t="s">
        <v>320</v>
      </c>
      <c r="B224" s="14" t="s">
        <v>244</v>
      </c>
      <c r="C224" s="18" t="s">
        <v>894</v>
      </c>
      <c r="D224" s="14" t="str">
        <f t="shared" si="15"/>
        <v>1ST-358-223</v>
      </c>
      <c r="E224" s="18" t="s">
        <v>710</v>
      </c>
      <c r="F224" s="19">
        <f t="shared" ref="F224:F226" si="25">VALUE(LEFT(E224,FIND("/",E224)-1))</f>
        <v>120</v>
      </c>
      <c r="G224" s="19" t="str">
        <f t="shared" ref="G224:G226" si="26">TRIM(MID(E224,FIND("/",E224)+1,LEN(E224)))</f>
        <v>PC</v>
      </c>
      <c r="H224" s="18" t="s">
        <v>2707</v>
      </c>
      <c r="I224" s="14" t="s">
        <v>441</v>
      </c>
    </row>
    <row r="225" spans="1:9" x14ac:dyDescent="0.25">
      <c r="A225" s="17" t="s">
        <v>320</v>
      </c>
      <c r="B225" s="14" t="s">
        <v>244</v>
      </c>
      <c r="C225" s="18" t="s">
        <v>895</v>
      </c>
      <c r="D225" s="14" t="str">
        <f t="shared" si="15"/>
        <v>1ST-358-224</v>
      </c>
      <c r="E225" s="18" t="s">
        <v>740</v>
      </c>
      <c r="F225" s="19">
        <f t="shared" si="25"/>
        <v>165</v>
      </c>
      <c r="G225" s="19" t="str">
        <f t="shared" si="26"/>
        <v>PC</v>
      </c>
      <c r="H225" s="18" t="s">
        <v>2698</v>
      </c>
      <c r="I225" s="14" t="s">
        <v>441</v>
      </c>
    </row>
    <row r="226" spans="1:9" x14ac:dyDescent="0.25">
      <c r="A226" s="17" t="s">
        <v>320</v>
      </c>
      <c r="B226" s="14" t="s">
        <v>244</v>
      </c>
      <c r="C226" s="18" t="s">
        <v>896</v>
      </c>
      <c r="D226" s="14" t="str">
        <f t="shared" si="15"/>
        <v>1ST-358-225</v>
      </c>
      <c r="E226" s="18" t="s">
        <v>897</v>
      </c>
      <c r="F226" s="19">
        <f t="shared" si="25"/>
        <v>265</v>
      </c>
      <c r="G226" s="19" t="str">
        <f t="shared" si="26"/>
        <v>PC</v>
      </c>
      <c r="H226" s="18" t="s">
        <v>2708</v>
      </c>
      <c r="I226" s="14" t="s">
        <v>441</v>
      </c>
    </row>
    <row r="227" spans="1:9" x14ac:dyDescent="0.25">
      <c r="A227" s="17" t="s">
        <v>320</v>
      </c>
      <c r="B227" s="14" t="s">
        <v>240</v>
      </c>
      <c r="C227" s="18" t="s">
        <v>3676</v>
      </c>
      <c r="D227" s="14" t="str">
        <f t="shared" si="15"/>
        <v>1ST-358-226</v>
      </c>
      <c r="E227" s="18" t="s">
        <v>898</v>
      </c>
      <c r="F227" s="19">
        <f t="shared" ref="F227:F232" si="27">VALUE(LEFT(E227,FIND("/",E227)-1))</f>
        <v>5.9</v>
      </c>
      <c r="G227" s="19" t="str">
        <f t="shared" ref="G227:G232" si="28">TRIM(MID(E227,FIND("/",E227)+1,LEN(E227)))</f>
        <v>PC</v>
      </c>
      <c r="H227" s="20" t="s">
        <v>744</v>
      </c>
      <c r="I227" s="21">
        <v>0.7</v>
      </c>
    </row>
    <row r="228" spans="1:9" x14ac:dyDescent="0.25">
      <c r="A228" s="17" t="s">
        <v>320</v>
      </c>
      <c r="B228" s="14" t="s">
        <v>240</v>
      </c>
      <c r="C228" s="18" t="s">
        <v>899</v>
      </c>
      <c r="D228" s="14" t="str">
        <f t="shared" si="15"/>
        <v>1ST-358-227</v>
      </c>
      <c r="E228" s="18" t="s">
        <v>900</v>
      </c>
      <c r="F228" s="19">
        <f t="shared" si="27"/>
        <v>9</v>
      </c>
      <c r="G228" s="19" t="str">
        <f t="shared" si="28"/>
        <v>PC</v>
      </c>
      <c r="H228" s="20" t="s">
        <v>744</v>
      </c>
      <c r="I228" s="21">
        <v>0.7</v>
      </c>
    </row>
    <row r="229" spans="1:9" x14ac:dyDescent="0.25">
      <c r="A229" s="17" t="s">
        <v>320</v>
      </c>
      <c r="B229" s="14" t="s">
        <v>240</v>
      </c>
      <c r="C229" s="18" t="s">
        <v>3677</v>
      </c>
      <c r="D229" s="14" t="str">
        <f t="shared" si="15"/>
        <v>1ST-358-228</v>
      </c>
      <c r="E229" s="18" t="s">
        <v>901</v>
      </c>
      <c r="F229" s="19">
        <f t="shared" si="27"/>
        <v>13.6</v>
      </c>
      <c r="G229" s="19" t="str">
        <f t="shared" si="28"/>
        <v>PC</v>
      </c>
      <c r="H229" s="20" t="s">
        <v>744</v>
      </c>
      <c r="I229" s="21">
        <v>0.7</v>
      </c>
    </row>
    <row r="230" spans="1:9" x14ac:dyDescent="0.25">
      <c r="A230" s="17" t="s">
        <v>320</v>
      </c>
      <c r="B230" s="14" t="s">
        <v>240</v>
      </c>
      <c r="C230" s="18" t="s">
        <v>3678</v>
      </c>
      <c r="D230" s="14" t="str">
        <f t="shared" si="15"/>
        <v>1ST-358-229</v>
      </c>
      <c r="E230" s="18" t="s">
        <v>902</v>
      </c>
      <c r="F230" s="19">
        <f t="shared" si="27"/>
        <v>21.2</v>
      </c>
      <c r="G230" s="19" t="str">
        <f t="shared" si="28"/>
        <v>PC</v>
      </c>
      <c r="H230" s="20" t="s">
        <v>744</v>
      </c>
      <c r="I230" s="21">
        <v>0.6</v>
      </c>
    </row>
    <row r="231" spans="1:9" x14ac:dyDescent="0.25">
      <c r="A231" s="17" t="s">
        <v>320</v>
      </c>
      <c r="B231" s="14" t="s">
        <v>240</v>
      </c>
      <c r="C231" s="18" t="s">
        <v>903</v>
      </c>
      <c r="D231" s="14" t="str">
        <f t="shared" si="15"/>
        <v>1ST-358-230</v>
      </c>
      <c r="E231" s="18" t="s">
        <v>904</v>
      </c>
      <c r="F231" s="19">
        <f t="shared" si="27"/>
        <v>33</v>
      </c>
      <c r="G231" s="19" t="str">
        <f t="shared" si="28"/>
        <v>PC</v>
      </c>
      <c r="H231" s="20" t="s">
        <v>744</v>
      </c>
      <c r="I231" s="21">
        <v>0.6</v>
      </c>
    </row>
    <row r="232" spans="1:9" x14ac:dyDescent="0.25">
      <c r="A232" s="17" t="s">
        <v>320</v>
      </c>
      <c r="B232" s="14" t="s">
        <v>240</v>
      </c>
      <c r="C232" s="18" t="s">
        <v>3679</v>
      </c>
      <c r="D232" s="14" t="str">
        <f t="shared" si="15"/>
        <v>1ST-358-231</v>
      </c>
      <c r="E232" s="18" t="s">
        <v>905</v>
      </c>
      <c r="F232" s="19">
        <f t="shared" si="27"/>
        <v>50.2</v>
      </c>
      <c r="G232" s="19" t="str">
        <f t="shared" si="28"/>
        <v>PC</v>
      </c>
      <c r="H232" s="20" t="s">
        <v>744</v>
      </c>
      <c r="I232" s="21">
        <v>0.6</v>
      </c>
    </row>
    <row r="233" spans="1:9" x14ac:dyDescent="0.25">
      <c r="A233" s="17" t="s">
        <v>320</v>
      </c>
      <c r="B233" s="14" t="s">
        <v>241</v>
      </c>
      <c r="C233" s="18" t="s">
        <v>906</v>
      </c>
      <c r="D233" s="14" t="str">
        <f t="shared" si="15"/>
        <v>1ST-358-232</v>
      </c>
      <c r="E233" s="18" t="s">
        <v>907</v>
      </c>
      <c r="F233" s="19">
        <f t="shared" ref="F233:F235" si="29">VALUE(LEFT(E233,FIND("/",E233)-1))</f>
        <v>12</v>
      </c>
      <c r="G233" s="19" t="str">
        <f t="shared" ref="G233:G235" si="30">TRIM(MID(E233,FIND("/",E233)+1,LEN(E233)))</f>
        <v>PC</v>
      </c>
      <c r="H233" s="20" t="s">
        <v>744</v>
      </c>
      <c r="I233" s="21">
        <v>0.7</v>
      </c>
    </row>
    <row r="234" spans="1:9" x14ac:dyDescent="0.25">
      <c r="A234" s="17" t="s">
        <v>320</v>
      </c>
      <c r="B234" s="14" t="s">
        <v>241</v>
      </c>
      <c r="C234" s="18" t="s">
        <v>908</v>
      </c>
      <c r="D234" s="14" t="str">
        <f t="shared" si="15"/>
        <v>1ST-358-233</v>
      </c>
      <c r="E234" s="18" t="s">
        <v>909</v>
      </c>
      <c r="F234" s="19">
        <f t="shared" si="29"/>
        <v>18</v>
      </c>
      <c r="G234" s="19" t="str">
        <f t="shared" si="30"/>
        <v>PC</v>
      </c>
      <c r="H234" s="20" t="s">
        <v>744</v>
      </c>
      <c r="I234" s="21">
        <v>0.7</v>
      </c>
    </row>
    <row r="235" spans="1:9" x14ac:dyDescent="0.25">
      <c r="A235" s="17" t="s">
        <v>320</v>
      </c>
      <c r="B235" s="14" t="s">
        <v>241</v>
      </c>
      <c r="C235" s="18" t="s">
        <v>910</v>
      </c>
      <c r="D235" s="14" t="str">
        <f t="shared" si="15"/>
        <v>1ST-358-234</v>
      </c>
      <c r="E235" s="18" t="s">
        <v>911</v>
      </c>
      <c r="F235" s="19">
        <f t="shared" si="29"/>
        <v>20</v>
      </c>
      <c r="G235" s="19" t="str">
        <f t="shared" si="30"/>
        <v>PC</v>
      </c>
      <c r="H235" s="20" t="s">
        <v>744</v>
      </c>
      <c r="I235" s="21">
        <v>0.7</v>
      </c>
    </row>
    <row r="236" spans="1:9" x14ac:dyDescent="0.25">
      <c r="A236" s="17" t="s">
        <v>320</v>
      </c>
      <c r="B236" s="14" t="s">
        <v>242</v>
      </c>
      <c r="C236" s="18" t="s">
        <v>3680</v>
      </c>
      <c r="D236" s="14" t="str">
        <f t="shared" si="15"/>
        <v>1ST-358-235</v>
      </c>
      <c r="E236" s="18" t="s">
        <v>900</v>
      </c>
      <c r="F236" s="19">
        <f t="shared" ref="F236:F241" si="31">VALUE(LEFT(E236,FIND("/",E236)-1))</f>
        <v>9</v>
      </c>
      <c r="G236" s="19" t="str">
        <f t="shared" ref="G236:G241" si="32">TRIM(MID(E236,FIND("/",E236)+1,LEN(E236)))</f>
        <v>PC</v>
      </c>
      <c r="H236" s="20" t="s">
        <v>744</v>
      </c>
      <c r="I236" s="21">
        <v>0.7</v>
      </c>
    </row>
    <row r="237" spans="1:9" x14ac:dyDescent="0.25">
      <c r="A237" s="17" t="s">
        <v>320</v>
      </c>
      <c r="B237" s="14" t="s">
        <v>242</v>
      </c>
      <c r="C237" s="18" t="s">
        <v>912</v>
      </c>
      <c r="D237" s="14" t="str">
        <f t="shared" si="15"/>
        <v>1ST-358-236</v>
      </c>
      <c r="E237" s="18" t="s">
        <v>913</v>
      </c>
      <c r="F237" s="19">
        <f t="shared" si="31"/>
        <v>12.5</v>
      </c>
      <c r="G237" s="19" t="str">
        <f t="shared" si="32"/>
        <v>PC</v>
      </c>
      <c r="H237" s="20" t="s">
        <v>744</v>
      </c>
      <c r="I237" s="21">
        <v>0.7</v>
      </c>
    </row>
    <row r="238" spans="1:9" x14ac:dyDescent="0.25">
      <c r="A238" s="17" t="s">
        <v>320</v>
      </c>
      <c r="B238" s="14" t="s">
        <v>242</v>
      </c>
      <c r="C238" s="18" t="s">
        <v>3681</v>
      </c>
      <c r="D238" s="14" t="str">
        <f t="shared" si="15"/>
        <v>1ST-358-237</v>
      </c>
      <c r="E238" s="18" t="s">
        <v>914</v>
      </c>
      <c r="F238" s="19">
        <f t="shared" si="31"/>
        <v>22.5</v>
      </c>
      <c r="G238" s="19" t="str">
        <f t="shared" si="32"/>
        <v>PC</v>
      </c>
      <c r="H238" s="20" t="s">
        <v>744</v>
      </c>
      <c r="I238" s="21">
        <v>0.7</v>
      </c>
    </row>
    <row r="239" spans="1:9" x14ac:dyDescent="0.25">
      <c r="A239" s="17" t="s">
        <v>320</v>
      </c>
      <c r="B239" s="14" t="s">
        <v>242</v>
      </c>
      <c r="C239" s="18" t="s">
        <v>915</v>
      </c>
      <c r="D239" s="14" t="str">
        <f t="shared" si="15"/>
        <v>1ST-358-238</v>
      </c>
      <c r="E239" s="18" t="s">
        <v>916</v>
      </c>
      <c r="F239" s="19">
        <f t="shared" si="31"/>
        <v>32.5</v>
      </c>
      <c r="G239" s="19" t="str">
        <f t="shared" si="32"/>
        <v>PC</v>
      </c>
      <c r="H239" s="20" t="s">
        <v>744</v>
      </c>
      <c r="I239" s="21">
        <v>0.6</v>
      </c>
    </row>
    <row r="240" spans="1:9" x14ac:dyDescent="0.25">
      <c r="A240" s="17" t="s">
        <v>320</v>
      </c>
      <c r="B240" s="14" t="s">
        <v>242</v>
      </c>
      <c r="C240" s="18" t="s">
        <v>917</v>
      </c>
      <c r="D240" s="14" t="str">
        <f t="shared" si="15"/>
        <v>1ST-358-239</v>
      </c>
      <c r="E240" s="18" t="s">
        <v>918</v>
      </c>
      <c r="F240" s="19">
        <f t="shared" si="31"/>
        <v>47.5</v>
      </c>
      <c r="G240" s="19" t="str">
        <f t="shared" si="32"/>
        <v>PC</v>
      </c>
      <c r="H240" s="20" t="s">
        <v>744</v>
      </c>
      <c r="I240" s="21">
        <v>0.6</v>
      </c>
    </row>
    <row r="241" spans="1:9" x14ac:dyDescent="0.25">
      <c r="A241" s="17" t="s">
        <v>320</v>
      </c>
      <c r="B241" s="14" t="s">
        <v>242</v>
      </c>
      <c r="C241" s="18" t="s">
        <v>919</v>
      </c>
      <c r="D241" s="14" t="str">
        <f t="shared" si="15"/>
        <v>1ST-358-240</v>
      </c>
      <c r="E241" s="18" t="s">
        <v>920</v>
      </c>
      <c r="F241" s="19">
        <f t="shared" si="31"/>
        <v>82.5</v>
      </c>
      <c r="G241" s="19" t="str">
        <f t="shared" si="32"/>
        <v>PC</v>
      </c>
      <c r="H241" s="20" t="s">
        <v>744</v>
      </c>
      <c r="I241" s="21">
        <v>0.6</v>
      </c>
    </row>
    <row r="242" spans="1:9" x14ac:dyDescent="0.25">
      <c r="A242" s="17" t="s">
        <v>320</v>
      </c>
      <c r="B242" s="14" t="s">
        <v>243</v>
      </c>
      <c r="C242" s="18" t="s">
        <v>921</v>
      </c>
      <c r="D242" s="14" t="str">
        <f t="shared" si="15"/>
        <v>1ST-358-241</v>
      </c>
      <c r="E242" s="18" t="s">
        <v>922</v>
      </c>
      <c r="F242" s="19">
        <f t="shared" ref="F242:F250" si="33">VALUE(LEFT(E242,FIND("/",E242)-1))</f>
        <v>17</v>
      </c>
      <c r="G242" s="19" t="str">
        <f t="shared" ref="G242:G250" si="34">TRIM(MID(E242,FIND("/",E242)+1,LEN(E242)))</f>
        <v>PC</v>
      </c>
      <c r="H242" s="20" t="s">
        <v>744</v>
      </c>
      <c r="I242" s="21">
        <v>0.7</v>
      </c>
    </row>
    <row r="243" spans="1:9" x14ac:dyDescent="0.25">
      <c r="A243" s="17" t="s">
        <v>320</v>
      </c>
      <c r="B243" s="14" t="s">
        <v>243</v>
      </c>
      <c r="C243" s="18" t="s">
        <v>923</v>
      </c>
      <c r="D243" s="14" t="str">
        <f t="shared" si="15"/>
        <v>1ST-358-242</v>
      </c>
      <c r="E243" s="18" t="s">
        <v>924</v>
      </c>
      <c r="F243" s="19">
        <f t="shared" si="33"/>
        <v>25.9</v>
      </c>
      <c r="G243" s="19" t="str">
        <f t="shared" si="34"/>
        <v>PC</v>
      </c>
      <c r="H243" s="20" t="s">
        <v>744</v>
      </c>
      <c r="I243" s="21">
        <v>0.7</v>
      </c>
    </row>
    <row r="244" spans="1:9" x14ac:dyDescent="0.25">
      <c r="A244" s="17" t="s">
        <v>320</v>
      </c>
      <c r="B244" s="14" t="s">
        <v>243</v>
      </c>
      <c r="C244" s="18" t="s">
        <v>3682</v>
      </c>
      <c r="D244" s="14" t="str">
        <f t="shared" si="15"/>
        <v>1ST-358-243</v>
      </c>
      <c r="E244" s="18" t="s">
        <v>924</v>
      </c>
      <c r="F244" s="19">
        <f t="shared" si="33"/>
        <v>25.9</v>
      </c>
      <c r="G244" s="19" t="str">
        <f t="shared" si="34"/>
        <v>PC</v>
      </c>
      <c r="H244" s="20" t="s">
        <v>744</v>
      </c>
      <c r="I244" s="21">
        <v>0.7</v>
      </c>
    </row>
    <row r="245" spans="1:9" x14ac:dyDescent="0.25">
      <c r="A245" s="17" t="s">
        <v>320</v>
      </c>
      <c r="B245" s="14" t="s">
        <v>237</v>
      </c>
      <c r="C245" s="18" t="s">
        <v>3683</v>
      </c>
      <c r="D245" s="14" t="str">
        <f t="shared" si="15"/>
        <v>1ST-358-244</v>
      </c>
      <c r="E245" s="18" t="s">
        <v>925</v>
      </c>
      <c r="F245" s="19">
        <f t="shared" si="33"/>
        <v>4</v>
      </c>
      <c r="G245" s="19" t="str">
        <f t="shared" si="34"/>
        <v>PC</v>
      </c>
      <c r="H245" s="20" t="s">
        <v>744</v>
      </c>
      <c r="I245" s="21">
        <v>0.7</v>
      </c>
    </row>
    <row r="246" spans="1:9" x14ac:dyDescent="0.25">
      <c r="A246" s="17" t="s">
        <v>320</v>
      </c>
      <c r="B246" s="14" t="s">
        <v>237</v>
      </c>
      <c r="C246" s="18" t="s">
        <v>926</v>
      </c>
      <c r="D246" s="14" t="str">
        <f t="shared" si="15"/>
        <v>1ST-358-245</v>
      </c>
      <c r="E246" s="18" t="s">
        <v>927</v>
      </c>
      <c r="F246" s="19">
        <f t="shared" si="33"/>
        <v>6</v>
      </c>
      <c r="G246" s="19" t="str">
        <f t="shared" si="34"/>
        <v>PC</v>
      </c>
      <c r="H246" s="20" t="s">
        <v>744</v>
      </c>
      <c r="I246" s="21">
        <v>0.7</v>
      </c>
    </row>
    <row r="247" spans="1:9" x14ac:dyDescent="0.25">
      <c r="A247" s="17" t="s">
        <v>320</v>
      </c>
      <c r="B247" s="14" t="s">
        <v>237</v>
      </c>
      <c r="C247" s="18" t="s">
        <v>928</v>
      </c>
      <c r="D247" s="14" t="str">
        <f t="shared" si="15"/>
        <v>1ST-358-246</v>
      </c>
      <c r="E247" s="18" t="s">
        <v>929</v>
      </c>
      <c r="F247" s="19">
        <f t="shared" si="33"/>
        <v>8</v>
      </c>
      <c r="G247" s="19" t="str">
        <f t="shared" si="34"/>
        <v>PC</v>
      </c>
      <c r="H247" s="20" t="s">
        <v>744</v>
      </c>
      <c r="I247" s="21">
        <v>0.7</v>
      </c>
    </row>
    <row r="248" spans="1:9" x14ac:dyDescent="0.25">
      <c r="A248" s="17" t="s">
        <v>320</v>
      </c>
      <c r="B248" s="14" t="s">
        <v>237</v>
      </c>
      <c r="C248" s="18" t="s">
        <v>930</v>
      </c>
      <c r="D248" s="14" t="str">
        <f t="shared" si="15"/>
        <v>1ST-358-247</v>
      </c>
      <c r="E248" s="18" t="s">
        <v>907</v>
      </c>
      <c r="F248" s="19">
        <f t="shared" si="33"/>
        <v>12</v>
      </c>
      <c r="G248" s="19" t="str">
        <f t="shared" si="34"/>
        <v>PC</v>
      </c>
      <c r="H248" s="20" t="s">
        <v>744</v>
      </c>
      <c r="I248" s="21">
        <v>0.6</v>
      </c>
    </row>
    <row r="249" spans="1:9" x14ac:dyDescent="0.25">
      <c r="A249" s="17" t="s">
        <v>320</v>
      </c>
      <c r="B249" s="14" t="s">
        <v>237</v>
      </c>
      <c r="C249" s="18" t="s">
        <v>931</v>
      </c>
      <c r="D249" s="14" t="str">
        <f t="shared" si="15"/>
        <v>1ST-358-248</v>
      </c>
      <c r="E249" s="18" t="s">
        <v>909</v>
      </c>
      <c r="F249" s="19">
        <f t="shared" si="33"/>
        <v>18</v>
      </c>
      <c r="G249" s="19" t="str">
        <f t="shared" si="34"/>
        <v>PC</v>
      </c>
      <c r="H249" s="20" t="s">
        <v>744</v>
      </c>
      <c r="I249" s="21">
        <v>0.6</v>
      </c>
    </row>
    <row r="250" spans="1:9" x14ac:dyDescent="0.25">
      <c r="A250" s="17" t="s">
        <v>320</v>
      </c>
      <c r="B250" s="14" t="s">
        <v>237</v>
      </c>
      <c r="C250" s="18" t="s">
        <v>932</v>
      </c>
      <c r="D250" s="14" t="str">
        <f t="shared" si="15"/>
        <v>1ST-358-249</v>
      </c>
      <c r="E250" s="18" t="s">
        <v>933</v>
      </c>
      <c r="F250" s="19">
        <f t="shared" si="33"/>
        <v>30</v>
      </c>
      <c r="G250" s="19" t="str">
        <f t="shared" si="34"/>
        <v>PC</v>
      </c>
      <c r="H250" s="20" t="s">
        <v>744</v>
      </c>
      <c r="I250" s="21">
        <v>0.6</v>
      </c>
    </row>
    <row r="251" spans="1:9" x14ac:dyDescent="0.25">
      <c r="A251" s="17" t="s">
        <v>320</v>
      </c>
      <c r="B251" s="14" t="s">
        <v>238</v>
      </c>
      <c r="C251" s="18" t="s">
        <v>3684</v>
      </c>
      <c r="D251" s="14" t="str">
        <f t="shared" si="15"/>
        <v>1ST-358-250</v>
      </c>
      <c r="E251" s="18" t="s">
        <v>934</v>
      </c>
      <c r="F251" s="19">
        <f t="shared" ref="F251:F253" si="35">VALUE(LEFT(E251,FIND("/",E251)-1))</f>
        <v>7.1</v>
      </c>
      <c r="G251" s="19" t="str">
        <f t="shared" ref="G251:G253" si="36">TRIM(MID(E251,FIND("/",E251)+1,LEN(E251)))</f>
        <v>PC</v>
      </c>
      <c r="H251" s="20" t="s">
        <v>744</v>
      </c>
      <c r="I251" s="21">
        <v>0.7</v>
      </c>
    </row>
    <row r="252" spans="1:9" x14ac:dyDescent="0.25">
      <c r="A252" s="17" t="s">
        <v>320</v>
      </c>
      <c r="B252" s="14" t="s">
        <v>238</v>
      </c>
      <c r="C252" s="18" t="s">
        <v>3685</v>
      </c>
      <c r="D252" s="14" t="str">
        <f t="shared" si="15"/>
        <v>1ST-358-251</v>
      </c>
      <c r="E252" s="18" t="s">
        <v>935</v>
      </c>
      <c r="F252" s="19">
        <f t="shared" si="35"/>
        <v>10.6</v>
      </c>
      <c r="G252" s="19" t="str">
        <f t="shared" si="36"/>
        <v>PC</v>
      </c>
      <c r="H252" s="20" t="s">
        <v>744</v>
      </c>
      <c r="I252" s="21">
        <v>0.7</v>
      </c>
    </row>
    <row r="253" spans="1:9" x14ac:dyDescent="0.25">
      <c r="A253" s="17" t="s">
        <v>320</v>
      </c>
      <c r="B253" s="14" t="s">
        <v>238</v>
      </c>
      <c r="C253" s="18" t="s">
        <v>936</v>
      </c>
      <c r="D253" s="14" t="str">
        <f t="shared" si="15"/>
        <v>1ST-358-252</v>
      </c>
      <c r="E253" s="18" t="s">
        <v>937</v>
      </c>
      <c r="F253" s="19">
        <f t="shared" si="35"/>
        <v>11.5</v>
      </c>
      <c r="G253" s="19" t="str">
        <f t="shared" si="36"/>
        <v>PC</v>
      </c>
      <c r="H253" s="20" t="s">
        <v>744</v>
      </c>
      <c r="I253" s="21">
        <v>0.7</v>
      </c>
    </row>
    <row r="254" spans="1:9" x14ac:dyDescent="0.25">
      <c r="A254" s="17" t="s">
        <v>320</v>
      </c>
      <c r="B254" s="14" t="s">
        <v>239</v>
      </c>
      <c r="C254" s="18" t="s">
        <v>3686</v>
      </c>
      <c r="D254" s="14" t="str">
        <f t="shared" si="15"/>
        <v>1ST-358-253</v>
      </c>
      <c r="E254" s="18" t="s">
        <v>934</v>
      </c>
      <c r="F254" s="19">
        <f t="shared" ref="F254:F259" si="37">VALUE(LEFT(E254,FIND("/",E254)-1))</f>
        <v>7.1</v>
      </c>
      <c r="G254" s="19" t="str">
        <f t="shared" ref="G254:G259" si="38">TRIM(MID(E254,FIND("/",E254)+1,LEN(E254)))</f>
        <v>PC</v>
      </c>
      <c r="H254" s="20" t="s">
        <v>744</v>
      </c>
      <c r="I254" s="21">
        <v>0.7</v>
      </c>
    </row>
    <row r="255" spans="1:9" x14ac:dyDescent="0.25">
      <c r="A255" s="17" t="s">
        <v>320</v>
      </c>
      <c r="B255" s="14" t="s">
        <v>239</v>
      </c>
      <c r="C255" s="18" t="s">
        <v>938</v>
      </c>
      <c r="D255" s="14" t="str">
        <f t="shared" si="15"/>
        <v>1ST-358-254</v>
      </c>
      <c r="E255" s="18" t="s">
        <v>939</v>
      </c>
      <c r="F255" s="19">
        <f t="shared" si="37"/>
        <v>8.1999999999999993</v>
      </c>
      <c r="G255" s="19" t="str">
        <f t="shared" si="38"/>
        <v>PC</v>
      </c>
      <c r="H255" s="20" t="s">
        <v>744</v>
      </c>
      <c r="I255" s="21">
        <v>0.7</v>
      </c>
    </row>
    <row r="256" spans="1:9" x14ac:dyDescent="0.25">
      <c r="A256" s="17" t="s">
        <v>320</v>
      </c>
      <c r="B256" s="14" t="s">
        <v>239</v>
      </c>
      <c r="C256" s="18" t="s">
        <v>3687</v>
      </c>
      <c r="D256" s="14" t="str">
        <f t="shared" si="15"/>
        <v>1ST-358-255</v>
      </c>
      <c r="E256" s="18" t="s">
        <v>940</v>
      </c>
      <c r="F256" s="19">
        <f t="shared" si="37"/>
        <v>13</v>
      </c>
      <c r="G256" s="19" t="str">
        <f t="shared" si="38"/>
        <v>PC</v>
      </c>
      <c r="H256" s="20" t="s">
        <v>744</v>
      </c>
      <c r="I256" s="21">
        <v>0.7</v>
      </c>
    </row>
    <row r="257" spans="1:9" x14ac:dyDescent="0.25">
      <c r="A257" s="17" t="s">
        <v>320</v>
      </c>
      <c r="B257" s="14" t="s">
        <v>239</v>
      </c>
      <c r="C257" s="18" t="s">
        <v>3688</v>
      </c>
      <c r="D257" s="14" t="str">
        <f t="shared" si="15"/>
        <v>1ST-358-256</v>
      </c>
      <c r="E257" s="18" t="s">
        <v>941</v>
      </c>
      <c r="F257" s="19">
        <f t="shared" si="37"/>
        <v>18.8</v>
      </c>
      <c r="G257" s="19" t="str">
        <f t="shared" si="38"/>
        <v>PC</v>
      </c>
      <c r="H257" s="20" t="s">
        <v>744</v>
      </c>
      <c r="I257" s="21">
        <v>0.6</v>
      </c>
    </row>
    <row r="258" spans="1:9" x14ac:dyDescent="0.25">
      <c r="A258" s="17" t="s">
        <v>320</v>
      </c>
      <c r="B258" s="14" t="s">
        <v>239</v>
      </c>
      <c r="C258" s="18" t="s">
        <v>942</v>
      </c>
      <c r="D258" s="14" t="str">
        <f t="shared" si="15"/>
        <v>1ST-358-257</v>
      </c>
      <c r="E258" s="18" t="s">
        <v>943</v>
      </c>
      <c r="F258" s="19">
        <f t="shared" si="37"/>
        <v>27</v>
      </c>
      <c r="G258" s="19" t="str">
        <f t="shared" si="38"/>
        <v>PC</v>
      </c>
      <c r="H258" s="20" t="s">
        <v>744</v>
      </c>
      <c r="I258" s="21">
        <v>0.6</v>
      </c>
    </row>
    <row r="259" spans="1:9" x14ac:dyDescent="0.25">
      <c r="A259" s="17" t="s">
        <v>320</v>
      </c>
      <c r="B259" s="14" t="s">
        <v>239</v>
      </c>
      <c r="C259" s="18" t="s">
        <v>944</v>
      </c>
      <c r="D259" s="14" t="str">
        <f t="shared" si="15"/>
        <v>1ST-358-258</v>
      </c>
      <c r="E259" s="18" t="s">
        <v>945</v>
      </c>
      <c r="F259" s="19">
        <f t="shared" si="37"/>
        <v>48.7</v>
      </c>
      <c r="G259" s="19" t="str">
        <f t="shared" si="38"/>
        <v>PC</v>
      </c>
      <c r="H259" s="20" t="s">
        <v>744</v>
      </c>
      <c r="I259" s="21">
        <v>0.6</v>
      </c>
    </row>
    <row r="260" spans="1:9" x14ac:dyDescent="0.25">
      <c r="A260" s="17" t="s">
        <v>320</v>
      </c>
      <c r="B260" s="14" t="s">
        <v>234</v>
      </c>
      <c r="C260" s="19" t="s">
        <v>946</v>
      </c>
      <c r="D260" s="14" t="str">
        <f t="shared" si="15"/>
        <v>1ST-358-259</v>
      </c>
      <c r="E260" s="19" t="s">
        <v>934</v>
      </c>
      <c r="F260" s="19">
        <f t="shared" ref="F260:F265" si="39">VALUE(LEFT(E260,FIND("/",E260)-1))</f>
        <v>7.1</v>
      </c>
      <c r="G260" s="19" t="str">
        <f t="shared" ref="G260:G265" si="40">TRIM(MID(E260,FIND("/",E260)+1,LEN(E260)))</f>
        <v>PC</v>
      </c>
      <c r="H260" s="20" t="s">
        <v>744</v>
      </c>
      <c r="I260" s="21">
        <v>0.7</v>
      </c>
    </row>
    <row r="261" spans="1:9" x14ac:dyDescent="0.25">
      <c r="A261" s="17" t="s">
        <v>320</v>
      </c>
      <c r="B261" s="14" t="s">
        <v>234</v>
      </c>
      <c r="C261" s="19" t="s">
        <v>947</v>
      </c>
      <c r="D261" s="14" t="str">
        <f t="shared" ref="D261:D324" si="41">LEFT($D$2,FIND("-",$D$2,FIND("-",$D$2)+1)) &amp; TEXT(RIGHT($D$2,3)+ROW(D259),"000")</f>
        <v>1ST-358-260</v>
      </c>
      <c r="E261" s="19" t="s">
        <v>939</v>
      </c>
      <c r="F261" s="19">
        <f t="shared" si="39"/>
        <v>8.1999999999999993</v>
      </c>
      <c r="G261" s="19" t="str">
        <f t="shared" si="40"/>
        <v>PC</v>
      </c>
      <c r="H261" s="20" t="s">
        <v>744</v>
      </c>
      <c r="I261" s="21">
        <v>0.7</v>
      </c>
    </row>
    <row r="262" spans="1:9" x14ac:dyDescent="0.25">
      <c r="A262" s="17" t="s">
        <v>320</v>
      </c>
      <c r="B262" s="14" t="s">
        <v>234</v>
      </c>
      <c r="C262" s="19" t="s">
        <v>3689</v>
      </c>
      <c r="D262" s="14" t="str">
        <f t="shared" si="41"/>
        <v>1ST-358-261</v>
      </c>
      <c r="E262" s="19" t="s">
        <v>940</v>
      </c>
      <c r="F262" s="19">
        <f t="shared" si="39"/>
        <v>13</v>
      </c>
      <c r="G262" s="19" t="str">
        <f t="shared" si="40"/>
        <v>PC</v>
      </c>
      <c r="H262" s="20" t="s">
        <v>744</v>
      </c>
      <c r="I262" s="21">
        <v>0.7</v>
      </c>
    </row>
    <row r="263" spans="1:9" x14ac:dyDescent="0.25">
      <c r="A263" s="17" t="s">
        <v>320</v>
      </c>
      <c r="B263" s="14" t="s">
        <v>234</v>
      </c>
      <c r="C263" s="19" t="s">
        <v>948</v>
      </c>
      <c r="D263" s="14" t="str">
        <f t="shared" si="41"/>
        <v>1ST-358-262</v>
      </c>
      <c r="E263" s="19" t="s">
        <v>941</v>
      </c>
      <c r="F263" s="19">
        <f t="shared" si="39"/>
        <v>18.8</v>
      </c>
      <c r="G263" s="19" t="str">
        <f t="shared" si="40"/>
        <v>PC</v>
      </c>
      <c r="H263" s="20" t="s">
        <v>744</v>
      </c>
      <c r="I263" s="21">
        <v>0.6</v>
      </c>
    </row>
    <row r="264" spans="1:9" x14ac:dyDescent="0.25">
      <c r="A264" s="17" t="s">
        <v>320</v>
      </c>
      <c r="B264" s="14" t="s">
        <v>234</v>
      </c>
      <c r="C264" s="19" t="s">
        <v>949</v>
      </c>
      <c r="D264" s="14" t="str">
        <f t="shared" si="41"/>
        <v>1ST-358-263</v>
      </c>
      <c r="E264" s="19" t="s">
        <v>943</v>
      </c>
      <c r="F264" s="19">
        <f t="shared" si="39"/>
        <v>27</v>
      </c>
      <c r="G264" s="19" t="str">
        <f t="shared" si="40"/>
        <v>PC</v>
      </c>
      <c r="H264" s="20" t="s">
        <v>744</v>
      </c>
      <c r="I264" s="21">
        <v>0.6</v>
      </c>
    </row>
    <row r="265" spans="1:9" x14ac:dyDescent="0.25">
      <c r="A265" s="17" t="s">
        <v>320</v>
      </c>
      <c r="B265" s="14" t="s">
        <v>234</v>
      </c>
      <c r="C265" s="19" t="s">
        <v>950</v>
      </c>
      <c r="D265" s="14" t="str">
        <f t="shared" si="41"/>
        <v>1ST-358-264</v>
      </c>
      <c r="E265" s="19" t="s">
        <v>945</v>
      </c>
      <c r="F265" s="19">
        <f t="shared" si="39"/>
        <v>48.7</v>
      </c>
      <c r="G265" s="19" t="str">
        <f t="shared" si="40"/>
        <v>PC</v>
      </c>
      <c r="H265" s="20" t="s">
        <v>744</v>
      </c>
      <c r="I265" s="21">
        <v>0.6</v>
      </c>
    </row>
    <row r="266" spans="1:9" x14ac:dyDescent="0.25">
      <c r="A266" s="17" t="s">
        <v>320</v>
      </c>
      <c r="B266" s="14" t="s">
        <v>235</v>
      </c>
      <c r="C266" s="18" t="s">
        <v>951</v>
      </c>
      <c r="D266" s="14" t="str">
        <f t="shared" si="41"/>
        <v>1ST-358-265</v>
      </c>
      <c r="E266" s="18" t="s">
        <v>952</v>
      </c>
      <c r="F266" s="19">
        <f t="shared" ref="F266:F268" si="42">VALUE(LEFT(E266,FIND("/",E266)-1))</f>
        <v>9.6</v>
      </c>
      <c r="G266" s="19" t="str">
        <f t="shared" ref="G266:G268" si="43">TRIM(MID(E266,FIND("/",E266)+1,LEN(E266)))</f>
        <v>PC</v>
      </c>
      <c r="H266" s="20" t="s">
        <v>744</v>
      </c>
      <c r="I266" s="21">
        <v>0.7</v>
      </c>
    </row>
    <row r="267" spans="1:9" x14ac:dyDescent="0.25">
      <c r="A267" s="17" t="s">
        <v>320</v>
      </c>
      <c r="B267" s="14" t="s">
        <v>235</v>
      </c>
      <c r="C267" s="18" t="s">
        <v>953</v>
      </c>
      <c r="D267" s="14" t="str">
        <f t="shared" si="41"/>
        <v>1ST-358-266</v>
      </c>
      <c r="E267" s="18" t="s">
        <v>954</v>
      </c>
      <c r="F267" s="19">
        <f t="shared" si="42"/>
        <v>11.8</v>
      </c>
      <c r="G267" s="19" t="str">
        <f t="shared" si="43"/>
        <v>PC</v>
      </c>
      <c r="H267" s="20" t="s">
        <v>744</v>
      </c>
      <c r="I267" s="21">
        <v>0.7</v>
      </c>
    </row>
    <row r="268" spans="1:9" x14ac:dyDescent="0.25">
      <c r="A268" s="17" t="s">
        <v>320</v>
      </c>
      <c r="B268" s="14" t="s">
        <v>235</v>
      </c>
      <c r="C268" s="18" t="s">
        <v>3690</v>
      </c>
      <c r="D268" s="14" t="str">
        <f t="shared" si="41"/>
        <v>1ST-358-267</v>
      </c>
      <c r="E268" s="18" t="s">
        <v>955</v>
      </c>
      <c r="F268" s="19">
        <f t="shared" si="42"/>
        <v>15.3</v>
      </c>
      <c r="G268" s="19" t="str">
        <f t="shared" si="43"/>
        <v>PC</v>
      </c>
      <c r="H268" s="20" t="s">
        <v>744</v>
      </c>
      <c r="I268" s="21">
        <v>0.7</v>
      </c>
    </row>
    <row r="269" spans="1:9" x14ac:dyDescent="0.25">
      <c r="A269" s="17" t="s">
        <v>320</v>
      </c>
      <c r="B269" s="14" t="s">
        <v>236</v>
      </c>
      <c r="C269" s="18" t="s">
        <v>956</v>
      </c>
      <c r="D269" s="14" t="str">
        <f t="shared" si="41"/>
        <v>1ST-358-268</v>
      </c>
      <c r="E269" s="18" t="s">
        <v>957</v>
      </c>
      <c r="F269" s="19">
        <f t="shared" ref="F269:F271" si="44">VALUE(LEFT(E269,FIND("/",E269)-1))</f>
        <v>9.9</v>
      </c>
      <c r="G269" s="19" t="str">
        <f t="shared" ref="G269:G271" si="45">TRIM(MID(E269,FIND("/",E269)+1,LEN(E269)))</f>
        <v>PC</v>
      </c>
      <c r="H269" s="20" t="s">
        <v>744</v>
      </c>
      <c r="I269" s="21">
        <v>0.7</v>
      </c>
    </row>
    <row r="270" spans="1:9" x14ac:dyDescent="0.25">
      <c r="A270" s="17" t="s">
        <v>320</v>
      </c>
      <c r="B270" s="14" t="s">
        <v>236</v>
      </c>
      <c r="C270" s="18" t="s">
        <v>958</v>
      </c>
      <c r="D270" s="14" t="str">
        <f t="shared" si="41"/>
        <v>1ST-358-269</v>
      </c>
      <c r="E270" s="18" t="s">
        <v>959</v>
      </c>
      <c r="F270" s="19">
        <f t="shared" si="44"/>
        <v>14.1</v>
      </c>
      <c r="G270" s="19" t="str">
        <f t="shared" si="45"/>
        <v>PC</v>
      </c>
      <c r="H270" s="20" t="s">
        <v>744</v>
      </c>
      <c r="I270" s="21">
        <v>0.7</v>
      </c>
    </row>
    <row r="271" spans="1:9" x14ac:dyDescent="0.25">
      <c r="A271" s="17" t="s">
        <v>320</v>
      </c>
      <c r="B271" s="14" t="s">
        <v>236</v>
      </c>
      <c r="C271" s="18" t="s">
        <v>960</v>
      </c>
      <c r="D271" s="14" t="str">
        <f t="shared" si="41"/>
        <v>1ST-358-270</v>
      </c>
      <c r="E271" s="18" t="s">
        <v>961</v>
      </c>
      <c r="F271" s="19">
        <f t="shared" si="44"/>
        <v>25</v>
      </c>
      <c r="G271" s="19" t="str">
        <f t="shared" si="45"/>
        <v>PC</v>
      </c>
      <c r="H271" s="20" t="s">
        <v>744</v>
      </c>
      <c r="I271" s="21">
        <v>0.7</v>
      </c>
    </row>
    <row r="272" spans="1:9" x14ac:dyDescent="0.25">
      <c r="A272" s="17" t="s">
        <v>320</v>
      </c>
      <c r="B272" s="14" t="s">
        <v>3624</v>
      </c>
      <c r="C272" s="18" t="s">
        <v>3691</v>
      </c>
      <c r="D272" s="14" t="str">
        <f t="shared" si="41"/>
        <v>1ST-358-271</v>
      </c>
      <c r="E272" s="18" t="s">
        <v>929</v>
      </c>
      <c r="F272" s="19">
        <f t="shared" ref="F272:F294" si="46">VALUE(LEFT(E272,FIND("/",E272)-1))</f>
        <v>8</v>
      </c>
      <c r="G272" s="19" t="str">
        <f t="shared" ref="G272:G294" si="47">TRIM(MID(E272,FIND("/",E272)+1,LEN(E272)))</f>
        <v>PC</v>
      </c>
      <c r="H272" s="20" t="s">
        <v>744</v>
      </c>
      <c r="I272" s="21">
        <v>0.7</v>
      </c>
    </row>
    <row r="273" spans="1:9" x14ac:dyDescent="0.25">
      <c r="A273" s="17" t="s">
        <v>320</v>
      </c>
      <c r="B273" s="14" t="s">
        <v>3624</v>
      </c>
      <c r="C273" s="18" t="s">
        <v>962</v>
      </c>
      <c r="D273" s="14" t="str">
        <f t="shared" si="41"/>
        <v>1ST-358-272</v>
      </c>
      <c r="E273" s="18" t="s">
        <v>963</v>
      </c>
      <c r="F273" s="19">
        <f t="shared" si="46"/>
        <v>8.5</v>
      </c>
      <c r="G273" s="19" t="str">
        <f t="shared" si="47"/>
        <v>PC</v>
      </c>
      <c r="H273" s="20" t="s">
        <v>744</v>
      </c>
      <c r="I273" s="21">
        <v>0.7</v>
      </c>
    </row>
    <row r="274" spans="1:9" x14ac:dyDescent="0.25">
      <c r="A274" s="17" t="s">
        <v>320</v>
      </c>
      <c r="B274" s="14" t="s">
        <v>3624</v>
      </c>
      <c r="C274" s="18" t="s">
        <v>964</v>
      </c>
      <c r="D274" s="14" t="str">
        <f t="shared" si="41"/>
        <v>1ST-358-273</v>
      </c>
      <c r="E274" s="18" t="s">
        <v>965</v>
      </c>
      <c r="F274" s="19">
        <f t="shared" si="46"/>
        <v>15</v>
      </c>
      <c r="G274" s="19" t="str">
        <f t="shared" si="47"/>
        <v>PC</v>
      </c>
      <c r="H274" s="20" t="s">
        <v>744</v>
      </c>
      <c r="I274" s="21">
        <v>0.7</v>
      </c>
    </row>
    <row r="275" spans="1:9" x14ac:dyDescent="0.25">
      <c r="A275" s="17" t="s">
        <v>320</v>
      </c>
      <c r="B275" s="14" t="s">
        <v>232</v>
      </c>
      <c r="C275" s="18" t="s">
        <v>3692</v>
      </c>
      <c r="D275" s="14" t="str">
        <f t="shared" si="41"/>
        <v>1ST-358-274</v>
      </c>
      <c r="E275" s="18" t="s">
        <v>966</v>
      </c>
      <c r="F275" s="19">
        <f t="shared" si="46"/>
        <v>5</v>
      </c>
      <c r="G275" s="19" t="str">
        <f t="shared" si="47"/>
        <v>PC</v>
      </c>
      <c r="H275" s="20" t="s">
        <v>744</v>
      </c>
      <c r="I275" s="21">
        <v>0.6</v>
      </c>
    </row>
    <row r="276" spans="1:9" x14ac:dyDescent="0.25">
      <c r="A276" s="17" t="s">
        <v>320</v>
      </c>
      <c r="B276" s="14" t="s">
        <v>232</v>
      </c>
      <c r="C276" s="18" t="s">
        <v>3693</v>
      </c>
      <c r="D276" s="14" t="str">
        <f t="shared" si="41"/>
        <v>1ST-358-275</v>
      </c>
      <c r="E276" s="18" t="s">
        <v>967</v>
      </c>
      <c r="F276" s="19">
        <f t="shared" si="46"/>
        <v>7.5</v>
      </c>
      <c r="G276" s="19" t="str">
        <f t="shared" si="47"/>
        <v>PC</v>
      </c>
      <c r="H276" s="20" t="s">
        <v>744</v>
      </c>
      <c r="I276" s="21">
        <v>0.6</v>
      </c>
    </row>
    <row r="277" spans="1:9" x14ac:dyDescent="0.25">
      <c r="A277" s="17" t="s">
        <v>320</v>
      </c>
      <c r="B277" s="14" t="s">
        <v>232</v>
      </c>
      <c r="C277" s="18" t="s">
        <v>968</v>
      </c>
      <c r="D277" s="14" t="str">
        <f t="shared" si="41"/>
        <v>1ST-358-276</v>
      </c>
      <c r="E277" s="18" t="s">
        <v>969</v>
      </c>
      <c r="F277" s="19">
        <f t="shared" si="46"/>
        <v>11</v>
      </c>
      <c r="G277" s="19" t="str">
        <f t="shared" si="47"/>
        <v>PC</v>
      </c>
      <c r="H277" s="20" t="s">
        <v>744</v>
      </c>
      <c r="I277" s="21">
        <v>0.6</v>
      </c>
    </row>
    <row r="278" spans="1:9" x14ac:dyDescent="0.25">
      <c r="A278" s="17" t="s">
        <v>320</v>
      </c>
      <c r="B278" s="14" t="s">
        <v>232</v>
      </c>
      <c r="C278" s="18" t="s">
        <v>970</v>
      </c>
      <c r="D278" s="14" t="str">
        <f t="shared" si="41"/>
        <v>1ST-358-277</v>
      </c>
      <c r="E278" s="18" t="s">
        <v>971</v>
      </c>
      <c r="F278" s="19">
        <f t="shared" si="46"/>
        <v>13.5</v>
      </c>
      <c r="G278" s="19" t="str">
        <f t="shared" si="47"/>
        <v>PC</v>
      </c>
      <c r="H278" s="20" t="s">
        <v>744</v>
      </c>
      <c r="I278" s="21">
        <v>0.7</v>
      </c>
    </row>
    <row r="279" spans="1:9" x14ac:dyDescent="0.25">
      <c r="A279" s="17" t="s">
        <v>320</v>
      </c>
      <c r="B279" s="14" t="s">
        <v>232</v>
      </c>
      <c r="C279" s="18" t="s">
        <v>972</v>
      </c>
      <c r="D279" s="14" t="str">
        <f t="shared" si="41"/>
        <v>1ST-358-278</v>
      </c>
      <c r="E279" s="18" t="s">
        <v>973</v>
      </c>
      <c r="F279" s="19">
        <f t="shared" si="46"/>
        <v>16</v>
      </c>
      <c r="G279" s="19" t="str">
        <f t="shared" si="47"/>
        <v>PC</v>
      </c>
      <c r="H279" s="20" t="s">
        <v>744</v>
      </c>
      <c r="I279" s="21">
        <v>0.7</v>
      </c>
    </row>
    <row r="280" spans="1:9" x14ac:dyDescent="0.25">
      <c r="A280" s="17" t="s">
        <v>320</v>
      </c>
      <c r="B280" s="14" t="s">
        <v>232</v>
      </c>
      <c r="C280" s="18" t="s">
        <v>974</v>
      </c>
      <c r="D280" s="14" t="str">
        <f t="shared" si="41"/>
        <v>1ST-358-279</v>
      </c>
      <c r="E280" s="18" t="s">
        <v>961</v>
      </c>
      <c r="F280" s="19">
        <f t="shared" si="46"/>
        <v>25</v>
      </c>
      <c r="G280" s="19" t="str">
        <f t="shared" si="47"/>
        <v>PC</v>
      </c>
      <c r="H280" s="20" t="s">
        <v>744</v>
      </c>
      <c r="I280" s="21">
        <v>0.7</v>
      </c>
    </row>
    <row r="281" spans="1:9" x14ac:dyDescent="0.25">
      <c r="A281" s="17" t="s">
        <v>320</v>
      </c>
      <c r="B281" s="14" t="s">
        <v>233</v>
      </c>
      <c r="C281" s="19" t="s">
        <v>3694</v>
      </c>
      <c r="D281" s="14" t="str">
        <f t="shared" si="41"/>
        <v>1ST-358-280</v>
      </c>
      <c r="E281" s="19" t="s">
        <v>933</v>
      </c>
      <c r="F281" s="19">
        <f t="shared" si="46"/>
        <v>30</v>
      </c>
      <c r="G281" s="19" t="str">
        <f t="shared" si="47"/>
        <v>PC</v>
      </c>
      <c r="H281" s="20" t="s">
        <v>744</v>
      </c>
      <c r="I281" s="21">
        <v>0.7</v>
      </c>
    </row>
    <row r="282" spans="1:9" x14ac:dyDescent="0.25">
      <c r="A282" s="17" t="s">
        <v>320</v>
      </c>
      <c r="B282" s="14" t="s">
        <v>233</v>
      </c>
      <c r="C282" s="19" t="s">
        <v>3695</v>
      </c>
      <c r="D282" s="14" t="str">
        <f t="shared" si="41"/>
        <v>1ST-358-281</v>
      </c>
      <c r="E282" s="19" t="s">
        <v>638</v>
      </c>
      <c r="F282" s="19">
        <f t="shared" si="46"/>
        <v>42</v>
      </c>
      <c r="G282" s="19" t="str">
        <f t="shared" si="47"/>
        <v>PC</v>
      </c>
      <c r="H282" s="20" t="s">
        <v>744</v>
      </c>
      <c r="I282" s="21">
        <v>0.7</v>
      </c>
    </row>
    <row r="283" spans="1:9" x14ac:dyDescent="0.25">
      <c r="A283" s="17" t="s">
        <v>320</v>
      </c>
      <c r="B283" s="14" t="s">
        <v>233</v>
      </c>
      <c r="C283" s="19" t="s">
        <v>3696</v>
      </c>
      <c r="D283" s="14" t="str">
        <f t="shared" si="41"/>
        <v>1ST-358-282</v>
      </c>
      <c r="E283" s="19" t="s">
        <v>975</v>
      </c>
      <c r="F283" s="19">
        <f t="shared" si="46"/>
        <v>58</v>
      </c>
      <c r="G283" s="19" t="str">
        <f t="shared" si="47"/>
        <v>PC</v>
      </c>
      <c r="H283" s="20" t="s">
        <v>744</v>
      </c>
      <c r="I283" s="21">
        <v>0.7</v>
      </c>
    </row>
    <row r="284" spans="1:9" x14ac:dyDescent="0.25">
      <c r="A284" s="17" t="s">
        <v>320</v>
      </c>
      <c r="B284" s="14" t="s">
        <v>233</v>
      </c>
      <c r="C284" s="19" t="s">
        <v>976</v>
      </c>
      <c r="D284" s="14" t="str">
        <f t="shared" si="41"/>
        <v>1ST-358-283</v>
      </c>
      <c r="E284" s="19" t="s">
        <v>977</v>
      </c>
      <c r="F284" s="19">
        <f t="shared" si="46"/>
        <v>100</v>
      </c>
      <c r="G284" s="19" t="str">
        <f t="shared" si="47"/>
        <v>PC</v>
      </c>
      <c r="H284" s="20" t="s">
        <v>744</v>
      </c>
      <c r="I284" s="21">
        <v>0.6</v>
      </c>
    </row>
    <row r="285" spans="1:9" x14ac:dyDescent="0.25">
      <c r="A285" s="17" t="s">
        <v>320</v>
      </c>
      <c r="B285" s="14" t="s">
        <v>233</v>
      </c>
      <c r="C285" s="19" t="s">
        <v>978</v>
      </c>
      <c r="D285" s="14" t="str">
        <f t="shared" si="41"/>
        <v>1ST-358-284</v>
      </c>
      <c r="E285" s="19" t="s">
        <v>715</v>
      </c>
      <c r="F285" s="19">
        <f t="shared" si="46"/>
        <v>140</v>
      </c>
      <c r="G285" s="19" t="str">
        <f t="shared" si="47"/>
        <v>PC</v>
      </c>
      <c r="H285" s="20" t="s">
        <v>744</v>
      </c>
      <c r="I285" s="21">
        <v>0.6</v>
      </c>
    </row>
    <row r="286" spans="1:9" x14ac:dyDescent="0.25">
      <c r="A286" s="17" t="s">
        <v>320</v>
      </c>
      <c r="B286" s="14" t="s">
        <v>233</v>
      </c>
      <c r="C286" s="19" t="s">
        <v>979</v>
      </c>
      <c r="D286" s="14" t="str">
        <f t="shared" si="41"/>
        <v>1ST-358-285</v>
      </c>
      <c r="E286" s="19" t="s">
        <v>673</v>
      </c>
      <c r="F286" s="19">
        <f t="shared" si="46"/>
        <v>250</v>
      </c>
      <c r="G286" s="19" t="str">
        <f t="shared" si="47"/>
        <v>PC</v>
      </c>
      <c r="H286" s="20" t="s">
        <v>744</v>
      </c>
      <c r="I286" s="21">
        <v>0.6</v>
      </c>
    </row>
    <row r="287" spans="1:9" ht="52.8" x14ac:dyDescent="0.25">
      <c r="A287" s="17" t="s">
        <v>320</v>
      </c>
      <c r="B287" s="14" t="s">
        <v>230</v>
      </c>
      <c r="C287" s="18" t="s">
        <v>980</v>
      </c>
      <c r="D287" s="14" t="str">
        <f t="shared" si="41"/>
        <v>1ST-358-286</v>
      </c>
      <c r="E287" s="18" t="s">
        <v>981</v>
      </c>
      <c r="F287" s="19">
        <f t="shared" si="46"/>
        <v>179</v>
      </c>
      <c r="G287" s="19" t="str">
        <f t="shared" si="47"/>
        <v>PC</v>
      </c>
      <c r="H287" s="20" t="s">
        <v>747</v>
      </c>
      <c r="I287" s="26" t="s">
        <v>3524</v>
      </c>
    </row>
    <row r="288" spans="1:9" ht="28.8" customHeight="1" x14ac:dyDescent="0.25">
      <c r="A288" s="17" t="s">
        <v>320</v>
      </c>
      <c r="B288" s="14" t="s">
        <v>230</v>
      </c>
      <c r="C288" s="18" t="s">
        <v>982</v>
      </c>
      <c r="D288" s="14" t="str">
        <f t="shared" si="41"/>
        <v>1ST-358-287</v>
      </c>
      <c r="E288" s="18" t="s">
        <v>983</v>
      </c>
      <c r="F288" s="19">
        <f t="shared" si="46"/>
        <v>268</v>
      </c>
      <c r="G288" s="19" t="str">
        <f t="shared" si="47"/>
        <v>PC</v>
      </c>
      <c r="H288" s="20" t="s">
        <v>748</v>
      </c>
      <c r="I288" s="26" t="s">
        <v>3524</v>
      </c>
    </row>
    <row r="289" spans="1:9" ht="52.8" x14ac:dyDescent="0.25">
      <c r="A289" s="17" t="s">
        <v>320</v>
      </c>
      <c r="B289" s="14" t="s">
        <v>230</v>
      </c>
      <c r="C289" s="18" t="s">
        <v>984</v>
      </c>
      <c r="D289" s="14" t="str">
        <f t="shared" si="41"/>
        <v>1ST-358-288</v>
      </c>
      <c r="E289" s="18" t="s">
        <v>893</v>
      </c>
      <c r="F289" s="19">
        <f t="shared" si="46"/>
        <v>459</v>
      </c>
      <c r="G289" s="19" t="str">
        <f t="shared" si="47"/>
        <v>PC</v>
      </c>
      <c r="H289" s="20" t="s">
        <v>747</v>
      </c>
      <c r="I289" s="26" t="s">
        <v>3524</v>
      </c>
    </row>
    <row r="290" spans="1:9" ht="52.8" x14ac:dyDescent="0.25">
      <c r="A290" s="17" t="s">
        <v>320</v>
      </c>
      <c r="B290" s="14" t="s">
        <v>230</v>
      </c>
      <c r="C290" s="19" t="s">
        <v>985</v>
      </c>
      <c r="D290" s="14" t="str">
        <f t="shared" si="41"/>
        <v>1ST-358-289</v>
      </c>
      <c r="E290" s="19" t="s">
        <v>986</v>
      </c>
      <c r="F290" s="19">
        <f t="shared" si="46"/>
        <v>660</v>
      </c>
      <c r="G290" s="19" t="str">
        <f t="shared" si="47"/>
        <v>PC</v>
      </c>
      <c r="H290" s="20" t="s">
        <v>747</v>
      </c>
      <c r="I290" s="26" t="s">
        <v>3524</v>
      </c>
    </row>
    <row r="291" spans="1:9" ht="52.8" x14ac:dyDescent="0.25">
      <c r="A291" s="17" t="s">
        <v>320</v>
      </c>
      <c r="B291" s="14" t="s">
        <v>230</v>
      </c>
      <c r="C291" s="18" t="s">
        <v>987</v>
      </c>
      <c r="D291" s="14" t="str">
        <f t="shared" si="41"/>
        <v>1ST-358-290</v>
      </c>
      <c r="E291" s="18" t="s">
        <v>988</v>
      </c>
      <c r="F291" s="19">
        <f t="shared" si="46"/>
        <v>1036</v>
      </c>
      <c r="G291" s="19" t="str">
        <f t="shared" si="47"/>
        <v>PC</v>
      </c>
      <c r="H291" s="20" t="s">
        <v>747</v>
      </c>
      <c r="I291" s="26" t="s">
        <v>3524</v>
      </c>
    </row>
    <row r="292" spans="1:9" ht="52.8" x14ac:dyDescent="0.25">
      <c r="A292" s="17" t="s">
        <v>320</v>
      </c>
      <c r="B292" s="14" t="s">
        <v>230</v>
      </c>
      <c r="C292" s="18" t="s">
        <v>989</v>
      </c>
      <c r="D292" s="14" t="str">
        <f t="shared" si="41"/>
        <v>1ST-358-291</v>
      </c>
      <c r="E292" s="18" t="s">
        <v>990</v>
      </c>
      <c r="F292" s="19">
        <f t="shared" si="46"/>
        <v>1635</v>
      </c>
      <c r="G292" s="19" t="str">
        <f t="shared" si="47"/>
        <v>PC</v>
      </c>
      <c r="H292" s="20" t="s">
        <v>747</v>
      </c>
      <c r="I292" s="26" t="s">
        <v>3524</v>
      </c>
    </row>
    <row r="293" spans="1:9" ht="52.8" x14ac:dyDescent="0.25">
      <c r="A293" s="17" t="s">
        <v>320</v>
      </c>
      <c r="B293" s="14" t="s">
        <v>230</v>
      </c>
      <c r="C293" s="19" t="s">
        <v>991</v>
      </c>
      <c r="D293" s="14" t="str">
        <f t="shared" si="41"/>
        <v>1ST-358-292</v>
      </c>
      <c r="E293" s="19" t="s">
        <v>669</v>
      </c>
      <c r="F293" s="19">
        <f t="shared" si="46"/>
        <v>212</v>
      </c>
      <c r="G293" s="19" t="str">
        <f t="shared" si="47"/>
        <v>PC</v>
      </c>
      <c r="H293" s="20" t="s">
        <v>747</v>
      </c>
      <c r="I293" s="26" t="s">
        <v>3524</v>
      </c>
    </row>
    <row r="294" spans="1:9" ht="52.8" x14ac:dyDescent="0.25">
      <c r="A294" s="17" t="s">
        <v>320</v>
      </c>
      <c r="B294" s="14" t="s">
        <v>230</v>
      </c>
      <c r="C294" s="18" t="s">
        <v>992</v>
      </c>
      <c r="D294" s="14" t="str">
        <f t="shared" si="41"/>
        <v>1ST-358-293</v>
      </c>
      <c r="E294" s="18" t="s">
        <v>993</v>
      </c>
      <c r="F294" s="19">
        <f t="shared" si="46"/>
        <v>313</v>
      </c>
      <c r="G294" s="19" t="str">
        <f t="shared" si="47"/>
        <v>PC</v>
      </c>
      <c r="H294" s="20" t="s">
        <v>747</v>
      </c>
      <c r="I294" s="26" t="s">
        <v>3524</v>
      </c>
    </row>
    <row r="295" spans="1:9" ht="52.8" x14ac:dyDescent="0.25">
      <c r="A295" s="17" t="s">
        <v>320</v>
      </c>
      <c r="B295" s="14" t="s">
        <v>230</v>
      </c>
      <c r="C295" s="18" t="s">
        <v>994</v>
      </c>
      <c r="D295" s="14" t="str">
        <f t="shared" si="41"/>
        <v>1ST-358-294</v>
      </c>
      <c r="E295" s="18" t="s">
        <v>995</v>
      </c>
      <c r="F295" s="19">
        <f>VALUE(LEFT(E295,FIND("/",E295)-1))</f>
        <v>537</v>
      </c>
      <c r="G295" s="19" t="str">
        <f>TRIM(MID(E295,FIND("/",E295)+1,LEN(E295)))</f>
        <v>PC</v>
      </c>
      <c r="H295" s="20" t="s">
        <v>747</v>
      </c>
      <c r="I295" s="26" t="s">
        <v>3524</v>
      </c>
    </row>
    <row r="296" spans="1:9" x14ac:dyDescent="0.25">
      <c r="A296" s="17" t="s">
        <v>320</v>
      </c>
      <c r="B296" s="14" t="s">
        <v>231</v>
      </c>
      <c r="C296" s="19" t="s">
        <v>996</v>
      </c>
      <c r="D296" s="14" t="str">
        <f t="shared" si="41"/>
        <v>1ST-358-295</v>
      </c>
      <c r="E296" s="19" t="s">
        <v>997</v>
      </c>
      <c r="F296" s="19">
        <f t="shared" ref="F296:F359" si="48">VALUE(LEFT(E296,FIND("/",E296)-1))</f>
        <v>1360</v>
      </c>
      <c r="G296" s="19" t="str">
        <f t="shared" ref="G296:G359" si="49">TRIM(MID(E296,FIND("/",E296)+1,LEN(E296)))</f>
        <v>ROLL</v>
      </c>
      <c r="H296" s="20" t="s">
        <v>745</v>
      </c>
      <c r="I296" s="26" t="s">
        <v>3525</v>
      </c>
    </row>
    <row r="297" spans="1:9" ht="26.4" x14ac:dyDescent="0.25">
      <c r="A297" s="17" t="s">
        <v>320</v>
      </c>
      <c r="B297" s="14" t="s">
        <v>231</v>
      </c>
      <c r="C297" s="19" t="s">
        <v>998</v>
      </c>
      <c r="D297" s="14" t="str">
        <f t="shared" si="41"/>
        <v>1ST-358-296</v>
      </c>
      <c r="E297" s="18" t="s">
        <v>773</v>
      </c>
      <c r="F297" s="19">
        <f t="shared" si="48"/>
        <v>2237.5</v>
      </c>
      <c r="G297" s="19" t="str">
        <f t="shared" si="49"/>
        <v xml:space="preserve">
ROLL</v>
      </c>
      <c r="H297" s="20" t="s">
        <v>745</v>
      </c>
      <c r="I297" s="26" t="s">
        <v>3525</v>
      </c>
    </row>
    <row r="298" spans="1:9" x14ac:dyDescent="0.25">
      <c r="A298" s="17" t="s">
        <v>320</v>
      </c>
      <c r="B298" s="14" t="s">
        <v>231</v>
      </c>
      <c r="C298" s="19" t="s">
        <v>999</v>
      </c>
      <c r="D298" s="14" t="str">
        <f t="shared" si="41"/>
        <v>1ST-358-297</v>
      </c>
      <c r="E298" s="19" t="s">
        <v>1000</v>
      </c>
      <c r="F298" s="19">
        <f t="shared" si="48"/>
        <v>4475</v>
      </c>
      <c r="G298" s="19" t="str">
        <f t="shared" si="49"/>
        <v>ROLL</v>
      </c>
      <c r="H298" s="20" t="s">
        <v>745</v>
      </c>
      <c r="I298" s="26" t="s">
        <v>3525</v>
      </c>
    </row>
    <row r="299" spans="1:9" x14ac:dyDescent="0.25">
      <c r="A299" s="17" t="s">
        <v>320</v>
      </c>
      <c r="B299" s="14" t="s">
        <v>231</v>
      </c>
      <c r="C299" s="19" t="s">
        <v>1001</v>
      </c>
      <c r="D299" s="14" t="str">
        <f t="shared" si="41"/>
        <v>1ST-358-298</v>
      </c>
      <c r="E299" s="19" t="s">
        <v>1002</v>
      </c>
      <c r="F299" s="19">
        <f t="shared" si="48"/>
        <v>1980</v>
      </c>
      <c r="G299" s="19" t="str">
        <f t="shared" si="49"/>
        <v>ROLL</v>
      </c>
      <c r="H299" s="20" t="s">
        <v>745</v>
      </c>
      <c r="I299" s="26" t="s">
        <v>3525</v>
      </c>
    </row>
    <row r="300" spans="1:9" x14ac:dyDescent="0.25">
      <c r="A300" s="17" t="s">
        <v>320</v>
      </c>
      <c r="B300" s="14" t="s">
        <v>231</v>
      </c>
      <c r="C300" s="19" t="s">
        <v>1003</v>
      </c>
      <c r="D300" s="14" t="str">
        <f t="shared" si="41"/>
        <v>1ST-358-299</v>
      </c>
      <c r="E300" s="19" t="s">
        <v>1004</v>
      </c>
      <c r="F300" s="19">
        <f t="shared" si="48"/>
        <v>3350</v>
      </c>
      <c r="G300" s="19" t="str">
        <f t="shared" si="49"/>
        <v>ROLL</v>
      </c>
      <c r="H300" s="20" t="s">
        <v>745</v>
      </c>
      <c r="I300" s="26" t="s">
        <v>3525</v>
      </c>
    </row>
    <row r="301" spans="1:9" x14ac:dyDescent="0.25">
      <c r="A301" s="17" t="s">
        <v>320</v>
      </c>
      <c r="B301" s="14" t="s">
        <v>231</v>
      </c>
      <c r="C301" s="19" t="s">
        <v>1005</v>
      </c>
      <c r="D301" s="14" t="str">
        <f t="shared" si="41"/>
        <v>1ST-358-300</v>
      </c>
      <c r="E301" s="19" t="s">
        <v>1006</v>
      </c>
      <c r="F301" s="19">
        <f t="shared" si="48"/>
        <v>6700</v>
      </c>
      <c r="G301" s="19" t="str">
        <f t="shared" si="49"/>
        <v>ROLL</v>
      </c>
      <c r="H301" s="20" t="s">
        <v>745</v>
      </c>
      <c r="I301" s="26" t="s">
        <v>3525</v>
      </c>
    </row>
    <row r="302" spans="1:9" ht="26.4" x14ac:dyDescent="0.25">
      <c r="A302" s="17" t="s">
        <v>320</v>
      </c>
      <c r="B302" s="14" t="s">
        <v>227</v>
      </c>
      <c r="C302" s="18" t="s">
        <v>3697</v>
      </c>
      <c r="D302" s="14" t="str">
        <f t="shared" si="41"/>
        <v>1ST-358-301</v>
      </c>
      <c r="E302" s="18" t="s">
        <v>1007</v>
      </c>
      <c r="F302" s="19">
        <f t="shared" si="48"/>
        <v>51.5</v>
      </c>
      <c r="G302" s="19" t="str">
        <f t="shared" si="49"/>
        <v>PC</v>
      </c>
      <c r="H302" s="20" t="s">
        <v>746</v>
      </c>
      <c r="I302" s="26" t="s">
        <v>3525</v>
      </c>
    </row>
    <row r="303" spans="1:9" ht="26.4" x14ac:dyDescent="0.25">
      <c r="A303" s="17" t="s">
        <v>320</v>
      </c>
      <c r="B303" s="14" t="s">
        <v>227</v>
      </c>
      <c r="C303" s="18" t="s">
        <v>3698</v>
      </c>
      <c r="D303" s="14" t="str">
        <f t="shared" si="41"/>
        <v>1ST-358-302</v>
      </c>
      <c r="E303" s="18" t="s">
        <v>1008</v>
      </c>
      <c r="F303" s="19">
        <f t="shared" si="48"/>
        <v>75.25</v>
      </c>
      <c r="G303" s="19" t="str">
        <f t="shared" si="49"/>
        <v>PC</v>
      </c>
      <c r="H303" s="20" t="s">
        <v>746</v>
      </c>
      <c r="I303" s="26" t="s">
        <v>3525</v>
      </c>
    </row>
    <row r="304" spans="1:9" ht="26.4" x14ac:dyDescent="0.25">
      <c r="A304" s="17" t="s">
        <v>320</v>
      </c>
      <c r="B304" s="14" t="s">
        <v>227</v>
      </c>
      <c r="C304" s="18" t="s">
        <v>3699</v>
      </c>
      <c r="D304" s="14" t="str">
        <f t="shared" si="41"/>
        <v>1ST-358-303</v>
      </c>
      <c r="E304" s="18" t="s">
        <v>1009</v>
      </c>
      <c r="F304" s="19">
        <f t="shared" si="48"/>
        <v>67.25</v>
      </c>
      <c r="G304" s="19" t="str">
        <f t="shared" si="49"/>
        <v>PC</v>
      </c>
      <c r="H304" s="20" t="s">
        <v>746</v>
      </c>
      <c r="I304" s="26" t="s">
        <v>3525</v>
      </c>
    </row>
    <row r="305" spans="1:9" ht="26.4" x14ac:dyDescent="0.25">
      <c r="A305" s="17" t="s">
        <v>320</v>
      </c>
      <c r="B305" s="14" t="s">
        <v>227</v>
      </c>
      <c r="C305" s="18" t="s">
        <v>3700</v>
      </c>
      <c r="D305" s="14" t="str">
        <f t="shared" si="41"/>
        <v>1ST-358-304</v>
      </c>
      <c r="E305" s="18" t="s">
        <v>1010</v>
      </c>
      <c r="F305" s="19">
        <f t="shared" si="48"/>
        <v>78.5</v>
      </c>
      <c r="G305" s="19" t="str">
        <f t="shared" si="49"/>
        <v>PC</v>
      </c>
      <c r="H305" s="20" t="s">
        <v>746</v>
      </c>
      <c r="I305" s="26" t="s">
        <v>3525</v>
      </c>
    </row>
    <row r="306" spans="1:9" ht="26.4" x14ac:dyDescent="0.25">
      <c r="A306" s="17" t="s">
        <v>320</v>
      </c>
      <c r="B306" s="14" t="s">
        <v>227</v>
      </c>
      <c r="C306" s="18" t="s">
        <v>3701</v>
      </c>
      <c r="D306" s="14" t="str">
        <f t="shared" si="41"/>
        <v>1ST-358-305</v>
      </c>
      <c r="E306" s="18" t="s">
        <v>1011</v>
      </c>
      <c r="F306" s="19">
        <f t="shared" si="48"/>
        <v>76.25</v>
      </c>
      <c r="G306" s="19" t="str">
        <f t="shared" si="49"/>
        <v>PC</v>
      </c>
      <c r="H306" s="20" t="s">
        <v>746</v>
      </c>
      <c r="I306" s="26" t="s">
        <v>3525</v>
      </c>
    </row>
    <row r="307" spans="1:9" ht="26.4" x14ac:dyDescent="0.25">
      <c r="A307" s="17" t="s">
        <v>320</v>
      </c>
      <c r="B307" s="14" t="s">
        <v>227</v>
      </c>
      <c r="C307" s="18" t="s">
        <v>1012</v>
      </c>
      <c r="D307" s="14" t="str">
        <f t="shared" si="41"/>
        <v>1ST-358-306</v>
      </c>
      <c r="E307" s="18" t="s">
        <v>1013</v>
      </c>
      <c r="F307" s="19">
        <f t="shared" si="48"/>
        <v>128</v>
      </c>
      <c r="G307" s="19" t="str">
        <f t="shared" si="49"/>
        <v>PC</v>
      </c>
      <c r="H307" s="20" t="s">
        <v>746</v>
      </c>
      <c r="I307" s="26" t="s">
        <v>3525</v>
      </c>
    </row>
    <row r="308" spans="1:9" ht="26.4" x14ac:dyDescent="0.25">
      <c r="A308" s="17" t="s">
        <v>320</v>
      </c>
      <c r="B308" s="14" t="s">
        <v>227</v>
      </c>
      <c r="C308" s="18" t="s">
        <v>1014</v>
      </c>
      <c r="D308" s="14" t="str">
        <f t="shared" si="41"/>
        <v>1ST-358-307</v>
      </c>
      <c r="E308" s="18" t="s">
        <v>1015</v>
      </c>
      <c r="F308" s="19">
        <f t="shared" si="48"/>
        <v>274</v>
      </c>
      <c r="G308" s="19" t="str">
        <f t="shared" si="49"/>
        <v>PC</v>
      </c>
      <c r="H308" s="20" t="s">
        <v>746</v>
      </c>
      <c r="I308" s="26" t="s">
        <v>3525</v>
      </c>
    </row>
    <row r="309" spans="1:9" ht="26.4" x14ac:dyDescent="0.25">
      <c r="A309" s="17" t="s">
        <v>320</v>
      </c>
      <c r="B309" s="14" t="s">
        <v>228</v>
      </c>
      <c r="C309" s="18" t="s">
        <v>3702</v>
      </c>
      <c r="D309" s="14" t="str">
        <f t="shared" si="41"/>
        <v>1ST-358-308</v>
      </c>
      <c r="E309" s="18" t="s">
        <v>1016</v>
      </c>
      <c r="F309" s="19">
        <f t="shared" si="48"/>
        <v>69.5</v>
      </c>
      <c r="G309" s="19" t="str">
        <f t="shared" si="49"/>
        <v>PC</v>
      </c>
      <c r="H309" s="20" t="s">
        <v>746</v>
      </c>
      <c r="I309" s="26" t="s">
        <v>3525</v>
      </c>
    </row>
    <row r="310" spans="1:9" ht="26.4" x14ac:dyDescent="0.25">
      <c r="A310" s="17" t="s">
        <v>320</v>
      </c>
      <c r="B310" s="14" t="s">
        <v>228</v>
      </c>
      <c r="C310" s="18" t="s">
        <v>1017</v>
      </c>
      <c r="D310" s="14" t="str">
        <f t="shared" si="41"/>
        <v>1ST-358-309</v>
      </c>
      <c r="E310" s="18" t="s">
        <v>702</v>
      </c>
      <c r="F310" s="19">
        <f t="shared" si="48"/>
        <v>75</v>
      </c>
      <c r="G310" s="19" t="str">
        <f t="shared" si="49"/>
        <v>PC</v>
      </c>
      <c r="H310" s="20" t="s">
        <v>746</v>
      </c>
      <c r="I310" s="26" t="s">
        <v>3525</v>
      </c>
    </row>
    <row r="311" spans="1:9" ht="26.4" x14ac:dyDescent="0.25">
      <c r="A311" s="17" t="s">
        <v>320</v>
      </c>
      <c r="B311" s="14" t="s">
        <v>228</v>
      </c>
      <c r="C311" s="18" t="s">
        <v>3703</v>
      </c>
      <c r="D311" s="14" t="str">
        <f t="shared" si="41"/>
        <v>1ST-358-310</v>
      </c>
      <c r="E311" s="18" t="s">
        <v>1010</v>
      </c>
      <c r="F311" s="19">
        <f t="shared" si="48"/>
        <v>78.5</v>
      </c>
      <c r="G311" s="19" t="str">
        <f t="shared" si="49"/>
        <v>PC</v>
      </c>
      <c r="H311" s="20" t="s">
        <v>746</v>
      </c>
      <c r="I311" s="26" t="s">
        <v>3525</v>
      </c>
    </row>
    <row r="312" spans="1:9" ht="26.4" x14ac:dyDescent="0.25">
      <c r="A312" s="17" t="s">
        <v>320</v>
      </c>
      <c r="B312" s="14" t="s">
        <v>228</v>
      </c>
      <c r="C312" s="18" t="s">
        <v>1018</v>
      </c>
      <c r="D312" s="14" t="str">
        <f t="shared" si="41"/>
        <v>1ST-358-311</v>
      </c>
      <c r="E312" s="18" t="s">
        <v>1019</v>
      </c>
      <c r="F312" s="19">
        <f t="shared" si="48"/>
        <v>96.25</v>
      </c>
      <c r="G312" s="19" t="str">
        <f t="shared" si="49"/>
        <v>PC</v>
      </c>
      <c r="H312" s="20" t="s">
        <v>746</v>
      </c>
      <c r="I312" s="26" t="s">
        <v>3525</v>
      </c>
    </row>
    <row r="313" spans="1:9" ht="26.4" x14ac:dyDescent="0.25">
      <c r="A313" s="17" t="s">
        <v>320</v>
      </c>
      <c r="B313" s="14" t="s">
        <v>228</v>
      </c>
      <c r="C313" s="18" t="s">
        <v>3704</v>
      </c>
      <c r="D313" s="14" t="str">
        <f t="shared" si="41"/>
        <v>1ST-358-312</v>
      </c>
      <c r="E313" s="18" t="s">
        <v>1020</v>
      </c>
      <c r="F313" s="19">
        <f t="shared" si="48"/>
        <v>143</v>
      </c>
      <c r="G313" s="19" t="str">
        <f t="shared" si="49"/>
        <v>PC</v>
      </c>
      <c r="H313" s="20" t="s">
        <v>746</v>
      </c>
      <c r="I313" s="26" t="s">
        <v>3525</v>
      </c>
    </row>
    <row r="314" spans="1:9" ht="26.4" x14ac:dyDescent="0.25">
      <c r="A314" s="17" t="s">
        <v>320</v>
      </c>
      <c r="B314" s="14" t="s">
        <v>228</v>
      </c>
      <c r="C314" s="18" t="s">
        <v>3705</v>
      </c>
      <c r="D314" s="14" t="str">
        <f t="shared" si="41"/>
        <v>1ST-358-313</v>
      </c>
      <c r="E314" s="18" t="s">
        <v>1021</v>
      </c>
      <c r="F314" s="19">
        <f t="shared" si="48"/>
        <v>252</v>
      </c>
      <c r="G314" s="19" t="str">
        <f t="shared" si="49"/>
        <v>PC</v>
      </c>
      <c r="H314" s="20" t="s">
        <v>746</v>
      </c>
      <c r="I314" s="26" t="s">
        <v>3525</v>
      </c>
    </row>
    <row r="315" spans="1:9" ht="26.4" x14ac:dyDescent="0.25">
      <c r="A315" s="17" t="s">
        <v>320</v>
      </c>
      <c r="B315" s="14" t="s">
        <v>228</v>
      </c>
      <c r="C315" s="18" t="s">
        <v>3706</v>
      </c>
      <c r="D315" s="14" t="str">
        <f t="shared" si="41"/>
        <v>1ST-358-314</v>
      </c>
      <c r="E315" s="18" t="s">
        <v>714</v>
      </c>
      <c r="F315" s="19">
        <f t="shared" si="48"/>
        <v>175</v>
      </c>
      <c r="G315" s="19" t="str">
        <f t="shared" si="49"/>
        <v>PC</v>
      </c>
      <c r="H315" s="20" t="s">
        <v>746</v>
      </c>
      <c r="I315" s="26" t="s">
        <v>3525</v>
      </c>
    </row>
    <row r="316" spans="1:9" ht="26.4" x14ac:dyDescent="0.25">
      <c r="A316" s="17" t="s">
        <v>320</v>
      </c>
      <c r="B316" s="14" t="s">
        <v>229</v>
      </c>
      <c r="C316" s="18" t="s">
        <v>1022</v>
      </c>
      <c r="D316" s="14" t="str">
        <f t="shared" si="41"/>
        <v>1ST-358-315</v>
      </c>
      <c r="E316" s="18" t="s">
        <v>1023</v>
      </c>
      <c r="F316" s="19">
        <f t="shared" si="48"/>
        <v>5.5</v>
      </c>
      <c r="G316" s="19" t="str">
        <f t="shared" si="49"/>
        <v>PC</v>
      </c>
      <c r="H316" s="20" t="s">
        <v>746</v>
      </c>
      <c r="I316" s="26" t="s">
        <v>3525</v>
      </c>
    </row>
    <row r="317" spans="1:9" ht="26.4" x14ac:dyDescent="0.25">
      <c r="A317" s="17" t="s">
        <v>320</v>
      </c>
      <c r="B317" s="14" t="s">
        <v>229</v>
      </c>
      <c r="C317" s="18" t="s">
        <v>1024</v>
      </c>
      <c r="D317" s="14" t="str">
        <f t="shared" si="41"/>
        <v>1ST-358-316</v>
      </c>
      <c r="E317" s="18" t="s">
        <v>1025</v>
      </c>
      <c r="F317" s="19">
        <f t="shared" si="48"/>
        <v>6.75</v>
      </c>
      <c r="G317" s="19" t="str">
        <f t="shared" si="49"/>
        <v>PC</v>
      </c>
      <c r="H317" s="20" t="s">
        <v>746</v>
      </c>
      <c r="I317" s="26" t="s">
        <v>3525</v>
      </c>
    </row>
    <row r="318" spans="1:9" ht="26.4" x14ac:dyDescent="0.25">
      <c r="A318" s="17" t="s">
        <v>320</v>
      </c>
      <c r="B318" s="14" t="s">
        <v>229</v>
      </c>
      <c r="C318" s="18" t="s">
        <v>3707</v>
      </c>
      <c r="D318" s="14" t="str">
        <f t="shared" si="41"/>
        <v>1ST-358-317</v>
      </c>
      <c r="E318" s="18" t="s">
        <v>1026</v>
      </c>
      <c r="F318" s="19">
        <f t="shared" si="48"/>
        <v>10.75</v>
      </c>
      <c r="G318" s="19" t="str">
        <f t="shared" si="49"/>
        <v>PC</v>
      </c>
      <c r="H318" s="20" t="s">
        <v>746</v>
      </c>
      <c r="I318" s="26" t="s">
        <v>3525</v>
      </c>
    </row>
    <row r="319" spans="1:9" ht="26.4" x14ac:dyDescent="0.25">
      <c r="A319" s="17" t="s">
        <v>320</v>
      </c>
      <c r="B319" s="14" t="s">
        <v>229</v>
      </c>
      <c r="C319" s="18" t="s">
        <v>3708</v>
      </c>
      <c r="D319" s="14" t="str">
        <f t="shared" si="41"/>
        <v>1ST-358-318</v>
      </c>
      <c r="E319" s="18" t="s">
        <v>1027</v>
      </c>
      <c r="F319" s="19">
        <f t="shared" si="48"/>
        <v>20.25</v>
      </c>
      <c r="G319" s="19" t="str">
        <f t="shared" si="49"/>
        <v>PC</v>
      </c>
      <c r="H319" s="20" t="s">
        <v>746</v>
      </c>
      <c r="I319" s="26" t="s">
        <v>3525</v>
      </c>
    </row>
    <row r="320" spans="1:9" ht="26.4" x14ac:dyDescent="0.25">
      <c r="A320" s="17" t="s">
        <v>320</v>
      </c>
      <c r="B320" s="14" t="s">
        <v>229</v>
      </c>
      <c r="C320" s="18" t="s">
        <v>3709</v>
      </c>
      <c r="D320" s="14" t="str">
        <f t="shared" si="41"/>
        <v>1ST-358-319</v>
      </c>
      <c r="E320" s="18" t="s">
        <v>1028</v>
      </c>
      <c r="F320" s="19">
        <f t="shared" si="48"/>
        <v>34.35</v>
      </c>
      <c r="G320" s="19" t="str">
        <f t="shared" si="49"/>
        <v>PC</v>
      </c>
      <c r="H320" s="20" t="s">
        <v>746</v>
      </c>
      <c r="I320" s="26" t="s">
        <v>3525</v>
      </c>
    </row>
    <row r="321" spans="1:9" ht="26.4" x14ac:dyDescent="0.25">
      <c r="A321" s="17" t="s">
        <v>320</v>
      </c>
      <c r="B321" s="14" t="s">
        <v>229</v>
      </c>
      <c r="C321" s="18" t="s">
        <v>3710</v>
      </c>
      <c r="D321" s="14" t="str">
        <f t="shared" si="41"/>
        <v>1ST-358-320</v>
      </c>
      <c r="E321" s="18" t="s">
        <v>1029</v>
      </c>
      <c r="F321" s="19">
        <f t="shared" si="48"/>
        <v>56</v>
      </c>
      <c r="G321" s="19" t="str">
        <f t="shared" si="49"/>
        <v>PC</v>
      </c>
      <c r="H321" s="20" t="s">
        <v>746</v>
      </c>
      <c r="I321" s="26" t="s">
        <v>3525</v>
      </c>
    </row>
    <row r="322" spans="1:9" ht="26.4" x14ac:dyDescent="0.25">
      <c r="A322" s="17" t="s">
        <v>320</v>
      </c>
      <c r="B322" s="14" t="s">
        <v>223</v>
      </c>
      <c r="C322" s="18" t="s">
        <v>1030</v>
      </c>
      <c r="D322" s="14" t="str">
        <f t="shared" si="41"/>
        <v>1ST-358-321</v>
      </c>
      <c r="E322" s="18" t="s">
        <v>1031</v>
      </c>
      <c r="F322" s="19">
        <f t="shared" si="48"/>
        <v>6.5</v>
      </c>
      <c r="G322" s="19" t="str">
        <f t="shared" si="49"/>
        <v>PC</v>
      </c>
      <c r="H322" s="20" t="s">
        <v>746</v>
      </c>
      <c r="I322" s="26" t="s">
        <v>3525</v>
      </c>
    </row>
    <row r="323" spans="1:9" ht="26.4" x14ac:dyDescent="0.25">
      <c r="A323" s="17" t="s">
        <v>320</v>
      </c>
      <c r="B323" s="14" t="s">
        <v>223</v>
      </c>
      <c r="C323" s="18" t="s">
        <v>3711</v>
      </c>
      <c r="D323" s="14" t="str">
        <f t="shared" si="41"/>
        <v>1ST-358-322</v>
      </c>
      <c r="E323" s="18" t="s">
        <v>963</v>
      </c>
      <c r="F323" s="19">
        <f t="shared" si="48"/>
        <v>8.5</v>
      </c>
      <c r="G323" s="19" t="str">
        <f t="shared" si="49"/>
        <v>PC</v>
      </c>
      <c r="H323" s="20" t="s">
        <v>746</v>
      </c>
      <c r="I323" s="26" t="s">
        <v>3525</v>
      </c>
    </row>
    <row r="324" spans="1:9" ht="26.4" x14ac:dyDescent="0.25">
      <c r="A324" s="17" t="s">
        <v>320</v>
      </c>
      <c r="B324" s="14" t="s">
        <v>223</v>
      </c>
      <c r="C324" s="18" t="s">
        <v>3712</v>
      </c>
      <c r="D324" s="14" t="str">
        <f t="shared" si="41"/>
        <v>1ST-358-323</v>
      </c>
      <c r="E324" s="18" t="s">
        <v>1032</v>
      </c>
      <c r="F324" s="19">
        <f t="shared" si="48"/>
        <v>9.75</v>
      </c>
      <c r="G324" s="19" t="str">
        <f t="shared" si="49"/>
        <v>PC</v>
      </c>
      <c r="H324" s="20" t="s">
        <v>746</v>
      </c>
      <c r="I324" s="26" t="s">
        <v>3525</v>
      </c>
    </row>
    <row r="325" spans="1:9" ht="26.4" x14ac:dyDescent="0.25">
      <c r="A325" s="17" t="s">
        <v>320</v>
      </c>
      <c r="B325" s="14" t="s">
        <v>224</v>
      </c>
      <c r="C325" s="18" t="s">
        <v>1033</v>
      </c>
      <c r="D325" s="14" t="str">
        <f t="shared" ref="D325:D388" si="50">LEFT($D$2,FIND("-",$D$2,FIND("-",$D$2)+1)) &amp; TEXT(RIGHT($D$2,3)+ROW(D323),"000")</f>
        <v>1ST-358-324</v>
      </c>
      <c r="E325" s="18" t="s">
        <v>1034</v>
      </c>
      <c r="F325" s="19">
        <f t="shared" si="48"/>
        <v>4.25</v>
      </c>
      <c r="G325" s="19" t="str">
        <f t="shared" si="49"/>
        <v>PC</v>
      </c>
      <c r="H325" s="20" t="s">
        <v>746</v>
      </c>
      <c r="I325" s="26" t="s">
        <v>3525</v>
      </c>
    </row>
    <row r="326" spans="1:9" ht="26.4" x14ac:dyDescent="0.25">
      <c r="A326" s="17" t="s">
        <v>320</v>
      </c>
      <c r="B326" s="14" t="s">
        <v>224</v>
      </c>
      <c r="C326" s="18" t="s">
        <v>1035</v>
      </c>
      <c r="D326" s="14" t="str">
        <f t="shared" si="50"/>
        <v>1ST-358-325</v>
      </c>
      <c r="E326" s="18" t="s">
        <v>1036</v>
      </c>
      <c r="F326" s="19">
        <f t="shared" si="48"/>
        <v>5.5</v>
      </c>
      <c r="G326" s="19" t="str">
        <f t="shared" si="49"/>
        <v>PC</v>
      </c>
      <c r="H326" s="20" t="s">
        <v>746</v>
      </c>
      <c r="I326" s="26" t="s">
        <v>3525</v>
      </c>
    </row>
    <row r="327" spans="1:9" ht="26.4" x14ac:dyDescent="0.25">
      <c r="A327" s="17" t="s">
        <v>320</v>
      </c>
      <c r="B327" s="14" t="s">
        <v>224</v>
      </c>
      <c r="C327" s="18" t="s">
        <v>1037</v>
      </c>
      <c r="D327" s="14" t="str">
        <f t="shared" si="50"/>
        <v>1ST-358-326</v>
      </c>
      <c r="E327" s="18" t="s">
        <v>1032</v>
      </c>
      <c r="F327" s="19">
        <f t="shared" si="48"/>
        <v>9.75</v>
      </c>
      <c r="G327" s="19" t="str">
        <f t="shared" si="49"/>
        <v>PC</v>
      </c>
      <c r="H327" s="20" t="s">
        <v>746</v>
      </c>
      <c r="I327" s="26" t="s">
        <v>3525</v>
      </c>
    </row>
    <row r="328" spans="1:9" ht="26.4" x14ac:dyDescent="0.25">
      <c r="A328" s="17" t="s">
        <v>320</v>
      </c>
      <c r="B328" s="14" t="s">
        <v>225</v>
      </c>
      <c r="C328" s="18" t="s">
        <v>1038</v>
      </c>
      <c r="D328" s="14" t="str">
        <f t="shared" si="50"/>
        <v>1ST-358-327</v>
      </c>
      <c r="E328" s="18" t="s">
        <v>1039</v>
      </c>
      <c r="F328" s="19">
        <f t="shared" si="48"/>
        <v>3</v>
      </c>
      <c r="G328" s="19" t="str">
        <f t="shared" si="49"/>
        <v>PC</v>
      </c>
      <c r="H328" s="20" t="s">
        <v>746</v>
      </c>
      <c r="I328" s="26" t="s">
        <v>3525</v>
      </c>
    </row>
    <row r="329" spans="1:9" ht="26.4" x14ac:dyDescent="0.25">
      <c r="A329" s="17" t="s">
        <v>320</v>
      </c>
      <c r="B329" s="14" t="s">
        <v>225</v>
      </c>
      <c r="C329" s="18" t="s">
        <v>1040</v>
      </c>
      <c r="D329" s="14" t="str">
        <f t="shared" si="50"/>
        <v>1ST-358-328</v>
      </c>
      <c r="E329" s="18" t="s">
        <v>925</v>
      </c>
      <c r="F329" s="19">
        <f t="shared" si="48"/>
        <v>4</v>
      </c>
      <c r="G329" s="19" t="str">
        <f t="shared" si="49"/>
        <v>PC</v>
      </c>
      <c r="H329" s="20" t="s">
        <v>746</v>
      </c>
      <c r="I329" s="26" t="s">
        <v>3525</v>
      </c>
    </row>
    <row r="330" spans="1:9" ht="26.4" x14ac:dyDescent="0.25">
      <c r="A330" s="17" t="s">
        <v>320</v>
      </c>
      <c r="B330" s="14" t="s">
        <v>225</v>
      </c>
      <c r="C330" s="18" t="s">
        <v>1041</v>
      </c>
      <c r="D330" s="14" t="str">
        <f t="shared" si="50"/>
        <v>1ST-358-329</v>
      </c>
      <c r="E330" s="18" t="s">
        <v>1042</v>
      </c>
      <c r="F330" s="19">
        <f t="shared" si="48"/>
        <v>6.5</v>
      </c>
      <c r="G330" s="19" t="str">
        <f t="shared" si="49"/>
        <v>PC</v>
      </c>
      <c r="H330" s="20" t="s">
        <v>746</v>
      </c>
      <c r="I330" s="26" t="s">
        <v>3525</v>
      </c>
    </row>
    <row r="331" spans="1:9" ht="26.4" x14ac:dyDescent="0.25">
      <c r="A331" s="17" t="s">
        <v>320</v>
      </c>
      <c r="B331" s="14" t="s">
        <v>226</v>
      </c>
      <c r="C331" s="19" t="s">
        <v>3713</v>
      </c>
      <c r="D331" s="14" t="str">
        <f t="shared" si="50"/>
        <v>1ST-358-330</v>
      </c>
      <c r="E331" s="19" t="s">
        <v>1043</v>
      </c>
      <c r="F331" s="19">
        <f t="shared" si="48"/>
        <v>54.75</v>
      </c>
      <c r="G331" s="19" t="str">
        <f t="shared" si="49"/>
        <v>PC</v>
      </c>
      <c r="H331" s="20" t="s">
        <v>746</v>
      </c>
      <c r="I331" s="26" t="s">
        <v>3525</v>
      </c>
    </row>
    <row r="332" spans="1:9" ht="26.4" x14ac:dyDescent="0.25">
      <c r="A332" s="17" t="s">
        <v>320</v>
      </c>
      <c r="B332" s="14" t="s">
        <v>226</v>
      </c>
      <c r="C332" s="19" t="s">
        <v>1044</v>
      </c>
      <c r="D332" s="14" t="str">
        <f t="shared" si="50"/>
        <v>1ST-358-331</v>
      </c>
      <c r="E332" s="19" t="s">
        <v>1045</v>
      </c>
      <c r="F332" s="19">
        <f t="shared" si="48"/>
        <v>69.5</v>
      </c>
      <c r="G332" s="19" t="str">
        <f t="shared" si="49"/>
        <v>PC</v>
      </c>
      <c r="H332" s="20" t="s">
        <v>746</v>
      </c>
      <c r="I332" s="26" t="s">
        <v>3525</v>
      </c>
    </row>
    <row r="333" spans="1:9" ht="26.4" x14ac:dyDescent="0.25">
      <c r="A333" s="17" t="s">
        <v>320</v>
      </c>
      <c r="B333" s="14" t="s">
        <v>226</v>
      </c>
      <c r="C333" s="19" t="s">
        <v>3714</v>
      </c>
      <c r="D333" s="14" t="str">
        <f t="shared" si="50"/>
        <v>1ST-358-332</v>
      </c>
      <c r="E333" s="19" t="s">
        <v>1046</v>
      </c>
      <c r="F333" s="19">
        <f t="shared" si="48"/>
        <v>71.5</v>
      </c>
      <c r="G333" s="19" t="str">
        <f t="shared" si="49"/>
        <v>PC</v>
      </c>
      <c r="H333" s="20" t="s">
        <v>746</v>
      </c>
      <c r="I333" s="26" t="s">
        <v>3525</v>
      </c>
    </row>
    <row r="334" spans="1:9" ht="26.4" x14ac:dyDescent="0.25">
      <c r="A334" s="17" t="s">
        <v>320</v>
      </c>
      <c r="B334" s="14" t="s">
        <v>226</v>
      </c>
      <c r="C334" s="19" t="s">
        <v>3715</v>
      </c>
      <c r="D334" s="14" t="str">
        <f t="shared" si="50"/>
        <v>1ST-358-333</v>
      </c>
      <c r="E334" s="19" t="s">
        <v>1047</v>
      </c>
      <c r="F334" s="19">
        <f t="shared" si="48"/>
        <v>84</v>
      </c>
      <c r="G334" s="19" t="str">
        <f t="shared" si="49"/>
        <v>PC</v>
      </c>
      <c r="H334" s="20" t="s">
        <v>746</v>
      </c>
      <c r="I334" s="26" t="s">
        <v>3525</v>
      </c>
    </row>
    <row r="335" spans="1:9" ht="26.4" x14ac:dyDescent="0.25">
      <c r="A335" s="17" t="s">
        <v>320</v>
      </c>
      <c r="B335" s="14" t="s">
        <v>226</v>
      </c>
      <c r="C335" s="19" t="s">
        <v>1048</v>
      </c>
      <c r="D335" s="14" t="str">
        <f t="shared" si="50"/>
        <v>1ST-358-334</v>
      </c>
      <c r="E335" s="19" t="s">
        <v>1049</v>
      </c>
      <c r="F335" s="19">
        <f t="shared" si="48"/>
        <v>89.5</v>
      </c>
      <c r="G335" s="19" t="str">
        <f t="shared" si="49"/>
        <v>PC</v>
      </c>
      <c r="H335" s="20" t="s">
        <v>746</v>
      </c>
      <c r="I335" s="26" t="s">
        <v>3525</v>
      </c>
    </row>
    <row r="336" spans="1:9" ht="26.4" x14ac:dyDescent="0.25">
      <c r="A336" s="17" t="s">
        <v>320</v>
      </c>
      <c r="B336" s="14" t="s">
        <v>226</v>
      </c>
      <c r="C336" s="19" t="s">
        <v>3716</v>
      </c>
      <c r="D336" s="14" t="str">
        <f t="shared" si="50"/>
        <v>1ST-358-335</v>
      </c>
      <c r="E336" s="19" t="s">
        <v>1020</v>
      </c>
      <c r="F336" s="19">
        <f t="shared" si="48"/>
        <v>143</v>
      </c>
      <c r="G336" s="19" t="str">
        <f t="shared" si="49"/>
        <v>PC</v>
      </c>
      <c r="H336" s="20" t="s">
        <v>746</v>
      </c>
      <c r="I336" s="26" t="s">
        <v>3525</v>
      </c>
    </row>
    <row r="337" spans="1:9" ht="26.4" x14ac:dyDescent="0.25">
      <c r="A337" s="17" t="s">
        <v>320</v>
      </c>
      <c r="B337" s="14" t="s">
        <v>226</v>
      </c>
      <c r="C337" s="19" t="s">
        <v>1050</v>
      </c>
      <c r="D337" s="14" t="str">
        <f t="shared" si="50"/>
        <v>1ST-358-336</v>
      </c>
      <c r="E337" s="19" t="s">
        <v>1051</v>
      </c>
      <c r="F337" s="19">
        <f t="shared" si="48"/>
        <v>196</v>
      </c>
      <c r="G337" s="19" t="str">
        <f t="shared" si="49"/>
        <v>PC</v>
      </c>
      <c r="H337" s="20" t="s">
        <v>746</v>
      </c>
      <c r="I337" s="26" t="s">
        <v>3525</v>
      </c>
    </row>
    <row r="338" spans="1:9" ht="26.4" x14ac:dyDescent="0.25">
      <c r="A338" s="17" t="s">
        <v>320</v>
      </c>
      <c r="B338" s="14" t="s">
        <v>219</v>
      </c>
      <c r="C338" s="18" t="s">
        <v>1052</v>
      </c>
      <c r="D338" s="14" t="str">
        <f t="shared" si="50"/>
        <v>1ST-358-337</v>
      </c>
      <c r="E338" s="18" t="s">
        <v>1053</v>
      </c>
      <c r="F338" s="19">
        <f t="shared" si="48"/>
        <v>70.5</v>
      </c>
      <c r="G338" s="19" t="str">
        <f t="shared" si="49"/>
        <v>PC</v>
      </c>
      <c r="H338" s="20" t="s">
        <v>746</v>
      </c>
      <c r="I338" s="26" t="s">
        <v>3525</v>
      </c>
    </row>
    <row r="339" spans="1:9" ht="26.4" x14ac:dyDescent="0.25">
      <c r="A339" s="17" t="s">
        <v>320</v>
      </c>
      <c r="B339" s="14" t="s">
        <v>219</v>
      </c>
      <c r="C339" s="18" t="s">
        <v>1054</v>
      </c>
      <c r="D339" s="14" t="str">
        <f t="shared" si="50"/>
        <v>1ST-358-338</v>
      </c>
      <c r="E339" s="18" t="s">
        <v>1055</v>
      </c>
      <c r="F339" s="19">
        <f t="shared" si="48"/>
        <v>95.25</v>
      </c>
      <c r="G339" s="19" t="str">
        <f t="shared" si="49"/>
        <v>PC</v>
      </c>
      <c r="H339" s="20" t="s">
        <v>746</v>
      </c>
      <c r="I339" s="26" t="s">
        <v>3525</v>
      </c>
    </row>
    <row r="340" spans="1:9" ht="26.4" x14ac:dyDescent="0.25">
      <c r="A340" s="17" t="s">
        <v>320</v>
      </c>
      <c r="B340" s="14" t="s">
        <v>219</v>
      </c>
      <c r="C340" s="18" t="s">
        <v>1056</v>
      </c>
      <c r="D340" s="14" t="str">
        <f t="shared" si="50"/>
        <v>1ST-358-339</v>
      </c>
      <c r="E340" s="18" t="s">
        <v>1057</v>
      </c>
      <c r="F340" s="19">
        <f t="shared" si="48"/>
        <v>81.75</v>
      </c>
      <c r="G340" s="19" t="str">
        <f t="shared" si="49"/>
        <v>PC</v>
      </c>
      <c r="H340" s="20" t="s">
        <v>746</v>
      </c>
      <c r="I340" s="26" t="s">
        <v>3525</v>
      </c>
    </row>
    <row r="341" spans="1:9" ht="26.4" x14ac:dyDescent="0.25">
      <c r="A341" s="17" t="s">
        <v>320</v>
      </c>
      <c r="B341" s="14" t="s">
        <v>219</v>
      </c>
      <c r="C341" s="18" t="s">
        <v>1058</v>
      </c>
      <c r="D341" s="14" t="str">
        <f t="shared" si="50"/>
        <v>1ST-358-340</v>
      </c>
      <c r="E341" s="18" t="s">
        <v>1059</v>
      </c>
      <c r="F341" s="19">
        <f t="shared" si="48"/>
        <v>104</v>
      </c>
      <c r="G341" s="19" t="str">
        <f t="shared" si="49"/>
        <v>PC</v>
      </c>
      <c r="H341" s="20" t="s">
        <v>746</v>
      </c>
      <c r="I341" s="26" t="s">
        <v>3525</v>
      </c>
    </row>
    <row r="342" spans="1:9" ht="26.4" x14ac:dyDescent="0.25">
      <c r="A342" s="17" t="s">
        <v>320</v>
      </c>
      <c r="B342" s="14" t="s">
        <v>219</v>
      </c>
      <c r="C342" s="18" t="s">
        <v>1060</v>
      </c>
      <c r="D342" s="14" t="str">
        <f t="shared" si="50"/>
        <v>1ST-358-341</v>
      </c>
      <c r="E342" s="18" t="s">
        <v>655</v>
      </c>
      <c r="F342" s="19">
        <f t="shared" si="48"/>
        <v>95</v>
      </c>
      <c r="G342" s="19" t="str">
        <f t="shared" si="49"/>
        <v>PC</v>
      </c>
      <c r="H342" s="20" t="s">
        <v>746</v>
      </c>
      <c r="I342" s="26" t="s">
        <v>3525</v>
      </c>
    </row>
    <row r="343" spans="1:9" ht="26.4" x14ac:dyDescent="0.25">
      <c r="A343" s="17" t="s">
        <v>320</v>
      </c>
      <c r="B343" s="14" t="s">
        <v>219</v>
      </c>
      <c r="C343" s="18" t="s">
        <v>1061</v>
      </c>
      <c r="D343" s="14" t="str">
        <f t="shared" si="50"/>
        <v>1ST-358-342</v>
      </c>
      <c r="E343" s="18" t="s">
        <v>681</v>
      </c>
      <c r="F343" s="19">
        <f t="shared" si="48"/>
        <v>162</v>
      </c>
      <c r="G343" s="19" t="str">
        <f t="shared" si="49"/>
        <v>PC</v>
      </c>
      <c r="H343" s="20" t="s">
        <v>746</v>
      </c>
      <c r="I343" s="26" t="s">
        <v>3525</v>
      </c>
    </row>
    <row r="344" spans="1:9" ht="26.4" x14ac:dyDescent="0.25">
      <c r="A344" s="17" t="s">
        <v>320</v>
      </c>
      <c r="B344" s="14" t="s">
        <v>219</v>
      </c>
      <c r="C344" s="18" t="s">
        <v>1062</v>
      </c>
      <c r="D344" s="14" t="str">
        <f t="shared" si="50"/>
        <v>1ST-358-343</v>
      </c>
      <c r="E344" s="18" t="s">
        <v>1063</v>
      </c>
      <c r="F344" s="19">
        <f t="shared" si="48"/>
        <v>246</v>
      </c>
      <c r="G344" s="19" t="str">
        <f t="shared" si="49"/>
        <v>PC</v>
      </c>
      <c r="H344" s="20" t="s">
        <v>746</v>
      </c>
      <c r="I344" s="26" t="s">
        <v>3525</v>
      </c>
    </row>
    <row r="345" spans="1:9" ht="26.4" x14ac:dyDescent="0.25">
      <c r="A345" s="17" t="s">
        <v>320</v>
      </c>
      <c r="B345" s="14" t="s">
        <v>220</v>
      </c>
      <c r="C345" s="18" t="s">
        <v>1064</v>
      </c>
      <c r="D345" s="14" t="str">
        <f t="shared" si="50"/>
        <v>1ST-358-344</v>
      </c>
      <c r="E345" s="18" t="s">
        <v>1065</v>
      </c>
      <c r="F345" s="19">
        <f t="shared" si="48"/>
        <v>7.25</v>
      </c>
      <c r="G345" s="19" t="str">
        <f t="shared" si="49"/>
        <v>PC</v>
      </c>
      <c r="H345" s="20" t="s">
        <v>746</v>
      </c>
      <c r="I345" s="26" t="s">
        <v>3525</v>
      </c>
    </row>
    <row r="346" spans="1:9" ht="26.4" x14ac:dyDescent="0.25">
      <c r="A346" s="17" t="s">
        <v>320</v>
      </c>
      <c r="B346" s="14" t="s">
        <v>220</v>
      </c>
      <c r="C346" s="18" t="s">
        <v>1066</v>
      </c>
      <c r="D346" s="14" t="str">
        <f t="shared" si="50"/>
        <v>1ST-358-345</v>
      </c>
      <c r="E346" s="18" t="s">
        <v>1067</v>
      </c>
      <c r="F346" s="19">
        <f t="shared" si="48"/>
        <v>11.25</v>
      </c>
      <c r="G346" s="19" t="str">
        <f t="shared" si="49"/>
        <v>PC</v>
      </c>
      <c r="H346" s="20" t="s">
        <v>746</v>
      </c>
      <c r="I346" s="26" t="s">
        <v>3525</v>
      </c>
    </row>
    <row r="347" spans="1:9" ht="26.4" x14ac:dyDescent="0.25">
      <c r="A347" s="17" t="s">
        <v>320</v>
      </c>
      <c r="B347" s="14" t="s">
        <v>220</v>
      </c>
      <c r="C347" s="18" t="s">
        <v>1068</v>
      </c>
      <c r="D347" s="14" t="str">
        <f t="shared" si="50"/>
        <v>1ST-358-346</v>
      </c>
      <c r="E347" s="18" t="s">
        <v>1069</v>
      </c>
      <c r="F347" s="19">
        <f t="shared" si="48"/>
        <v>20.75</v>
      </c>
      <c r="G347" s="19" t="str">
        <f t="shared" si="49"/>
        <v>PC</v>
      </c>
      <c r="H347" s="20" t="s">
        <v>746</v>
      </c>
      <c r="I347" s="26" t="s">
        <v>3525</v>
      </c>
    </row>
    <row r="348" spans="1:9" ht="26.4" x14ac:dyDescent="0.25">
      <c r="A348" s="17" t="s">
        <v>320</v>
      </c>
      <c r="B348" s="14" t="s">
        <v>220</v>
      </c>
      <c r="C348" s="18" t="s">
        <v>1070</v>
      </c>
      <c r="D348" s="14" t="str">
        <f t="shared" si="50"/>
        <v>1ST-358-347</v>
      </c>
      <c r="E348" s="18" t="s">
        <v>904</v>
      </c>
      <c r="F348" s="19">
        <f t="shared" si="48"/>
        <v>33</v>
      </c>
      <c r="G348" s="19" t="str">
        <f t="shared" si="49"/>
        <v>PC</v>
      </c>
      <c r="H348" s="20" t="s">
        <v>746</v>
      </c>
      <c r="I348" s="26" t="s">
        <v>3525</v>
      </c>
    </row>
    <row r="349" spans="1:9" ht="26.4" x14ac:dyDescent="0.25">
      <c r="A349" s="17" t="s">
        <v>320</v>
      </c>
      <c r="B349" s="14" t="s">
        <v>220</v>
      </c>
      <c r="C349" s="18" t="s">
        <v>1071</v>
      </c>
      <c r="D349" s="14" t="str">
        <f t="shared" si="50"/>
        <v>1ST-358-348</v>
      </c>
      <c r="E349" s="18" t="s">
        <v>1072</v>
      </c>
      <c r="F349" s="19">
        <f t="shared" si="48"/>
        <v>61.5</v>
      </c>
      <c r="G349" s="19" t="str">
        <f t="shared" si="49"/>
        <v>PC</v>
      </c>
      <c r="H349" s="20" t="s">
        <v>746</v>
      </c>
      <c r="I349" s="26" t="s">
        <v>3525</v>
      </c>
    </row>
    <row r="350" spans="1:9" ht="26.4" x14ac:dyDescent="0.25">
      <c r="A350" s="17" t="s">
        <v>320</v>
      </c>
      <c r="B350" s="14" t="s">
        <v>220</v>
      </c>
      <c r="C350" s="18" t="s">
        <v>1073</v>
      </c>
      <c r="D350" s="14" t="str">
        <f t="shared" si="50"/>
        <v>1ST-358-349</v>
      </c>
      <c r="E350" s="18" t="s">
        <v>1074</v>
      </c>
      <c r="F350" s="19">
        <f t="shared" si="48"/>
        <v>116</v>
      </c>
      <c r="G350" s="19" t="str">
        <f t="shared" si="49"/>
        <v>PC</v>
      </c>
      <c r="H350" s="20" t="s">
        <v>746</v>
      </c>
      <c r="I350" s="26" t="s">
        <v>3525</v>
      </c>
    </row>
    <row r="351" spans="1:9" ht="26.4" x14ac:dyDescent="0.25">
      <c r="A351" s="17" t="s">
        <v>320</v>
      </c>
      <c r="B351" s="14" t="s">
        <v>221</v>
      </c>
      <c r="C351" s="18" t="s">
        <v>3717</v>
      </c>
      <c r="D351" s="14" t="str">
        <f t="shared" si="50"/>
        <v>1ST-358-350</v>
      </c>
      <c r="E351" s="18" t="s">
        <v>1075</v>
      </c>
      <c r="F351" s="19">
        <f t="shared" si="48"/>
        <v>12.25</v>
      </c>
      <c r="G351" s="19" t="str">
        <f t="shared" si="49"/>
        <v>PC</v>
      </c>
      <c r="H351" s="20" t="s">
        <v>746</v>
      </c>
      <c r="I351" s="26" t="s">
        <v>3525</v>
      </c>
    </row>
    <row r="352" spans="1:9" ht="26.4" x14ac:dyDescent="0.25">
      <c r="A352" s="17" t="s">
        <v>320</v>
      </c>
      <c r="B352" s="14" t="s">
        <v>221</v>
      </c>
      <c r="C352" s="18" t="s">
        <v>3718</v>
      </c>
      <c r="D352" s="14" t="str">
        <f t="shared" si="50"/>
        <v>1ST-358-351</v>
      </c>
      <c r="E352" s="18" t="s">
        <v>1076</v>
      </c>
      <c r="F352" s="19">
        <f t="shared" si="48"/>
        <v>15.75</v>
      </c>
      <c r="G352" s="19" t="str">
        <f t="shared" si="49"/>
        <v>PC</v>
      </c>
      <c r="H352" s="20" t="s">
        <v>746</v>
      </c>
      <c r="I352" s="26" t="s">
        <v>3525</v>
      </c>
    </row>
    <row r="353" spans="1:9" ht="26.4" x14ac:dyDescent="0.25">
      <c r="A353" s="17" t="s">
        <v>320</v>
      </c>
      <c r="B353" s="14" t="s">
        <v>221</v>
      </c>
      <c r="C353" s="18" t="s">
        <v>3719</v>
      </c>
      <c r="D353" s="14" t="str">
        <f t="shared" si="50"/>
        <v>1ST-358-352</v>
      </c>
      <c r="E353" s="18" t="s">
        <v>1069</v>
      </c>
      <c r="F353" s="19">
        <f t="shared" si="48"/>
        <v>20.75</v>
      </c>
      <c r="G353" s="19" t="str">
        <f t="shared" si="49"/>
        <v>PC</v>
      </c>
      <c r="H353" s="20" t="s">
        <v>746</v>
      </c>
      <c r="I353" s="26" t="s">
        <v>3525</v>
      </c>
    </row>
    <row r="354" spans="1:9" ht="26.4" x14ac:dyDescent="0.25">
      <c r="A354" s="17" t="s">
        <v>320</v>
      </c>
      <c r="B354" s="14" t="s">
        <v>222</v>
      </c>
      <c r="C354" s="18" t="s">
        <v>1077</v>
      </c>
      <c r="D354" s="14" t="str">
        <f t="shared" si="50"/>
        <v>1ST-358-353</v>
      </c>
      <c r="E354" s="18" t="s">
        <v>1078</v>
      </c>
      <c r="F354" s="19">
        <f t="shared" si="48"/>
        <v>3.75</v>
      </c>
      <c r="G354" s="19" t="str">
        <f t="shared" si="49"/>
        <v>PC</v>
      </c>
      <c r="H354" s="20" t="s">
        <v>746</v>
      </c>
      <c r="I354" s="26" t="s">
        <v>3525</v>
      </c>
    </row>
    <row r="355" spans="1:9" ht="26.4" x14ac:dyDescent="0.25">
      <c r="A355" s="17" t="s">
        <v>320</v>
      </c>
      <c r="B355" s="14" t="s">
        <v>222</v>
      </c>
      <c r="C355" s="18" t="s">
        <v>1079</v>
      </c>
      <c r="D355" s="14" t="str">
        <f t="shared" si="50"/>
        <v>1ST-358-354</v>
      </c>
      <c r="E355" s="18" t="s">
        <v>621</v>
      </c>
      <c r="F355" s="19">
        <f t="shared" si="48"/>
        <v>4.5</v>
      </c>
      <c r="G355" s="19" t="str">
        <f t="shared" si="49"/>
        <v>PC</v>
      </c>
      <c r="H355" s="20" t="s">
        <v>746</v>
      </c>
      <c r="I355" s="26" t="s">
        <v>3525</v>
      </c>
    </row>
    <row r="356" spans="1:9" ht="26.4" x14ac:dyDescent="0.25">
      <c r="A356" s="17" t="s">
        <v>320</v>
      </c>
      <c r="B356" s="14" t="s">
        <v>222</v>
      </c>
      <c r="C356" s="18" t="s">
        <v>1080</v>
      </c>
      <c r="D356" s="14" t="str">
        <f t="shared" si="50"/>
        <v>1ST-358-355</v>
      </c>
      <c r="E356" s="18" t="s">
        <v>927</v>
      </c>
      <c r="F356" s="19">
        <f t="shared" si="48"/>
        <v>6</v>
      </c>
      <c r="G356" s="19" t="str">
        <f t="shared" si="49"/>
        <v>PC</v>
      </c>
      <c r="H356" s="20" t="s">
        <v>746</v>
      </c>
      <c r="I356" s="26" t="s">
        <v>3525</v>
      </c>
    </row>
    <row r="357" spans="1:9" ht="26.4" x14ac:dyDescent="0.25">
      <c r="A357" s="17" t="s">
        <v>320</v>
      </c>
      <c r="B357" s="14" t="s">
        <v>216</v>
      </c>
      <c r="C357" s="18" t="s">
        <v>1081</v>
      </c>
      <c r="D357" s="14" t="str">
        <f t="shared" si="50"/>
        <v>1ST-358-356</v>
      </c>
      <c r="E357" s="18" t="s">
        <v>1082</v>
      </c>
      <c r="F357" s="19">
        <f t="shared" si="48"/>
        <v>229</v>
      </c>
      <c r="G357" s="19" t="str">
        <f t="shared" si="49"/>
        <v>PC</v>
      </c>
      <c r="H357" s="20" t="s">
        <v>746</v>
      </c>
      <c r="I357" s="26" t="s">
        <v>3525</v>
      </c>
    </row>
    <row r="358" spans="1:9" ht="26.4" x14ac:dyDescent="0.25">
      <c r="A358" s="17" t="s">
        <v>320</v>
      </c>
      <c r="B358" s="14" t="s">
        <v>216</v>
      </c>
      <c r="C358" s="18" t="s">
        <v>1083</v>
      </c>
      <c r="D358" s="14" t="str">
        <f t="shared" si="50"/>
        <v>1ST-358-357</v>
      </c>
      <c r="E358" s="18" t="s">
        <v>1084</v>
      </c>
      <c r="F358" s="19">
        <f t="shared" si="48"/>
        <v>308</v>
      </c>
      <c r="G358" s="19" t="str">
        <f t="shared" si="49"/>
        <v>PC</v>
      </c>
      <c r="H358" s="20" t="s">
        <v>746</v>
      </c>
      <c r="I358" s="26" t="s">
        <v>3525</v>
      </c>
    </row>
    <row r="359" spans="1:9" ht="26.4" x14ac:dyDescent="0.25">
      <c r="A359" s="17" t="s">
        <v>320</v>
      </c>
      <c r="B359" s="14" t="s">
        <v>216</v>
      </c>
      <c r="C359" s="18" t="s">
        <v>3720</v>
      </c>
      <c r="D359" s="14" t="str">
        <f t="shared" si="50"/>
        <v>1ST-358-358</v>
      </c>
      <c r="E359" s="18" t="s">
        <v>1085</v>
      </c>
      <c r="F359" s="19">
        <f t="shared" si="48"/>
        <v>532</v>
      </c>
      <c r="G359" s="19" t="str">
        <f t="shared" si="49"/>
        <v>PC</v>
      </c>
      <c r="H359" s="20" t="s">
        <v>746</v>
      </c>
      <c r="I359" s="26" t="s">
        <v>3525</v>
      </c>
    </row>
    <row r="360" spans="1:9" ht="26.4" x14ac:dyDescent="0.25">
      <c r="A360" s="17" t="s">
        <v>320</v>
      </c>
      <c r="B360" s="14" t="s">
        <v>216</v>
      </c>
      <c r="C360" s="18" t="s">
        <v>1086</v>
      </c>
      <c r="D360" s="14" t="str">
        <f t="shared" si="50"/>
        <v>1ST-358-359</v>
      </c>
      <c r="E360" s="18" t="s">
        <v>1087</v>
      </c>
      <c r="F360" s="19">
        <f t="shared" ref="F360:F423" si="51">VALUE(LEFT(E360,FIND("/",E360)-1))</f>
        <v>599</v>
      </c>
      <c r="G360" s="19" t="str">
        <f t="shared" ref="G360:G423" si="52">TRIM(MID(E360,FIND("/",E360)+1,LEN(E360)))</f>
        <v>PC</v>
      </c>
      <c r="H360" s="20" t="s">
        <v>746</v>
      </c>
      <c r="I360" s="26" t="s">
        <v>3525</v>
      </c>
    </row>
    <row r="361" spans="1:9" ht="26.4" x14ac:dyDescent="0.25">
      <c r="A361" s="17" t="s">
        <v>320</v>
      </c>
      <c r="B361" s="14" t="s">
        <v>216</v>
      </c>
      <c r="C361" s="18" t="s">
        <v>1088</v>
      </c>
      <c r="D361" s="14" t="str">
        <f t="shared" si="50"/>
        <v>1ST-358-360</v>
      </c>
      <c r="E361" s="18" t="s">
        <v>1089</v>
      </c>
      <c r="F361" s="19">
        <f t="shared" si="51"/>
        <v>884</v>
      </c>
      <c r="G361" s="19" t="str">
        <f t="shared" si="52"/>
        <v>PC</v>
      </c>
      <c r="H361" s="20" t="s">
        <v>746</v>
      </c>
      <c r="I361" s="26" t="s">
        <v>3525</v>
      </c>
    </row>
    <row r="362" spans="1:9" ht="26.4" x14ac:dyDescent="0.25">
      <c r="A362" s="17" t="s">
        <v>320</v>
      </c>
      <c r="B362" s="14" t="s">
        <v>216</v>
      </c>
      <c r="C362" s="18" t="s">
        <v>1090</v>
      </c>
      <c r="D362" s="14" t="str">
        <f t="shared" si="50"/>
        <v>1ST-358-361</v>
      </c>
      <c r="E362" s="18" t="s">
        <v>1091</v>
      </c>
      <c r="F362" s="19">
        <f t="shared" si="51"/>
        <v>1344</v>
      </c>
      <c r="G362" s="19" t="str">
        <f t="shared" si="52"/>
        <v>PC</v>
      </c>
      <c r="H362" s="20" t="s">
        <v>746</v>
      </c>
      <c r="I362" s="26" t="s">
        <v>3525</v>
      </c>
    </row>
    <row r="363" spans="1:9" ht="26.4" x14ac:dyDescent="0.25">
      <c r="A363" s="17" t="s">
        <v>320</v>
      </c>
      <c r="B363" s="14" t="s">
        <v>217</v>
      </c>
      <c r="C363" s="18" t="s">
        <v>3625</v>
      </c>
      <c r="D363" s="14" t="str">
        <f t="shared" si="50"/>
        <v>1ST-358-362</v>
      </c>
      <c r="E363" s="18" t="s">
        <v>1092</v>
      </c>
      <c r="F363" s="19">
        <f t="shared" si="51"/>
        <v>59.5</v>
      </c>
      <c r="G363" s="19" t="str">
        <f t="shared" si="52"/>
        <v>PC</v>
      </c>
      <c r="H363" s="20" t="s">
        <v>746</v>
      </c>
      <c r="I363" s="26" t="s">
        <v>3525</v>
      </c>
    </row>
    <row r="364" spans="1:9" ht="26.4" x14ac:dyDescent="0.25">
      <c r="A364" s="17" t="s">
        <v>320</v>
      </c>
      <c r="B364" s="14" t="s">
        <v>217</v>
      </c>
      <c r="C364" s="18" t="s">
        <v>3628</v>
      </c>
      <c r="D364" s="14" t="str">
        <f t="shared" si="50"/>
        <v>1ST-358-363</v>
      </c>
      <c r="E364" s="18" t="s">
        <v>1093</v>
      </c>
      <c r="F364" s="19">
        <f t="shared" si="51"/>
        <v>82.25</v>
      </c>
      <c r="G364" s="19" t="str">
        <f t="shared" si="52"/>
        <v>PC</v>
      </c>
      <c r="H364" s="20" t="s">
        <v>746</v>
      </c>
      <c r="I364" s="26" t="s">
        <v>3525</v>
      </c>
    </row>
    <row r="365" spans="1:9" ht="26.4" x14ac:dyDescent="0.25">
      <c r="A365" s="17" t="s">
        <v>320</v>
      </c>
      <c r="B365" s="14" t="s">
        <v>217</v>
      </c>
      <c r="C365" s="18" t="s">
        <v>3627</v>
      </c>
      <c r="D365" s="14" t="str">
        <f t="shared" si="50"/>
        <v>1ST-358-364</v>
      </c>
      <c r="E365" s="18" t="s">
        <v>1093</v>
      </c>
      <c r="F365" s="19">
        <f t="shared" si="51"/>
        <v>82.25</v>
      </c>
      <c r="G365" s="19" t="str">
        <f t="shared" si="52"/>
        <v>PC</v>
      </c>
      <c r="H365" s="20" t="s">
        <v>746</v>
      </c>
      <c r="I365" s="26" t="s">
        <v>3525</v>
      </c>
    </row>
    <row r="366" spans="1:9" ht="26.4" x14ac:dyDescent="0.25">
      <c r="A366" s="17" t="s">
        <v>320</v>
      </c>
      <c r="B366" s="14" t="s">
        <v>217</v>
      </c>
      <c r="C366" s="18" t="s">
        <v>3626</v>
      </c>
      <c r="D366" s="14" t="str">
        <f t="shared" si="50"/>
        <v>1ST-358-365</v>
      </c>
      <c r="E366" s="18" t="s">
        <v>1047</v>
      </c>
      <c r="F366" s="19">
        <f t="shared" si="51"/>
        <v>84</v>
      </c>
      <c r="G366" s="19" t="str">
        <f t="shared" si="52"/>
        <v>PC</v>
      </c>
      <c r="H366" s="20" t="s">
        <v>746</v>
      </c>
      <c r="I366" s="26" t="s">
        <v>3525</v>
      </c>
    </row>
    <row r="367" spans="1:9" ht="26.4" x14ac:dyDescent="0.25">
      <c r="A367" s="17" t="s">
        <v>320</v>
      </c>
      <c r="B367" s="14" t="s">
        <v>217</v>
      </c>
      <c r="C367" s="18" t="s">
        <v>1094</v>
      </c>
      <c r="D367" s="14" t="str">
        <f t="shared" si="50"/>
        <v>1ST-358-366</v>
      </c>
      <c r="E367" s="18" t="s">
        <v>1049</v>
      </c>
      <c r="F367" s="19">
        <f t="shared" si="51"/>
        <v>89.5</v>
      </c>
      <c r="G367" s="19" t="str">
        <f t="shared" si="52"/>
        <v>PC</v>
      </c>
      <c r="H367" s="20" t="s">
        <v>746</v>
      </c>
      <c r="I367" s="26" t="s">
        <v>3525</v>
      </c>
    </row>
    <row r="368" spans="1:9" ht="26.4" x14ac:dyDescent="0.25">
      <c r="A368" s="17" t="s">
        <v>320</v>
      </c>
      <c r="B368" s="14" t="s">
        <v>217</v>
      </c>
      <c r="C368" s="18" t="s">
        <v>1095</v>
      </c>
      <c r="D368" s="14" t="str">
        <f t="shared" si="50"/>
        <v>1ST-358-367</v>
      </c>
      <c r="E368" s="18" t="s">
        <v>628</v>
      </c>
      <c r="F368" s="19">
        <f t="shared" si="51"/>
        <v>109</v>
      </c>
      <c r="G368" s="19" t="str">
        <f t="shared" si="52"/>
        <v>PC</v>
      </c>
      <c r="H368" s="20" t="s">
        <v>746</v>
      </c>
      <c r="I368" s="26" t="s">
        <v>3525</v>
      </c>
    </row>
    <row r="369" spans="1:9" ht="26.4" x14ac:dyDescent="0.25">
      <c r="A369" s="17" t="s">
        <v>320</v>
      </c>
      <c r="B369" s="14" t="s">
        <v>217</v>
      </c>
      <c r="C369" s="18" t="s">
        <v>1096</v>
      </c>
      <c r="D369" s="14" t="str">
        <f t="shared" si="50"/>
        <v>1ST-358-368</v>
      </c>
      <c r="E369" s="18" t="s">
        <v>1097</v>
      </c>
      <c r="F369" s="19">
        <f t="shared" si="51"/>
        <v>207</v>
      </c>
      <c r="G369" s="19" t="str">
        <f t="shared" si="52"/>
        <v>PC</v>
      </c>
      <c r="H369" s="20" t="s">
        <v>746</v>
      </c>
      <c r="I369" s="26" t="s">
        <v>3525</v>
      </c>
    </row>
    <row r="370" spans="1:9" ht="26.4" x14ac:dyDescent="0.25">
      <c r="A370" s="17" t="s">
        <v>320</v>
      </c>
      <c r="B370" s="14" t="s">
        <v>218</v>
      </c>
      <c r="C370" s="18" t="s">
        <v>3721</v>
      </c>
      <c r="D370" s="14" t="str">
        <f t="shared" si="50"/>
        <v>1ST-358-369</v>
      </c>
      <c r="E370" s="18" t="s">
        <v>1011</v>
      </c>
      <c r="F370" s="19">
        <f t="shared" si="51"/>
        <v>76.25</v>
      </c>
      <c r="G370" s="19" t="str">
        <f t="shared" si="52"/>
        <v>PC</v>
      </c>
      <c r="H370" s="20" t="s">
        <v>746</v>
      </c>
      <c r="I370" s="26" t="s">
        <v>3525</v>
      </c>
    </row>
    <row r="371" spans="1:9" ht="26.4" x14ac:dyDescent="0.25">
      <c r="A371" s="17" t="s">
        <v>320</v>
      </c>
      <c r="B371" s="14" t="s">
        <v>218</v>
      </c>
      <c r="C371" s="18" t="s">
        <v>1098</v>
      </c>
      <c r="D371" s="14" t="str">
        <f t="shared" si="50"/>
        <v>1ST-358-370</v>
      </c>
      <c r="E371" s="18" t="s">
        <v>1099</v>
      </c>
      <c r="F371" s="19">
        <f t="shared" si="51"/>
        <v>98.5</v>
      </c>
      <c r="G371" s="19" t="str">
        <f t="shared" si="52"/>
        <v>PC</v>
      </c>
      <c r="H371" s="20" t="s">
        <v>746</v>
      </c>
      <c r="I371" s="26" t="s">
        <v>3525</v>
      </c>
    </row>
    <row r="372" spans="1:9" ht="26.4" x14ac:dyDescent="0.25">
      <c r="A372" s="17" t="s">
        <v>320</v>
      </c>
      <c r="B372" s="14" t="s">
        <v>218</v>
      </c>
      <c r="C372" s="18" t="s">
        <v>3722</v>
      </c>
      <c r="D372" s="14" t="str">
        <f t="shared" si="50"/>
        <v>1ST-358-371</v>
      </c>
      <c r="E372" s="18" t="s">
        <v>1055</v>
      </c>
      <c r="F372" s="19">
        <f t="shared" si="51"/>
        <v>95.25</v>
      </c>
      <c r="G372" s="19" t="str">
        <f t="shared" si="52"/>
        <v>PC</v>
      </c>
      <c r="H372" s="20" t="s">
        <v>746</v>
      </c>
      <c r="I372" s="26" t="s">
        <v>3525</v>
      </c>
    </row>
    <row r="373" spans="1:9" ht="26.4" x14ac:dyDescent="0.25">
      <c r="A373" s="17" t="s">
        <v>320</v>
      </c>
      <c r="B373" s="14" t="s">
        <v>218</v>
      </c>
      <c r="C373" s="18" t="s">
        <v>3723</v>
      </c>
      <c r="D373" s="14" t="str">
        <f t="shared" si="50"/>
        <v>1ST-358-372</v>
      </c>
      <c r="E373" s="18" t="s">
        <v>1100</v>
      </c>
      <c r="F373" s="19">
        <f t="shared" si="51"/>
        <v>105</v>
      </c>
      <c r="G373" s="19" t="str">
        <f t="shared" si="52"/>
        <v>PC</v>
      </c>
      <c r="H373" s="20" t="s">
        <v>746</v>
      </c>
      <c r="I373" s="26" t="s">
        <v>3525</v>
      </c>
    </row>
    <row r="374" spans="1:9" ht="26.4" x14ac:dyDescent="0.25">
      <c r="A374" s="17" t="s">
        <v>320</v>
      </c>
      <c r="B374" s="14" t="s">
        <v>218</v>
      </c>
      <c r="C374" s="18" t="s">
        <v>1101</v>
      </c>
      <c r="D374" s="14" t="str">
        <f t="shared" si="50"/>
        <v>1ST-358-373</v>
      </c>
      <c r="E374" s="18" t="s">
        <v>977</v>
      </c>
      <c r="F374" s="19">
        <f t="shared" si="51"/>
        <v>100</v>
      </c>
      <c r="G374" s="19" t="str">
        <f t="shared" si="52"/>
        <v>PC</v>
      </c>
      <c r="H374" s="20" t="s">
        <v>746</v>
      </c>
      <c r="I374" s="26" t="s">
        <v>3525</v>
      </c>
    </row>
    <row r="375" spans="1:9" ht="26.4" x14ac:dyDescent="0.25">
      <c r="A375" s="17" t="s">
        <v>320</v>
      </c>
      <c r="B375" s="14" t="s">
        <v>218</v>
      </c>
      <c r="C375" s="18" t="s">
        <v>3724</v>
      </c>
      <c r="D375" s="14" t="str">
        <f t="shared" si="50"/>
        <v>1ST-358-374</v>
      </c>
      <c r="E375" s="18" t="s">
        <v>449</v>
      </c>
      <c r="F375" s="19">
        <f t="shared" si="51"/>
        <v>168</v>
      </c>
      <c r="G375" s="19" t="str">
        <f t="shared" si="52"/>
        <v>PC</v>
      </c>
      <c r="H375" s="20" t="s">
        <v>746</v>
      </c>
      <c r="I375" s="26" t="s">
        <v>3525</v>
      </c>
    </row>
    <row r="376" spans="1:9" ht="26.4" x14ac:dyDescent="0.25">
      <c r="A376" s="17" t="s">
        <v>320</v>
      </c>
      <c r="B376" s="14" t="s">
        <v>218</v>
      </c>
      <c r="C376" s="18" t="s">
        <v>1102</v>
      </c>
      <c r="D376" s="14" t="str">
        <f t="shared" si="50"/>
        <v>1ST-358-375</v>
      </c>
      <c r="E376" s="18" t="s">
        <v>897</v>
      </c>
      <c r="F376" s="19">
        <f t="shared" si="51"/>
        <v>265</v>
      </c>
      <c r="G376" s="19" t="str">
        <f t="shared" si="52"/>
        <v>PC</v>
      </c>
      <c r="H376" s="20" t="s">
        <v>746</v>
      </c>
      <c r="I376" s="26" t="s">
        <v>3525</v>
      </c>
    </row>
    <row r="377" spans="1:9" ht="26.4" x14ac:dyDescent="0.25">
      <c r="A377" s="17" t="s">
        <v>320</v>
      </c>
      <c r="B377" s="14" t="s">
        <v>212</v>
      </c>
      <c r="C377" s="18" t="s">
        <v>1103</v>
      </c>
      <c r="D377" s="14" t="str">
        <f t="shared" si="50"/>
        <v>1ST-358-376</v>
      </c>
      <c r="E377" s="18" t="s">
        <v>900</v>
      </c>
      <c r="F377" s="19">
        <f t="shared" si="51"/>
        <v>9</v>
      </c>
      <c r="G377" s="19" t="str">
        <f t="shared" si="52"/>
        <v>PC</v>
      </c>
      <c r="H377" s="20" t="s">
        <v>746</v>
      </c>
      <c r="I377" s="26" t="s">
        <v>3525</v>
      </c>
    </row>
    <row r="378" spans="1:9" ht="26.4" x14ac:dyDescent="0.25">
      <c r="A378" s="17" t="s">
        <v>320</v>
      </c>
      <c r="B378" s="14" t="s">
        <v>212</v>
      </c>
      <c r="C378" s="18" t="s">
        <v>1104</v>
      </c>
      <c r="D378" s="14" t="str">
        <f t="shared" si="50"/>
        <v>1ST-358-377</v>
      </c>
      <c r="E378" s="18" t="s">
        <v>1075</v>
      </c>
      <c r="F378" s="19">
        <f t="shared" si="51"/>
        <v>12.25</v>
      </c>
      <c r="G378" s="19" t="str">
        <f t="shared" si="52"/>
        <v>PC</v>
      </c>
      <c r="H378" s="20" t="s">
        <v>746</v>
      </c>
      <c r="I378" s="26" t="s">
        <v>3525</v>
      </c>
    </row>
    <row r="379" spans="1:9" ht="26.4" x14ac:dyDescent="0.25">
      <c r="A379" s="17" t="s">
        <v>320</v>
      </c>
      <c r="B379" s="14" t="s">
        <v>212</v>
      </c>
      <c r="C379" s="18" t="s">
        <v>1105</v>
      </c>
      <c r="D379" s="14" t="str">
        <f t="shared" si="50"/>
        <v>1ST-358-378</v>
      </c>
      <c r="E379" s="18" t="s">
        <v>1106</v>
      </c>
      <c r="F379" s="19">
        <f t="shared" si="51"/>
        <v>24.25</v>
      </c>
      <c r="G379" s="19" t="str">
        <f t="shared" si="52"/>
        <v>PC</v>
      </c>
      <c r="H379" s="20" t="s">
        <v>746</v>
      </c>
      <c r="I379" s="26" t="s">
        <v>3525</v>
      </c>
    </row>
    <row r="380" spans="1:9" ht="26.4" x14ac:dyDescent="0.25">
      <c r="A380" s="17" t="s">
        <v>320</v>
      </c>
      <c r="B380" s="14" t="s">
        <v>212</v>
      </c>
      <c r="C380" s="18" t="s">
        <v>1107</v>
      </c>
      <c r="D380" s="14" t="str">
        <f t="shared" si="50"/>
        <v>1ST-358-379</v>
      </c>
      <c r="E380" s="18" t="s">
        <v>1108</v>
      </c>
      <c r="F380" s="19">
        <f t="shared" si="51"/>
        <v>43.25</v>
      </c>
      <c r="G380" s="19" t="str">
        <f t="shared" si="52"/>
        <v>PC</v>
      </c>
      <c r="H380" s="20" t="s">
        <v>746</v>
      </c>
      <c r="I380" s="26" t="s">
        <v>3525</v>
      </c>
    </row>
    <row r="381" spans="1:9" ht="26.4" x14ac:dyDescent="0.25">
      <c r="A381" s="17" t="s">
        <v>320</v>
      </c>
      <c r="B381" s="14" t="s">
        <v>212</v>
      </c>
      <c r="C381" s="18" t="s">
        <v>1109</v>
      </c>
      <c r="D381" s="14" t="str">
        <f t="shared" si="50"/>
        <v>1ST-358-380</v>
      </c>
      <c r="E381" s="18" t="s">
        <v>1110</v>
      </c>
      <c r="F381" s="19">
        <f t="shared" si="51"/>
        <v>73.5</v>
      </c>
      <c r="G381" s="19" t="str">
        <f t="shared" si="52"/>
        <v>PC</v>
      </c>
      <c r="H381" s="20" t="s">
        <v>746</v>
      </c>
      <c r="I381" s="26" t="s">
        <v>3525</v>
      </c>
    </row>
    <row r="382" spans="1:9" ht="26.4" x14ac:dyDescent="0.25">
      <c r="A382" s="17" t="s">
        <v>320</v>
      </c>
      <c r="B382" s="14" t="s">
        <v>212</v>
      </c>
      <c r="C382" s="18" t="s">
        <v>1111</v>
      </c>
      <c r="D382" s="14" t="str">
        <f t="shared" si="50"/>
        <v>1ST-358-381</v>
      </c>
      <c r="E382" s="18" t="s">
        <v>1112</v>
      </c>
      <c r="F382" s="19">
        <f t="shared" si="51"/>
        <v>123</v>
      </c>
      <c r="G382" s="19" t="str">
        <f t="shared" si="52"/>
        <v>PC</v>
      </c>
      <c r="H382" s="20" t="s">
        <v>746</v>
      </c>
      <c r="I382" s="26" t="s">
        <v>3525</v>
      </c>
    </row>
    <row r="383" spans="1:9" ht="26.4" x14ac:dyDescent="0.25">
      <c r="A383" s="17" t="s">
        <v>320</v>
      </c>
      <c r="B383" s="14" t="s">
        <v>213</v>
      </c>
      <c r="C383" s="18" t="s">
        <v>1113</v>
      </c>
      <c r="D383" s="14" t="str">
        <f t="shared" si="50"/>
        <v>1ST-358-382</v>
      </c>
      <c r="E383" s="18" t="s">
        <v>1026</v>
      </c>
      <c r="F383" s="19">
        <f t="shared" si="51"/>
        <v>10.75</v>
      </c>
      <c r="G383" s="19" t="str">
        <f t="shared" si="52"/>
        <v>PC</v>
      </c>
      <c r="H383" s="20" t="s">
        <v>746</v>
      </c>
      <c r="I383" s="26" t="s">
        <v>3525</v>
      </c>
    </row>
    <row r="384" spans="1:9" ht="26.4" x14ac:dyDescent="0.25">
      <c r="A384" s="17" t="s">
        <v>320</v>
      </c>
      <c r="B384" s="14" t="s">
        <v>213</v>
      </c>
      <c r="C384" s="18" t="s">
        <v>1114</v>
      </c>
      <c r="D384" s="14" t="str">
        <f t="shared" si="50"/>
        <v>1ST-358-383</v>
      </c>
      <c r="E384" s="18" t="s">
        <v>1115</v>
      </c>
      <c r="F384" s="19">
        <f t="shared" si="51"/>
        <v>17.5</v>
      </c>
      <c r="G384" s="19" t="str">
        <f t="shared" si="52"/>
        <v>PC</v>
      </c>
      <c r="H384" s="20" t="s">
        <v>746</v>
      </c>
      <c r="I384" s="26" t="s">
        <v>3525</v>
      </c>
    </row>
    <row r="385" spans="1:9" ht="26.4" x14ac:dyDescent="0.25">
      <c r="A385" s="17" t="s">
        <v>320</v>
      </c>
      <c r="B385" s="14" t="s">
        <v>213</v>
      </c>
      <c r="C385" s="18" t="s">
        <v>1116</v>
      </c>
      <c r="D385" s="14" t="str">
        <f t="shared" si="50"/>
        <v>1ST-358-384</v>
      </c>
      <c r="E385" s="18" t="s">
        <v>1117</v>
      </c>
      <c r="F385" s="19">
        <f t="shared" si="51"/>
        <v>19.5</v>
      </c>
      <c r="G385" s="19" t="str">
        <f t="shared" si="52"/>
        <v>PC</v>
      </c>
      <c r="H385" s="20" t="s">
        <v>746</v>
      </c>
      <c r="I385" s="26" t="s">
        <v>3525</v>
      </c>
    </row>
    <row r="386" spans="1:9" ht="26.4" x14ac:dyDescent="0.25">
      <c r="A386" s="17" t="s">
        <v>320</v>
      </c>
      <c r="B386" s="14" t="s">
        <v>214</v>
      </c>
      <c r="C386" s="19" t="s">
        <v>3725</v>
      </c>
      <c r="D386" s="14" t="str">
        <f t="shared" si="50"/>
        <v>1ST-358-385</v>
      </c>
      <c r="E386" s="19" t="s">
        <v>1118</v>
      </c>
      <c r="F386" s="19">
        <f t="shared" si="51"/>
        <v>222</v>
      </c>
      <c r="G386" s="19" t="str">
        <f t="shared" si="52"/>
        <v>PC</v>
      </c>
      <c r="H386" s="20" t="s">
        <v>746</v>
      </c>
      <c r="I386" s="26" t="s">
        <v>3525</v>
      </c>
    </row>
    <row r="387" spans="1:9" ht="26.4" x14ac:dyDescent="0.25">
      <c r="A387" s="17" t="s">
        <v>320</v>
      </c>
      <c r="B387" s="14" t="s">
        <v>214</v>
      </c>
      <c r="C387" s="19" t="s">
        <v>3726</v>
      </c>
      <c r="D387" s="14" t="str">
        <f t="shared" si="50"/>
        <v>1ST-358-386</v>
      </c>
      <c r="E387" s="19" t="s">
        <v>1119</v>
      </c>
      <c r="F387" s="19">
        <f t="shared" si="51"/>
        <v>311</v>
      </c>
      <c r="G387" s="19" t="str">
        <f t="shared" si="52"/>
        <v>PC</v>
      </c>
      <c r="H387" s="20" t="s">
        <v>746</v>
      </c>
      <c r="I387" s="26" t="s">
        <v>3525</v>
      </c>
    </row>
    <row r="388" spans="1:9" ht="26.4" x14ac:dyDescent="0.25">
      <c r="A388" s="17" t="s">
        <v>320</v>
      </c>
      <c r="B388" s="14" t="s">
        <v>214</v>
      </c>
      <c r="C388" s="19" t="s">
        <v>1120</v>
      </c>
      <c r="D388" s="14" t="str">
        <f t="shared" si="50"/>
        <v>1ST-358-387</v>
      </c>
      <c r="E388" s="19" t="s">
        <v>1121</v>
      </c>
      <c r="F388" s="19">
        <f t="shared" si="51"/>
        <v>436</v>
      </c>
      <c r="G388" s="19" t="str">
        <f t="shared" si="52"/>
        <v>PC</v>
      </c>
      <c r="H388" s="20" t="s">
        <v>746</v>
      </c>
      <c r="I388" s="26" t="s">
        <v>3525</v>
      </c>
    </row>
    <row r="389" spans="1:9" ht="26.4" x14ac:dyDescent="0.25">
      <c r="A389" s="17" t="s">
        <v>320</v>
      </c>
      <c r="B389" s="14" t="s">
        <v>214</v>
      </c>
      <c r="C389" s="19" t="s">
        <v>1122</v>
      </c>
      <c r="D389" s="14" t="str">
        <f t="shared" ref="D389:D452" si="53">LEFT($D$2,FIND("-",$D$2,FIND("-",$D$2)+1)) &amp; TEXT(RIGHT($D$2,3)+ROW(D387),"000")</f>
        <v>1ST-358-388</v>
      </c>
      <c r="E389" s="19" t="s">
        <v>897</v>
      </c>
      <c r="F389" s="19">
        <f t="shared" si="51"/>
        <v>265</v>
      </c>
      <c r="G389" s="19" t="str">
        <f t="shared" si="52"/>
        <v>PC</v>
      </c>
      <c r="H389" s="20" t="s">
        <v>746</v>
      </c>
      <c r="I389" s="26" t="s">
        <v>3525</v>
      </c>
    </row>
    <row r="390" spans="1:9" ht="26.4" x14ac:dyDescent="0.25">
      <c r="A390" s="17" t="s">
        <v>320</v>
      </c>
      <c r="B390" s="14" t="s">
        <v>215</v>
      </c>
      <c r="C390" s="18" t="s">
        <v>3727</v>
      </c>
      <c r="D390" s="14" t="str">
        <f t="shared" si="53"/>
        <v>1ST-358-389</v>
      </c>
      <c r="E390" s="18" t="s">
        <v>1118</v>
      </c>
      <c r="F390" s="19">
        <f t="shared" si="51"/>
        <v>222</v>
      </c>
      <c r="G390" s="19" t="str">
        <f t="shared" si="52"/>
        <v>PC</v>
      </c>
      <c r="H390" s="20" t="s">
        <v>746</v>
      </c>
      <c r="I390" s="26" t="s">
        <v>3525</v>
      </c>
    </row>
    <row r="391" spans="1:9" ht="26.4" x14ac:dyDescent="0.25">
      <c r="A391" s="17" t="s">
        <v>320</v>
      </c>
      <c r="B391" s="14" t="s">
        <v>215</v>
      </c>
      <c r="C391" s="18" t="s">
        <v>3728</v>
      </c>
      <c r="D391" s="14" t="str">
        <f t="shared" si="53"/>
        <v>1ST-358-390</v>
      </c>
      <c r="E391" s="18" t="s">
        <v>1119</v>
      </c>
      <c r="F391" s="19">
        <f t="shared" si="51"/>
        <v>311</v>
      </c>
      <c r="G391" s="19" t="str">
        <f t="shared" si="52"/>
        <v>PC</v>
      </c>
      <c r="H391" s="20" t="s">
        <v>746</v>
      </c>
      <c r="I391" s="26" t="s">
        <v>3525</v>
      </c>
    </row>
    <row r="392" spans="1:9" ht="26.4" x14ac:dyDescent="0.25">
      <c r="A392" s="17" t="s">
        <v>320</v>
      </c>
      <c r="B392" s="14" t="s">
        <v>215</v>
      </c>
      <c r="C392" s="19" t="s">
        <v>3729</v>
      </c>
      <c r="D392" s="14" t="str">
        <f t="shared" si="53"/>
        <v>1ST-358-391</v>
      </c>
      <c r="E392" s="19" t="s">
        <v>1121</v>
      </c>
      <c r="F392" s="19">
        <f t="shared" si="51"/>
        <v>436</v>
      </c>
      <c r="G392" s="19" t="str">
        <f t="shared" si="52"/>
        <v>PC</v>
      </c>
      <c r="H392" s="20" t="s">
        <v>746</v>
      </c>
      <c r="I392" s="26" t="s">
        <v>3525</v>
      </c>
    </row>
    <row r="393" spans="1:9" ht="26.4" x14ac:dyDescent="0.25">
      <c r="A393" s="17" t="s">
        <v>320</v>
      </c>
      <c r="B393" s="14" t="s">
        <v>209</v>
      </c>
      <c r="C393" s="18" t="s">
        <v>1123</v>
      </c>
      <c r="D393" s="14" t="str">
        <f t="shared" si="53"/>
        <v>1ST-358-392</v>
      </c>
      <c r="E393" s="18" t="s">
        <v>1124</v>
      </c>
      <c r="F393" s="19">
        <f t="shared" si="51"/>
        <v>18.75</v>
      </c>
      <c r="G393" s="19" t="str">
        <f t="shared" si="52"/>
        <v>PC</v>
      </c>
      <c r="H393" s="20" t="s">
        <v>746</v>
      </c>
      <c r="I393" s="26" t="s">
        <v>3525</v>
      </c>
    </row>
    <row r="394" spans="1:9" ht="26.4" x14ac:dyDescent="0.25">
      <c r="A394" s="17" t="s">
        <v>320</v>
      </c>
      <c r="B394" s="14" t="s">
        <v>209</v>
      </c>
      <c r="C394" s="18" t="s">
        <v>1125</v>
      </c>
      <c r="D394" s="14" t="str">
        <f t="shared" si="53"/>
        <v>1ST-358-393</v>
      </c>
      <c r="E394" s="18" t="s">
        <v>1126</v>
      </c>
      <c r="F394" s="19">
        <f t="shared" si="51"/>
        <v>26.5</v>
      </c>
      <c r="G394" s="19" t="str">
        <f t="shared" si="52"/>
        <v>PC</v>
      </c>
      <c r="H394" s="20" t="s">
        <v>746</v>
      </c>
      <c r="I394" s="26" t="s">
        <v>3525</v>
      </c>
    </row>
    <row r="395" spans="1:9" ht="26.4" x14ac:dyDescent="0.25">
      <c r="A395" s="17" t="s">
        <v>320</v>
      </c>
      <c r="B395" s="14" t="s">
        <v>209</v>
      </c>
      <c r="C395" s="18" t="s">
        <v>1127</v>
      </c>
      <c r="D395" s="14" t="str">
        <f t="shared" si="53"/>
        <v>1ST-358-394</v>
      </c>
      <c r="E395" s="18" t="s">
        <v>1128</v>
      </c>
      <c r="F395" s="19">
        <f t="shared" si="51"/>
        <v>38.5</v>
      </c>
      <c r="G395" s="19" t="str">
        <f t="shared" si="52"/>
        <v>PC</v>
      </c>
      <c r="H395" s="20" t="s">
        <v>746</v>
      </c>
      <c r="I395" s="26" t="s">
        <v>3525</v>
      </c>
    </row>
    <row r="396" spans="1:9" ht="26.4" x14ac:dyDescent="0.25">
      <c r="A396" s="17" t="s">
        <v>320</v>
      </c>
      <c r="B396" s="14" t="s">
        <v>210</v>
      </c>
      <c r="C396" s="18" t="s">
        <v>1129</v>
      </c>
      <c r="D396" s="14" t="str">
        <f t="shared" si="53"/>
        <v>1ST-358-395</v>
      </c>
      <c r="E396" s="18" t="s">
        <v>631</v>
      </c>
      <c r="F396" s="19">
        <f t="shared" si="51"/>
        <v>38</v>
      </c>
      <c r="G396" s="19" t="str">
        <f t="shared" si="52"/>
        <v>PC</v>
      </c>
      <c r="H396" s="20" t="s">
        <v>746</v>
      </c>
      <c r="I396" s="26" t="s">
        <v>3525</v>
      </c>
    </row>
    <row r="397" spans="1:9" ht="26.4" x14ac:dyDescent="0.25">
      <c r="A397" s="17" t="s">
        <v>320</v>
      </c>
      <c r="B397" s="14" t="s">
        <v>210</v>
      </c>
      <c r="C397" s="18" t="s">
        <v>1130</v>
      </c>
      <c r="D397" s="14" t="str">
        <f t="shared" si="53"/>
        <v>1ST-358-396</v>
      </c>
      <c r="E397" s="18" t="s">
        <v>975</v>
      </c>
      <c r="F397" s="19">
        <f t="shared" si="51"/>
        <v>58</v>
      </c>
      <c r="G397" s="19" t="str">
        <f t="shared" si="52"/>
        <v>PC</v>
      </c>
      <c r="H397" s="20" t="s">
        <v>746</v>
      </c>
      <c r="I397" s="26" t="s">
        <v>3525</v>
      </c>
    </row>
    <row r="398" spans="1:9" ht="26.4" x14ac:dyDescent="0.25">
      <c r="A398" s="17" t="s">
        <v>320</v>
      </c>
      <c r="B398" s="14" t="s">
        <v>210</v>
      </c>
      <c r="C398" s="18" t="s">
        <v>1131</v>
      </c>
      <c r="D398" s="14" t="str">
        <f t="shared" si="53"/>
        <v>1ST-358-397</v>
      </c>
      <c r="E398" s="18" t="s">
        <v>1132</v>
      </c>
      <c r="F398" s="19">
        <f t="shared" si="51"/>
        <v>98</v>
      </c>
      <c r="G398" s="19" t="str">
        <f t="shared" si="52"/>
        <v>PC</v>
      </c>
      <c r="H398" s="20" t="s">
        <v>746</v>
      </c>
      <c r="I398" s="26" t="s">
        <v>3525</v>
      </c>
    </row>
    <row r="399" spans="1:9" ht="26.4" x14ac:dyDescent="0.25">
      <c r="A399" s="17" t="s">
        <v>320</v>
      </c>
      <c r="B399" s="14" t="s">
        <v>210</v>
      </c>
      <c r="C399" s="18" t="s">
        <v>1133</v>
      </c>
      <c r="D399" s="14" t="str">
        <f t="shared" si="53"/>
        <v>1ST-358-398</v>
      </c>
      <c r="E399" s="18" t="s">
        <v>449</v>
      </c>
      <c r="F399" s="19">
        <f t="shared" si="51"/>
        <v>168</v>
      </c>
      <c r="G399" s="19" t="str">
        <f t="shared" si="52"/>
        <v>PC</v>
      </c>
      <c r="H399" s="20" t="s">
        <v>746</v>
      </c>
      <c r="I399" s="26" t="s">
        <v>3525</v>
      </c>
    </row>
    <row r="400" spans="1:9" ht="26.4" x14ac:dyDescent="0.25">
      <c r="A400" s="17" t="s">
        <v>320</v>
      </c>
      <c r="B400" s="14" t="s">
        <v>210</v>
      </c>
      <c r="C400" s="18" t="s">
        <v>1134</v>
      </c>
      <c r="D400" s="14" t="str">
        <f t="shared" si="53"/>
        <v>1ST-358-399</v>
      </c>
      <c r="E400" s="18" t="s">
        <v>723</v>
      </c>
      <c r="F400" s="19">
        <f t="shared" si="51"/>
        <v>228</v>
      </c>
      <c r="G400" s="19" t="str">
        <f t="shared" si="52"/>
        <v>PC</v>
      </c>
      <c r="H400" s="20" t="s">
        <v>746</v>
      </c>
      <c r="I400" s="26" t="s">
        <v>3525</v>
      </c>
    </row>
    <row r="401" spans="1:9" ht="26.4" x14ac:dyDescent="0.25">
      <c r="A401" s="17" t="s">
        <v>320</v>
      </c>
      <c r="B401" s="14" t="s">
        <v>210</v>
      </c>
      <c r="C401" s="18" t="s">
        <v>1135</v>
      </c>
      <c r="D401" s="14" t="str">
        <f t="shared" si="53"/>
        <v>1ST-358-400</v>
      </c>
      <c r="E401" s="18" t="s">
        <v>1136</v>
      </c>
      <c r="F401" s="19">
        <f t="shared" si="51"/>
        <v>408</v>
      </c>
      <c r="G401" s="19" t="str">
        <f t="shared" si="52"/>
        <v>PC</v>
      </c>
      <c r="H401" s="20" t="s">
        <v>746</v>
      </c>
      <c r="I401" s="26" t="s">
        <v>3525</v>
      </c>
    </row>
    <row r="402" spans="1:9" ht="26.4" x14ac:dyDescent="0.25">
      <c r="A402" s="17" t="s">
        <v>320</v>
      </c>
      <c r="B402" s="14" t="s">
        <v>211</v>
      </c>
      <c r="C402" s="19" t="s">
        <v>1137</v>
      </c>
      <c r="D402" s="14" t="str">
        <f t="shared" si="53"/>
        <v>1ST-358-401</v>
      </c>
      <c r="E402" s="19" t="s">
        <v>1138</v>
      </c>
      <c r="F402" s="19">
        <f t="shared" si="51"/>
        <v>96</v>
      </c>
      <c r="G402" s="19" t="str">
        <f t="shared" si="52"/>
        <v>PC</v>
      </c>
      <c r="H402" s="20" t="s">
        <v>746</v>
      </c>
      <c r="I402" s="26" t="s">
        <v>3525</v>
      </c>
    </row>
    <row r="403" spans="1:9" ht="26.4" x14ac:dyDescent="0.25">
      <c r="A403" s="17" t="s">
        <v>320</v>
      </c>
      <c r="B403" s="14" t="s">
        <v>211</v>
      </c>
      <c r="C403" s="19" t="s">
        <v>1139</v>
      </c>
      <c r="D403" s="14" t="str">
        <f t="shared" si="53"/>
        <v>1ST-358-402</v>
      </c>
      <c r="E403" s="19" t="s">
        <v>1140</v>
      </c>
      <c r="F403" s="19">
        <f t="shared" si="51"/>
        <v>136</v>
      </c>
      <c r="G403" s="19" t="str">
        <f t="shared" si="52"/>
        <v>PC</v>
      </c>
      <c r="H403" s="20" t="s">
        <v>746</v>
      </c>
      <c r="I403" s="26" t="s">
        <v>3525</v>
      </c>
    </row>
    <row r="404" spans="1:9" ht="26.4" x14ac:dyDescent="0.25">
      <c r="A404" s="17" t="s">
        <v>320</v>
      </c>
      <c r="B404" s="14" t="s">
        <v>211</v>
      </c>
      <c r="C404" s="19" t="s">
        <v>1141</v>
      </c>
      <c r="D404" s="14" t="str">
        <f t="shared" si="53"/>
        <v>1ST-358-403</v>
      </c>
      <c r="E404" s="19" t="s">
        <v>1142</v>
      </c>
      <c r="F404" s="19">
        <f t="shared" si="51"/>
        <v>226</v>
      </c>
      <c r="G404" s="19" t="str">
        <f t="shared" si="52"/>
        <v>PC</v>
      </c>
      <c r="H404" s="20" t="s">
        <v>746</v>
      </c>
      <c r="I404" s="26" t="s">
        <v>3525</v>
      </c>
    </row>
    <row r="405" spans="1:9" x14ac:dyDescent="0.25">
      <c r="A405" s="17" t="s">
        <v>320</v>
      </c>
      <c r="B405" s="14" t="s">
        <v>208</v>
      </c>
      <c r="C405" s="18" t="s">
        <v>3730</v>
      </c>
      <c r="D405" s="14" t="str">
        <f t="shared" si="53"/>
        <v>1ST-358-404</v>
      </c>
      <c r="E405" s="18" t="s">
        <v>1143</v>
      </c>
      <c r="F405" s="19">
        <f t="shared" si="51"/>
        <v>11.2</v>
      </c>
      <c r="G405" s="19" t="str">
        <f t="shared" si="52"/>
        <v>PC</v>
      </c>
      <c r="H405" s="18" t="s">
        <v>2709</v>
      </c>
      <c r="I405" s="14" t="s">
        <v>441</v>
      </c>
    </row>
    <row r="406" spans="1:9" ht="26.4" x14ac:dyDescent="0.25">
      <c r="A406" s="17" t="s">
        <v>320</v>
      </c>
      <c r="B406" s="14" t="s">
        <v>208</v>
      </c>
      <c r="C406" s="18" t="s">
        <v>3731</v>
      </c>
      <c r="D406" s="14" t="str">
        <f t="shared" si="53"/>
        <v>1ST-358-405</v>
      </c>
      <c r="E406" s="18" t="s">
        <v>1144</v>
      </c>
      <c r="F406" s="19">
        <f t="shared" si="51"/>
        <v>15.8</v>
      </c>
      <c r="G406" s="19" t="str">
        <f t="shared" si="52"/>
        <v>PC</v>
      </c>
      <c r="H406" s="18" t="s">
        <v>3010</v>
      </c>
      <c r="I406" s="14" t="s">
        <v>441</v>
      </c>
    </row>
    <row r="407" spans="1:9" x14ac:dyDescent="0.25">
      <c r="A407" s="17" t="s">
        <v>320</v>
      </c>
      <c r="B407" s="14" t="s">
        <v>208</v>
      </c>
      <c r="C407" s="18" t="s">
        <v>3732</v>
      </c>
      <c r="D407" s="14" t="str">
        <f t="shared" si="53"/>
        <v>1ST-358-406</v>
      </c>
      <c r="E407" s="18" t="s">
        <v>943</v>
      </c>
      <c r="F407" s="19">
        <f t="shared" si="51"/>
        <v>27</v>
      </c>
      <c r="G407" s="19" t="str">
        <f t="shared" si="52"/>
        <v>PC</v>
      </c>
      <c r="H407" s="18" t="s">
        <v>2710</v>
      </c>
      <c r="I407" s="14" t="s">
        <v>441</v>
      </c>
    </row>
    <row r="408" spans="1:9" ht="26.4" x14ac:dyDescent="0.25">
      <c r="A408" s="17" t="s">
        <v>320</v>
      </c>
      <c r="B408" s="14" t="s">
        <v>208</v>
      </c>
      <c r="C408" s="18" t="s">
        <v>3733</v>
      </c>
      <c r="D408" s="14" t="str">
        <f t="shared" si="53"/>
        <v>1ST-358-407</v>
      </c>
      <c r="E408" s="18" t="s">
        <v>1145</v>
      </c>
      <c r="F408" s="19">
        <f t="shared" si="51"/>
        <v>46</v>
      </c>
      <c r="G408" s="19" t="str">
        <f t="shared" si="52"/>
        <v>PC</v>
      </c>
      <c r="H408" s="18" t="s">
        <v>3011</v>
      </c>
      <c r="I408" s="14" t="s">
        <v>441</v>
      </c>
    </row>
    <row r="409" spans="1:9" ht="26.4" x14ac:dyDescent="0.25">
      <c r="A409" s="17" t="s">
        <v>320</v>
      </c>
      <c r="B409" s="14" t="s">
        <v>208</v>
      </c>
      <c r="C409" s="18" t="s">
        <v>3734</v>
      </c>
      <c r="D409" s="14" t="str">
        <f t="shared" si="53"/>
        <v>1ST-358-408</v>
      </c>
      <c r="E409" s="18" t="s">
        <v>698</v>
      </c>
      <c r="F409" s="19">
        <f t="shared" si="51"/>
        <v>55</v>
      </c>
      <c r="G409" s="19" t="str">
        <f t="shared" si="52"/>
        <v>PC</v>
      </c>
      <c r="H409" s="18" t="s">
        <v>3012</v>
      </c>
      <c r="I409" s="14" t="s">
        <v>441</v>
      </c>
    </row>
    <row r="410" spans="1:9" ht="26.4" x14ac:dyDescent="0.25">
      <c r="A410" s="17" t="s">
        <v>320</v>
      </c>
      <c r="B410" s="14" t="s">
        <v>208</v>
      </c>
      <c r="C410" s="18" t="s">
        <v>3735</v>
      </c>
      <c r="D410" s="14" t="str">
        <f t="shared" si="53"/>
        <v>1ST-358-409</v>
      </c>
      <c r="E410" s="18" t="s">
        <v>1047</v>
      </c>
      <c r="F410" s="19">
        <f t="shared" si="51"/>
        <v>84</v>
      </c>
      <c r="G410" s="19" t="str">
        <f t="shared" si="52"/>
        <v>PC</v>
      </c>
      <c r="H410" s="18" t="s">
        <v>3013</v>
      </c>
      <c r="I410" s="14" t="s">
        <v>441</v>
      </c>
    </row>
    <row r="411" spans="1:9" x14ac:dyDescent="0.25">
      <c r="A411" s="17" t="s">
        <v>320</v>
      </c>
      <c r="B411" s="14" t="s">
        <v>207</v>
      </c>
      <c r="C411" s="19" t="s">
        <v>3736</v>
      </c>
      <c r="D411" s="14" t="str">
        <f t="shared" si="53"/>
        <v>1ST-358-410</v>
      </c>
      <c r="E411" s="19" t="s">
        <v>1143</v>
      </c>
      <c r="F411" s="19">
        <f t="shared" si="51"/>
        <v>11.2</v>
      </c>
      <c r="G411" s="19" t="str">
        <f t="shared" si="52"/>
        <v>PC</v>
      </c>
      <c r="H411" s="19" t="s">
        <v>2709</v>
      </c>
      <c r="I411" s="14" t="s">
        <v>441</v>
      </c>
    </row>
    <row r="412" spans="1:9" ht="26.4" x14ac:dyDescent="0.25">
      <c r="A412" s="17" t="s">
        <v>320</v>
      </c>
      <c r="B412" s="14" t="s">
        <v>207</v>
      </c>
      <c r="C412" s="18" t="s">
        <v>3737</v>
      </c>
      <c r="D412" s="14" t="str">
        <f t="shared" si="53"/>
        <v>1ST-358-411</v>
      </c>
      <c r="E412" s="19" t="s">
        <v>1144</v>
      </c>
      <c r="F412" s="19">
        <f t="shared" si="51"/>
        <v>15.8</v>
      </c>
      <c r="G412" s="19" t="str">
        <f t="shared" si="52"/>
        <v>PC</v>
      </c>
      <c r="H412" s="18" t="s">
        <v>3010</v>
      </c>
      <c r="I412" s="14" t="s">
        <v>441</v>
      </c>
    </row>
    <row r="413" spans="1:9" x14ac:dyDescent="0.25">
      <c r="A413" s="17" t="s">
        <v>320</v>
      </c>
      <c r="B413" s="14" t="s">
        <v>207</v>
      </c>
      <c r="C413" s="19" t="s">
        <v>1146</v>
      </c>
      <c r="D413" s="14" t="str">
        <f t="shared" si="53"/>
        <v>1ST-358-412</v>
      </c>
      <c r="E413" s="19" t="s">
        <v>943</v>
      </c>
      <c r="F413" s="19">
        <f t="shared" si="51"/>
        <v>27</v>
      </c>
      <c r="G413" s="19" t="str">
        <f t="shared" si="52"/>
        <v>PC</v>
      </c>
      <c r="H413" s="19" t="s">
        <v>2710</v>
      </c>
      <c r="I413" s="14" t="s">
        <v>441</v>
      </c>
    </row>
    <row r="414" spans="1:9" ht="26.4" x14ac:dyDescent="0.25">
      <c r="A414" s="17" t="s">
        <v>320</v>
      </c>
      <c r="B414" s="14" t="s">
        <v>203</v>
      </c>
      <c r="C414" s="19" t="s">
        <v>1147</v>
      </c>
      <c r="D414" s="14" t="str">
        <f t="shared" si="53"/>
        <v>1ST-358-413</v>
      </c>
      <c r="E414" s="19" t="s">
        <v>909</v>
      </c>
      <c r="F414" s="19">
        <f t="shared" si="51"/>
        <v>18</v>
      </c>
      <c r="G414" s="19" t="str">
        <f t="shared" si="52"/>
        <v>PC</v>
      </c>
      <c r="H414" s="18" t="s">
        <v>3014</v>
      </c>
      <c r="I414" s="14" t="s">
        <v>441</v>
      </c>
    </row>
    <row r="415" spans="1:9" ht="26.4" x14ac:dyDescent="0.25">
      <c r="A415" s="17" t="s">
        <v>320</v>
      </c>
      <c r="B415" s="14" t="s">
        <v>203</v>
      </c>
      <c r="C415" s="19" t="s">
        <v>1148</v>
      </c>
      <c r="D415" s="14" t="str">
        <f t="shared" si="53"/>
        <v>1ST-358-414</v>
      </c>
      <c r="E415" s="19" t="s">
        <v>1149</v>
      </c>
      <c r="F415" s="19">
        <f t="shared" si="51"/>
        <v>23.5</v>
      </c>
      <c r="G415" s="19" t="str">
        <f t="shared" si="52"/>
        <v>PC</v>
      </c>
      <c r="H415" s="18" t="s">
        <v>3015</v>
      </c>
      <c r="I415" s="14" t="s">
        <v>441</v>
      </c>
    </row>
    <row r="416" spans="1:9" ht="26.4" x14ac:dyDescent="0.25">
      <c r="A416" s="17" t="s">
        <v>320</v>
      </c>
      <c r="B416" s="14" t="s">
        <v>203</v>
      </c>
      <c r="C416" s="19" t="s">
        <v>1150</v>
      </c>
      <c r="D416" s="14" t="str">
        <f t="shared" si="53"/>
        <v>1ST-358-415</v>
      </c>
      <c r="E416" s="19" t="s">
        <v>1151</v>
      </c>
      <c r="F416" s="19">
        <f t="shared" si="51"/>
        <v>34</v>
      </c>
      <c r="G416" s="19" t="str">
        <f t="shared" si="52"/>
        <v>PC</v>
      </c>
      <c r="H416" s="18" t="s">
        <v>3016</v>
      </c>
      <c r="I416" s="14" t="s">
        <v>441</v>
      </c>
    </row>
    <row r="417" spans="1:9" ht="26.4" x14ac:dyDescent="0.25">
      <c r="A417" s="17" t="s">
        <v>320</v>
      </c>
      <c r="B417" s="14" t="s">
        <v>204</v>
      </c>
      <c r="C417" s="19" t="s">
        <v>1152</v>
      </c>
      <c r="D417" s="14" t="str">
        <f t="shared" si="53"/>
        <v>1ST-358-416</v>
      </c>
      <c r="E417" s="19" t="s">
        <v>1153</v>
      </c>
      <c r="F417" s="19">
        <f t="shared" si="51"/>
        <v>23</v>
      </c>
      <c r="G417" s="19" t="str">
        <f t="shared" si="52"/>
        <v>PC</v>
      </c>
      <c r="H417" s="18" t="s">
        <v>3015</v>
      </c>
      <c r="I417" s="14" t="s">
        <v>441</v>
      </c>
    </row>
    <row r="418" spans="1:9" ht="26.4" x14ac:dyDescent="0.25">
      <c r="A418" s="17" t="s">
        <v>320</v>
      </c>
      <c r="B418" s="14" t="s">
        <v>204</v>
      </c>
      <c r="C418" s="19" t="s">
        <v>1154</v>
      </c>
      <c r="D418" s="14" t="str">
        <f t="shared" si="53"/>
        <v>1ST-358-417</v>
      </c>
      <c r="E418" s="19" t="s">
        <v>498</v>
      </c>
      <c r="F418" s="19">
        <f t="shared" si="51"/>
        <v>28</v>
      </c>
      <c r="G418" s="19" t="str">
        <f t="shared" si="52"/>
        <v>PC</v>
      </c>
      <c r="H418" s="18" t="s">
        <v>3017</v>
      </c>
      <c r="I418" s="14" t="s">
        <v>441</v>
      </c>
    </row>
    <row r="419" spans="1:9" ht="26.4" x14ac:dyDescent="0.25">
      <c r="A419" s="17" t="s">
        <v>320</v>
      </c>
      <c r="B419" s="14" t="s">
        <v>204</v>
      </c>
      <c r="C419" s="19" t="s">
        <v>1155</v>
      </c>
      <c r="D419" s="14" t="str">
        <f t="shared" si="53"/>
        <v>1ST-358-418</v>
      </c>
      <c r="E419" s="19" t="s">
        <v>1156</v>
      </c>
      <c r="F419" s="19">
        <f t="shared" si="51"/>
        <v>32</v>
      </c>
      <c r="G419" s="19" t="str">
        <f t="shared" si="52"/>
        <v>PC</v>
      </c>
      <c r="H419" s="18" t="s">
        <v>3018</v>
      </c>
      <c r="I419" s="14" t="s">
        <v>441</v>
      </c>
    </row>
    <row r="420" spans="1:9" ht="26.4" x14ac:dyDescent="0.25">
      <c r="A420" s="17" t="s">
        <v>320</v>
      </c>
      <c r="B420" s="14" t="s">
        <v>205</v>
      </c>
      <c r="C420" s="18" t="s">
        <v>1157</v>
      </c>
      <c r="D420" s="14" t="str">
        <f t="shared" si="53"/>
        <v>1ST-358-419</v>
      </c>
      <c r="E420" s="18" t="s">
        <v>1158</v>
      </c>
      <c r="F420" s="19">
        <f t="shared" si="51"/>
        <v>21</v>
      </c>
      <c r="G420" s="19" t="str">
        <f t="shared" si="52"/>
        <v>PC</v>
      </c>
      <c r="H420" s="18" t="s">
        <v>3019</v>
      </c>
      <c r="I420" s="14" t="s">
        <v>441</v>
      </c>
    </row>
    <row r="421" spans="1:9" ht="26.4" x14ac:dyDescent="0.25">
      <c r="A421" s="17" t="s">
        <v>320</v>
      </c>
      <c r="B421" s="14" t="s">
        <v>205</v>
      </c>
      <c r="C421" s="18" t="s">
        <v>1159</v>
      </c>
      <c r="D421" s="14" t="str">
        <f t="shared" si="53"/>
        <v>1ST-358-420</v>
      </c>
      <c r="E421" s="18" t="s">
        <v>1126</v>
      </c>
      <c r="F421" s="19">
        <f t="shared" si="51"/>
        <v>26.5</v>
      </c>
      <c r="G421" s="19" t="str">
        <f t="shared" si="52"/>
        <v>PC</v>
      </c>
      <c r="H421" s="18" t="s">
        <v>3020</v>
      </c>
      <c r="I421" s="14" t="s">
        <v>441</v>
      </c>
    </row>
    <row r="422" spans="1:9" ht="26.4" x14ac:dyDescent="0.25">
      <c r="A422" s="17" t="s">
        <v>320</v>
      </c>
      <c r="B422" s="14" t="s">
        <v>205</v>
      </c>
      <c r="C422" s="18" t="s">
        <v>1160</v>
      </c>
      <c r="D422" s="14" t="str">
        <f t="shared" si="53"/>
        <v>1ST-358-421</v>
      </c>
      <c r="E422" s="18" t="s">
        <v>1161</v>
      </c>
      <c r="F422" s="19">
        <f t="shared" si="51"/>
        <v>40</v>
      </c>
      <c r="G422" s="19" t="str">
        <f t="shared" si="52"/>
        <v>PC</v>
      </c>
      <c r="H422" s="18" t="s">
        <v>3021</v>
      </c>
      <c r="I422" s="14" t="s">
        <v>441</v>
      </c>
    </row>
    <row r="423" spans="1:9" ht="26.4" x14ac:dyDescent="0.25">
      <c r="A423" s="17" t="s">
        <v>320</v>
      </c>
      <c r="B423" s="14" t="s">
        <v>206</v>
      </c>
      <c r="C423" s="18" t="s">
        <v>1162</v>
      </c>
      <c r="D423" s="14" t="str">
        <f t="shared" si="53"/>
        <v>1ST-358-422</v>
      </c>
      <c r="E423" s="18" t="s">
        <v>496</v>
      </c>
      <c r="F423" s="19">
        <f t="shared" si="51"/>
        <v>14</v>
      </c>
      <c r="G423" s="19" t="str">
        <f t="shared" si="52"/>
        <v>PC</v>
      </c>
      <c r="H423" s="18" t="s">
        <v>3022</v>
      </c>
      <c r="I423" s="14" t="s">
        <v>441</v>
      </c>
    </row>
    <row r="424" spans="1:9" ht="26.4" x14ac:dyDescent="0.25">
      <c r="A424" s="17" t="s">
        <v>320</v>
      </c>
      <c r="B424" s="14" t="s">
        <v>206</v>
      </c>
      <c r="C424" s="18" t="s">
        <v>1163</v>
      </c>
      <c r="D424" s="14" t="str">
        <f t="shared" si="53"/>
        <v>1ST-358-423</v>
      </c>
      <c r="E424" s="18" t="s">
        <v>1164</v>
      </c>
      <c r="F424" s="19">
        <f t="shared" ref="F424:F487" si="54">VALUE(LEFT(E424,FIND("/",E424)-1))</f>
        <v>18.5</v>
      </c>
      <c r="G424" s="19" t="str">
        <f t="shared" ref="G424:G487" si="55">TRIM(MID(E424,FIND("/",E424)+1,LEN(E424)))</f>
        <v>PC</v>
      </c>
      <c r="H424" s="18" t="s">
        <v>3023</v>
      </c>
      <c r="I424" s="14" t="s">
        <v>441</v>
      </c>
    </row>
    <row r="425" spans="1:9" ht="26.4" x14ac:dyDescent="0.25">
      <c r="A425" s="17" t="s">
        <v>320</v>
      </c>
      <c r="B425" s="14" t="s">
        <v>206</v>
      </c>
      <c r="C425" s="18" t="s">
        <v>1165</v>
      </c>
      <c r="D425" s="14" t="str">
        <f t="shared" si="53"/>
        <v>1ST-358-424</v>
      </c>
      <c r="E425" s="18" t="s">
        <v>1117</v>
      </c>
      <c r="F425" s="19">
        <f t="shared" si="54"/>
        <v>19.5</v>
      </c>
      <c r="G425" s="19" t="str">
        <f t="shared" si="55"/>
        <v>PC</v>
      </c>
      <c r="H425" s="18" t="s">
        <v>3024</v>
      </c>
      <c r="I425" s="14" t="s">
        <v>441</v>
      </c>
    </row>
    <row r="426" spans="1:9" ht="26.4" x14ac:dyDescent="0.25">
      <c r="A426" s="17" t="s">
        <v>320</v>
      </c>
      <c r="B426" s="14" t="s">
        <v>768</v>
      </c>
      <c r="C426" s="18" t="s">
        <v>1166</v>
      </c>
      <c r="D426" s="14" t="str">
        <f t="shared" si="53"/>
        <v>1ST-358-425</v>
      </c>
      <c r="E426" s="18" t="s">
        <v>1158</v>
      </c>
      <c r="F426" s="19">
        <f t="shared" si="54"/>
        <v>21</v>
      </c>
      <c r="G426" s="19" t="str">
        <f t="shared" si="55"/>
        <v>PC</v>
      </c>
      <c r="H426" s="18" t="s">
        <v>3019</v>
      </c>
      <c r="I426" s="14" t="s">
        <v>441</v>
      </c>
    </row>
    <row r="427" spans="1:9" ht="26.4" x14ac:dyDescent="0.25">
      <c r="A427" s="17" t="s">
        <v>320</v>
      </c>
      <c r="B427" s="14" t="s">
        <v>768</v>
      </c>
      <c r="C427" s="18" t="s">
        <v>1167</v>
      </c>
      <c r="D427" s="14" t="str">
        <f t="shared" si="53"/>
        <v>1ST-358-426</v>
      </c>
      <c r="E427" s="18" t="s">
        <v>498</v>
      </c>
      <c r="F427" s="19">
        <f t="shared" si="54"/>
        <v>28</v>
      </c>
      <c r="G427" s="19" t="str">
        <f t="shared" si="55"/>
        <v>PC</v>
      </c>
      <c r="H427" s="18" t="s">
        <v>3017</v>
      </c>
      <c r="I427" s="14" t="s">
        <v>441</v>
      </c>
    </row>
    <row r="428" spans="1:9" ht="26.4" x14ac:dyDescent="0.25">
      <c r="A428" s="17" t="s">
        <v>320</v>
      </c>
      <c r="B428" s="14" t="s">
        <v>768</v>
      </c>
      <c r="C428" s="18" t="s">
        <v>1168</v>
      </c>
      <c r="D428" s="14" t="str">
        <f t="shared" si="53"/>
        <v>1ST-358-427</v>
      </c>
      <c r="E428" s="18" t="s">
        <v>1169</v>
      </c>
      <c r="F428" s="19">
        <f t="shared" si="54"/>
        <v>41</v>
      </c>
      <c r="G428" s="19" t="str">
        <f t="shared" si="55"/>
        <v>PC</v>
      </c>
      <c r="H428" s="18" t="s">
        <v>3025</v>
      </c>
      <c r="I428" s="14" t="s">
        <v>441</v>
      </c>
    </row>
    <row r="429" spans="1:9" ht="26.4" x14ac:dyDescent="0.25">
      <c r="A429" s="17" t="s">
        <v>320</v>
      </c>
      <c r="B429" s="14" t="s">
        <v>767</v>
      </c>
      <c r="C429" s="18" t="s">
        <v>1170</v>
      </c>
      <c r="D429" s="14" t="str">
        <f t="shared" si="53"/>
        <v>1ST-358-428</v>
      </c>
      <c r="E429" s="18" t="s">
        <v>937</v>
      </c>
      <c r="F429" s="19">
        <f t="shared" si="54"/>
        <v>11.5</v>
      </c>
      <c r="G429" s="19" t="str">
        <f t="shared" si="55"/>
        <v>PC</v>
      </c>
      <c r="H429" s="18" t="s">
        <v>3026</v>
      </c>
      <c r="I429" s="14" t="s">
        <v>441</v>
      </c>
    </row>
    <row r="430" spans="1:9" ht="26.4" x14ac:dyDescent="0.25">
      <c r="A430" s="17" t="s">
        <v>320</v>
      </c>
      <c r="B430" s="14" t="s">
        <v>767</v>
      </c>
      <c r="C430" s="18" t="s">
        <v>1171</v>
      </c>
      <c r="D430" s="14" t="str">
        <f t="shared" si="53"/>
        <v>1ST-358-429</v>
      </c>
      <c r="E430" s="18" t="s">
        <v>965</v>
      </c>
      <c r="F430" s="19">
        <f t="shared" si="54"/>
        <v>15</v>
      </c>
      <c r="G430" s="19" t="str">
        <f t="shared" si="55"/>
        <v>PC</v>
      </c>
      <c r="H430" s="18" t="s">
        <v>3027</v>
      </c>
      <c r="I430" s="14" t="s">
        <v>441</v>
      </c>
    </row>
    <row r="431" spans="1:9" ht="26.4" x14ac:dyDescent="0.25">
      <c r="A431" s="17" t="s">
        <v>320</v>
      </c>
      <c r="B431" s="14" t="s">
        <v>767</v>
      </c>
      <c r="C431" s="18" t="s">
        <v>1172</v>
      </c>
      <c r="D431" s="14" t="str">
        <f t="shared" si="53"/>
        <v>1ST-358-430</v>
      </c>
      <c r="E431" s="18" t="s">
        <v>914</v>
      </c>
      <c r="F431" s="19">
        <f t="shared" si="54"/>
        <v>22.5</v>
      </c>
      <c r="G431" s="19" t="str">
        <f t="shared" si="55"/>
        <v>PC</v>
      </c>
      <c r="H431" s="18" t="s">
        <v>3028</v>
      </c>
      <c r="I431" s="14" t="s">
        <v>441</v>
      </c>
    </row>
    <row r="432" spans="1:9" ht="26.4" x14ac:dyDescent="0.25">
      <c r="A432" s="17" t="s">
        <v>320</v>
      </c>
      <c r="B432" s="14" t="s">
        <v>766</v>
      </c>
      <c r="C432" s="18" t="s">
        <v>1173</v>
      </c>
      <c r="D432" s="14" t="str">
        <f t="shared" si="53"/>
        <v>1ST-358-431</v>
      </c>
      <c r="E432" s="18" t="s">
        <v>907</v>
      </c>
      <c r="F432" s="19">
        <f t="shared" si="54"/>
        <v>12</v>
      </c>
      <c r="G432" s="19" t="str">
        <f t="shared" si="55"/>
        <v>PC</v>
      </c>
      <c r="H432" s="18" t="s">
        <v>3029</v>
      </c>
      <c r="I432" s="14" t="s">
        <v>441</v>
      </c>
    </row>
    <row r="433" spans="1:9" ht="26.4" x14ac:dyDescent="0.25">
      <c r="A433" s="17" t="s">
        <v>320</v>
      </c>
      <c r="B433" s="14" t="s">
        <v>766</v>
      </c>
      <c r="C433" s="18" t="s">
        <v>1174</v>
      </c>
      <c r="D433" s="14" t="str">
        <f t="shared" si="53"/>
        <v>1ST-358-432</v>
      </c>
      <c r="E433" s="18" t="s">
        <v>1175</v>
      </c>
      <c r="F433" s="19">
        <f t="shared" si="54"/>
        <v>15.5</v>
      </c>
      <c r="G433" s="19" t="str">
        <f t="shared" si="55"/>
        <v>PC</v>
      </c>
      <c r="H433" s="18" t="s">
        <v>3030</v>
      </c>
      <c r="I433" s="14" t="s">
        <v>441</v>
      </c>
    </row>
    <row r="434" spans="1:9" ht="26.4" x14ac:dyDescent="0.25">
      <c r="A434" s="17" t="s">
        <v>320</v>
      </c>
      <c r="B434" s="14" t="s">
        <v>766</v>
      </c>
      <c r="C434" s="18" t="s">
        <v>1176</v>
      </c>
      <c r="D434" s="14" t="str">
        <f t="shared" si="53"/>
        <v>1ST-358-433</v>
      </c>
      <c r="E434" s="18" t="s">
        <v>1175</v>
      </c>
      <c r="F434" s="19">
        <f t="shared" si="54"/>
        <v>15.5</v>
      </c>
      <c r="G434" s="19" t="str">
        <f t="shared" si="55"/>
        <v>PC</v>
      </c>
      <c r="H434" s="18" t="s">
        <v>3030</v>
      </c>
      <c r="I434" s="14" t="s">
        <v>441</v>
      </c>
    </row>
    <row r="435" spans="1:9" ht="26.4" x14ac:dyDescent="0.25">
      <c r="A435" s="17" t="s">
        <v>320</v>
      </c>
      <c r="B435" s="14" t="s">
        <v>766</v>
      </c>
      <c r="C435" s="18" t="s">
        <v>1177</v>
      </c>
      <c r="D435" s="14" t="str">
        <f t="shared" si="53"/>
        <v>1ST-358-434</v>
      </c>
      <c r="E435" s="18" t="s">
        <v>1178</v>
      </c>
      <c r="F435" s="19">
        <f t="shared" si="54"/>
        <v>24</v>
      </c>
      <c r="G435" s="19" t="str">
        <f t="shared" si="55"/>
        <v>PC</v>
      </c>
      <c r="H435" s="18" t="s">
        <v>3031</v>
      </c>
      <c r="I435" s="14" t="s">
        <v>441</v>
      </c>
    </row>
    <row r="436" spans="1:9" ht="26.4" x14ac:dyDescent="0.25">
      <c r="A436" s="17" t="s">
        <v>320</v>
      </c>
      <c r="B436" s="14" t="s">
        <v>765</v>
      </c>
      <c r="C436" s="18" t="s">
        <v>1179</v>
      </c>
      <c r="D436" s="14" t="str">
        <f t="shared" si="53"/>
        <v>1ST-358-435</v>
      </c>
      <c r="E436" s="18" t="s">
        <v>909</v>
      </c>
      <c r="F436" s="19">
        <f t="shared" si="54"/>
        <v>18</v>
      </c>
      <c r="G436" s="19" t="str">
        <f t="shared" si="55"/>
        <v>PC</v>
      </c>
      <c r="H436" s="18" t="s">
        <v>3023</v>
      </c>
      <c r="I436" s="14" t="s">
        <v>441</v>
      </c>
    </row>
    <row r="437" spans="1:9" ht="26.4" x14ac:dyDescent="0.25">
      <c r="A437" s="17" t="s">
        <v>320</v>
      </c>
      <c r="B437" s="14" t="s">
        <v>765</v>
      </c>
      <c r="C437" s="18" t="s">
        <v>1180</v>
      </c>
      <c r="D437" s="14" t="str">
        <f t="shared" si="53"/>
        <v>1ST-358-436</v>
      </c>
      <c r="E437" s="18" t="s">
        <v>1181</v>
      </c>
      <c r="F437" s="19">
        <f t="shared" si="54"/>
        <v>24.5</v>
      </c>
      <c r="G437" s="19" t="str">
        <f t="shared" si="55"/>
        <v>PC</v>
      </c>
      <c r="H437" s="18" t="s">
        <v>3032</v>
      </c>
      <c r="I437" s="14" t="s">
        <v>441</v>
      </c>
    </row>
    <row r="438" spans="1:9" ht="26.4" x14ac:dyDescent="0.25">
      <c r="A438" s="17" t="s">
        <v>320</v>
      </c>
      <c r="B438" s="14" t="s">
        <v>765</v>
      </c>
      <c r="C438" s="18" t="s">
        <v>1182</v>
      </c>
      <c r="D438" s="14" t="str">
        <f t="shared" si="53"/>
        <v>1ST-358-437</v>
      </c>
      <c r="E438" s="18" t="s">
        <v>1151</v>
      </c>
      <c r="F438" s="19">
        <f t="shared" si="54"/>
        <v>34</v>
      </c>
      <c r="G438" s="19" t="str">
        <f t="shared" si="55"/>
        <v>PC</v>
      </c>
      <c r="H438" s="18" t="s">
        <v>3033</v>
      </c>
      <c r="I438" s="14" t="s">
        <v>441</v>
      </c>
    </row>
    <row r="439" spans="1:9" ht="26.4" x14ac:dyDescent="0.25">
      <c r="A439" s="17" t="s">
        <v>320</v>
      </c>
      <c r="B439" s="14" t="s">
        <v>764</v>
      </c>
      <c r="C439" s="19" t="s">
        <v>1183</v>
      </c>
      <c r="D439" s="14" t="str">
        <f t="shared" si="53"/>
        <v>1ST-358-438</v>
      </c>
      <c r="E439" s="19" t="s">
        <v>943</v>
      </c>
      <c r="F439" s="19">
        <f t="shared" si="54"/>
        <v>27</v>
      </c>
      <c r="G439" s="19" t="str">
        <f t="shared" si="55"/>
        <v>PC</v>
      </c>
      <c r="H439" s="18" t="s">
        <v>3034</v>
      </c>
      <c r="I439" s="14" t="s">
        <v>441</v>
      </c>
    </row>
    <row r="440" spans="1:9" ht="26.4" x14ac:dyDescent="0.25">
      <c r="A440" s="17" t="s">
        <v>320</v>
      </c>
      <c r="B440" s="14" t="s">
        <v>764</v>
      </c>
      <c r="C440" s="19" t="s">
        <v>1184</v>
      </c>
      <c r="D440" s="14" t="str">
        <f t="shared" si="53"/>
        <v>1ST-358-439</v>
      </c>
      <c r="E440" s="19" t="s">
        <v>1185</v>
      </c>
      <c r="F440" s="19">
        <f t="shared" si="54"/>
        <v>34.5</v>
      </c>
      <c r="G440" s="19" t="str">
        <f t="shared" si="55"/>
        <v>PC</v>
      </c>
      <c r="H440" s="18" t="s">
        <v>3035</v>
      </c>
      <c r="I440" s="14" t="s">
        <v>441</v>
      </c>
    </row>
    <row r="441" spans="1:9" ht="26.4" x14ac:dyDescent="0.25">
      <c r="A441" s="17" t="s">
        <v>320</v>
      </c>
      <c r="B441" s="14" t="s">
        <v>764</v>
      </c>
      <c r="C441" s="19" t="s">
        <v>1186</v>
      </c>
      <c r="D441" s="14" t="str">
        <f t="shared" si="53"/>
        <v>1ST-358-440</v>
      </c>
      <c r="E441" s="19" t="s">
        <v>975</v>
      </c>
      <c r="F441" s="19">
        <f t="shared" si="54"/>
        <v>58</v>
      </c>
      <c r="G441" s="19" t="str">
        <f t="shared" si="55"/>
        <v>PC</v>
      </c>
      <c r="H441" s="18" t="s">
        <v>3036</v>
      </c>
      <c r="I441" s="14" t="s">
        <v>441</v>
      </c>
    </row>
    <row r="442" spans="1:9" ht="26.4" x14ac:dyDescent="0.25">
      <c r="A442" s="17" t="s">
        <v>320</v>
      </c>
      <c r="B442" s="14" t="s">
        <v>763</v>
      </c>
      <c r="C442" s="19" t="s">
        <v>1187</v>
      </c>
      <c r="D442" s="14" t="str">
        <f t="shared" si="53"/>
        <v>1ST-358-441</v>
      </c>
      <c r="E442" s="19" t="s">
        <v>1188</v>
      </c>
      <c r="F442" s="19">
        <f t="shared" si="54"/>
        <v>34.5</v>
      </c>
      <c r="G442" s="19" t="str">
        <f t="shared" si="55"/>
        <v>PC</v>
      </c>
      <c r="H442" s="18" t="s">
        <v>3033</v>
      </c>
      <c r="I442" s="14" t="s">
        <v>441</v>
      </c>
    </row>
    <row r="443" spans="1:9" ht="26.4" x14ac:dyDescent="0.25">
      <c r="A443" s="17" t="s">
        <v>320</v>
      </c>
      <c r="B443" s="14" t="s">
        <v>763</v>
      </c>
      <c r="C443" s="19" t="s">
        <v>1189</v>
      </c>
      <c r="D443" s="14" t="str">
        <f t="shared" si="53"/>
        <v>1ST-358-442</v>
      </c>
      <c r="E443" s="19" t="s">
        <v>873</v>
      </c>
      <c r="F443" s="19">
        <f t="shared" si="54"/>
        <v>53</v>
      </c>
      <c r="G443" s="19" t="str">
        <f t="shared" si="55"/>
        <v>PC</v>
      </c>
      <c r="H443" s="18" t="s">
        <v>3037</v>
      </c>
      <c r="I443" s="14" t="s">
        <v>441</v>
      </c>
    </row>
    <row r="444" spans="1:9" ht="26.4" x14ac:dyDescent="0.25">
      <c r="A444" s="17" t="s">
        <v>320</v>
      </c>
      <c r="B444" s="14" t="s">
        <v>762</v>
      </c>
      <c r="C444" s="18" t="s">
        <v>1190</v>
      </c>
      <c r="D444" s="14" t="str">
        <f t="shared" si="53"/>
        <v>1ST-358-443</v>
      </c>
      <c r="E444" s="18" t="s">
        <v>1191</v>
      </c>
      <c r="F444" s="19">
        <f t="shared" si="54"/>
        <v>29.5</v>
      </c>
      <c r="G444" s="19" t="str">
        <f t="shared" si="55"/>
        <v>PC</v>
      </c>
      <c r="H444" s="18" t="s">
        <v>3038</v>
      </c>
      <c r="I444" s="14" t="s">
        <v>441</v>
      </c>
    </row>
    <row r="445" spans="1:9" ht="26.4" x14ac:dyDescent="0.25">
      <c r="A445" s="17" t="s">
        <v>320</v>
      </c>
      <c r="B445" s="14" t="s">
        <v>762</v>
      </c>
      <c r="C445" s="18" t="s">
        <v>1192</v>
      </c>
      <c r="D445" s="14" t="str">
        <f t="shared" si="53"/>
        <v>1ST-358-444</v>
      </c>
      <c r="E445" s="18" t="s">
        <v>1128</v>
      </c>
      <c r="F445" s="19">
        <f t="shared" si="54"/>
        <v>38.5</v>
      </c>
      <c r="G445" s="19" t="str">
        <f t="shared" si="55"/>
        <v>PC</v>
      </c>
      <c r="H445" s="18" t="s">
        <v>3039</v>
      </c>
      <c r="I445" s="14" t="s">
        <v>441</v>
      </c>
    </row>
    <row r="446" spans="1:9" ht="26.4" x14ac:dyDescent="0.25">
      <c r="A446" s="17" t="s">
        <v>320</v>
      </c>
      <c r="B446" s="14" t="s">
        <v>762</v>
      </c>
      <c r="C446" s="18" t="s">
        <v>1193</v>
      </c>
      <c r="D446" s="14" t="str">
        <f t="shared" si="53"/>
        <v>1ST-358-445</v>
      </c>
      <c r="E446" s="18" t="s">
        <v>1169</v>
      </c>
      <c r="F446" s="19">
        <f t="shared" si="54"/>
        <v>41</v>
      </c>
      <c r="G446" s="19" t="str">
        <f t="shared" si="55"/>
        <v>PC</v>
      </c>
      <c r="H446" s="18" t="s">
        <v>3025</v>
      </c>
      <c r="I446" s="14" t="s">
        <v>441</v>
      </c>
    </row>
    <row r="447" spans="1:9" ht="26.4" x14ac:dyDescent="0.25">
      <c r="A447" s="17" t="s">
        <v>320</v>
      </c>
      <c r="B447" s="14" t="s">
        <v>762</v>
      </c>
      <c r="C447" s="18" t="s">
        <v>1194</v>
      </c>
      <c r="D447" s="14" t="str">
        <f t="shared" si="53"/>
        <v>1ST-358-446</v>
      </c>
      <c r="E447" s="18" t="s">
        <v>975</v>
      </c>
      <c r="F447" s="19">
        <f t="shared" si="54"/>
        <v>58</v>
      </c>
      <c r="G447" s="19" t="str">
        <f t="shared" si="55"/>
        <v>PC</v>
      </c>
      <c r="H447" s="18" t="s">
        <v>3040</v>
      </c>
      <c r="I447" s="14" t="s">
        <v>441</v>
      </c>
    </row>
    <row r="448" spans="1:9" x14ac:dyDescent="0.25">
      <c r="A448" s="17" t="s">
        <v>320</v>
      </c>
      <c r="B448" s="14" t="s">
        <v>758</v>
      </c>
      <c r="C448" s="18" t="s">
        <v>1195</v>
      </c>
      <c r="D448" s="14" t="str">
        <f t="shared" si="53"/>
        <v>1ST-358-447</v>
      </c>
      <c r="E448" s="18" t="s">
        <v>1196</v>
      </c>
      <c r="F448" s="19">
        <f t="shared" si="54"/>
        <v>72</v>
      </c>
      <c r="G448" s="19" t="str">
        <f t="shared" si="55"/>
        <v>PC</v>
      </c>
      <c r="H448" s="20" t="s">
        <v>770</v>
      </c>
      <c r="I448" s="14" t="s">
        <v>769</v>
      </c>
    </row>
    <row r="449" spans="1:9" x14ac:dyDescent="0.25">
      <c r="A449" s="17" t="s">
        <v>320</v>
      </c>
      <c r="B449" s="14" t="s">
        <v>758</v>
      </c>
      <c r="C449" s="18" t="s">
        <v>1197</v>
      </c>
      <c r="D449" s="14" t="str">
        <f t="shared" si="53"/>
        <v>1ST-358-448</v>
      </c>
      <c r="E449" s="18" t="s">
        <v>443</v>
      </c>
      <c r="F449" s="19">
        <f t="shared" si="54"/>
        <v>90</v>
      </c>
      <c r="G449" s="19" t="str">
        <f t="shared" si="55"/>
        <v>PC</v>
      </c>
      <c r="H449" s="20" t="s">
        <v>770</v>
      </c>
      <c r="I449" s="14" t="s">
        <v>769</v>
      </c>
    </row>
    <row r="450" spans="1:9" x14ac:dyDescent="0.25">
      <c r="A450" s="17" t="s">
        <v>320</v>
      </c>
      <c r="B450" s="14" t="s">
        <v>758</v>
      </c>
      <c r="C450" s="18" t="s">
        <v>1198</v>
      </c>
      <c r="D450" s="14" t="str">
        <f t="shared" si="53"/>
        <v>1ST-358-449</v>
      </c>
      <c r="E450" s="18" t="s">
        <v>1199</v>
      </c>
      <c r="F450" s="19">
        <f t="shared" si="54"/>
        <v>102</v>
      </c>
      <c r="G450" s="19" t="str">
        <f t="shared" si="55"/>
        <v>PC</v>
      </c>
      <c r="H450" s="20" t="s">
        <v>770</v>
      </c>
      <c r="I450" s="14" t="s">
        <v>769</v>
      </c>
    </row>
    <row r="451" spans="1:9" x14ac:dyDescent="0.25">
      <c r="A451" s="17" t="s">
        <v>320</v>
      </c>
      <c r="B451" s="14" t="s">
        <v>758</v>
      </c>
      <c r="C451" s="18" t="s">
        <v>1200</v>
      </c>
      <c r="D451" s="14" t="str">
        <f t="shared" si="53"/>
        <v>1ST-358-450</v>
      </c>
      <c r="E451" s="18" t="s">
        <v>1201</v>
      </c>
      <c r="F451" s="19">
        <f t="shared" si="54"/>
        <v>244</v>
      </c>
      <c r="G451" s="19" t="str">
        <f t="shared" si="55"/>
        <v>PC</v>
      </c>
      <c r="H451" s="20" t="s">
        <v>770</v>
      </c>
      <c r="I451" s="14" t="s">
        <v>769</v>
      </c>
    </row>
    <row r="452" spans="1:9" x14ac:dyDescent="0.25">
      <c r="A452" s="17" t="s">
        <v>320</v>
      </c>
      <c r="B452" s="14" t="s">
        <v>758</v>
      </c>
      <c r="C452" s="18" t="s">
        <v>1202</v>
      </c>
      <c r="D452" s="14" t="str">
        <f t="shared" si="53"/>
        <v>1ST-358-451</v>
      </c>
      <c r="E452" s="18" t="s">
        <v>1203</v>
      </c>
      <c r="F452" s="19">
        <f t="shared" si="54"/>
        <v>292</v>
      </c>
      <c r="G452" s="19" t="str">
        <f t="shared" si="55"/>
        <v>PC</v>
      </c>
      <c r="H452" s="20" t="s">
        <v>770</v>
      </c>
      <c r="I452" s="14" t="s">
        <v>769</v>
      </c>
    </row>
    <row r="453" spans="1:9" x14ac:dyDescent="0.25">
      <c r="A453" s="17" t="s">
        <v>320</v>
      </c>
      <c r="B453" s="14" t="s">
        <v>758</v>
      </c>
      <c r="C453" s="18" t="s">
        <v>1204</v>
      </c>
      <c r="D453" s="14" t="str">
        <f t="shared" ref="D453:D516" si="56">LEFT($D$2,FIND("-",$D$2,FIND("-",$D$2)+1)) &amp; TEXT(RIGHT($D$2,3)+ROW(D451),"000")</f>
        <v>1ST-358-452</v>
      </c>
      <c r="E453" s="18" t="s">
        <v>1205</v>
      </c>
      <c r="F453" s="19">
        <f t="shared" si="54"/>
        <v>410</v>
      </c>
      <c r="G453" s="19" t="str">
        <f t="shared" si="55"/>
        <v>PC</v>
      </c>
      <c r="H453" s="20" t="s">
        <v>770</v>
      </c>
      <c r="I453" s="14" t="s">
        <v>769</v>
      </c>
    </row>
    <row r="454" spans="1:9" x14ac:dyDescent="0.25">
      <c r="A454" s="17" t="s">
        <v>320</v>
      </c>
      <c r="B454" s="14" t="s">
        <v>758</v>
      </c>
      <c r="C454" s="18" t="s">
        <v>1206</v>
      </c>
      <c r="D454" s="14" t="str">
        <f t="shared" si="56"/>
        <v>1ST-358-453</v>
      </c>
      <c r="E454" s="18" t="s">
        <v>1207</v>
      </c>
      <c r="F454" s="19">
        <f t="shared" si="54"/>
        <v>2000</v>
      </c>
      <c r="G454" s="19" t="str">
        <f t="shared" si="55"/>
        <v>PC</v>
      </c>
      <c r="H454" s="20" t="s">
        <v>770</v>
      </c>
      <c r="I454" s="14" t="s">
        <v>769</v>
      </c>
    </row>
    <row r="455" spans="1:9" x14ac:dyDescent="0.25">
      <c r="A455" s="17" t="s">
        <v>320</v>
      </c>
      <c r="B455" s="14" t="s">
        <v>760</v>
      </c>
      <c r="C455" s="18" t="s">
        <v>1208</v>
      </c>
      <c r="D455" s="14" t="str">
        <f t="shared" si="56"/>
        <v>1ST-358-454</v>
      </c>
      <c r="E455" s="19" t="s">
        <v>1047</v>
      </c>
      <c r="F455" s="19">
        <f t="shared" si="54"/>
        <v>84</v>
      </c>
      <c r="G455" s="19" t="str">
        <f t="shared" si="55"/>
        <v>PC</v>
      </c>
      <c r="H455" s="20" t="s">
        <v>770</v>
      </c>
      <c r="I455" s="14" t="s">
        <v>769</v>
      </c>
    </row>
    <row r="456" spans="1:9" x14ac:dyDescent="0.25">
      <c r="A456" s="17" t="s">
        <v>320</v>
      </c>
      <c r="B456" s="14" t="s">
        <v>760</v>
      </c>
      <c r="C456" s="18" t="s">
        <v>1209</v>
      </c>
      <c r="D456" s="14" t="str">
        <f t="shared" si="56"/>
        <v>1ST-358-455</v>
      </c>
      <c r="E456" s="19" t="s">
        <v>1138</v>
      </c>
      <c r="F456" s="19">
        <f t="shared" si="54"/>
        <v>96</v>
      </c>
      <c r="G456" s="19" t="str">
        <f t="shared" si="55"/>
        <v>PC</v>
      </c>
      <c r="H456" s="20" t="s">
        <v>770</v>
      </c>
      <c r="I456" s="14" t="s">
        <v>769</v>
      </c>
    </row>
    <row r="457" spans="1:9" x14ac:dyDescent="0.25">
      <c r="A457" s="17" t="s">
        <v>320</v>
      </c>
      <c r="B457" s="14" t="s">
        <v>760</v>
      </c>
      <c r="C457" s="18" t="s">
        <v>1210</v>
      </c>
      <c r="D457" s="14" t="str">
        <f t="shared" si="56"/>
        <v>1ST-358-456</v>
      </c>
      <c r="E457" s="19" t="s">
        <v>1211</v>
      </c>
      <c r="F457" s="19">
        <f t="shared" si="54"/>
        <v>124</v>
      </c>
      <c r="G457" s="19" t="str">
        <f t="shared" si="55"/>
        <v>PC</v>
      </c>
      <c r="H457" s="20" t="s">
        <v>770</v>
      </c>
      <c r="I457" s="14" t="s">
        <v>769</v>
      </c>
    </row>
    <row r="458" spans="1:9" x14ac:dyDescent="0.25">
      <c r="A458" s="17" t="s">
        <v>320</v>
      </c>
      <c r="B458" s="14" t="s">
        <v>760</v>
      </c>
      <c r="C458" s="18" t="s">
        <v>1212</v>
      </c>
      <c r="D458" s="14" t="str">
        <f t="shared" si="56"/>
        <v>1ST-358-457</v>
      </c>
      <c r="E458" s="19" t="s">
        <v>1213</v>
      </c>
      <c r="F458" s="19">
        <f t="shared" si="54"/>
        <v>400</v>
      </c>
      <c r="G458" s="19" t="str">
        <f t="shared" si="55"/>
        <v>PC</v>
      </c>
      <c r="H458" s="20" t="s">
        <v>770</v>
      </c>
      <c r="I458" s="14" t="s">
        <v>769</v>
      </c>
    </row>
    <row r="459" spans="1:9" x14ac:dyDescent="0.25">
      <c r="A459" s="17" t="s">
        <v>320</v>
      </c>
      <c r="B459" s="14" t="s">
        <v>760</v>
      </c>
      <c r="C459" s="18" t="s">
        <v>1214</v>
      </c>
      <c r="D459" s="14" t="str">
        <f t="shared" si="56"/>
        <v>1ST-358-458</v>
      </c>
      <c r="E459" s="19" t="s">
        <v>1215</v>
      </c>
      <c r="F459" s="19">
        <f t="shared" si="54"/>
        <v>440</v>
      </c>
      <c r="G459" s="19" t="str">
        <f t="shared" si="55"/>
        <v>PC</v>
      </c>
      <c r="H459" s="20" t="s">
        <v>770</v>
      </c>
      <c r="I459" s="14" t="s">
        <v>769</v>
      </c>
    </row>
    <row r="460" spans="1:9" x14ac:dyDescent="0.25">
      <c r="A460" s="17" t="s">
        <v>320</v>
      </c>
      <c r="B460" s="14" t="s">
        <v>760</v>
      </c>
      <c r="C460" s="18" t="s">
        <v>1216</v>
      </c>
      <c r="D460" s="14" t="str">
        <f t="shared" si="56"/>
        <v>1ST-358-459</v>
      </c>
      <c r="E460" s="19" t="s">
        <v>1217</v>
      </c>
      <c r="F460" s="19">
        <f t="shared" si="54"/>
        <v>616</v>
      </c>
      <c r="G460" s="19" t="str">
        <f t="shared" si="55"/>
        <v>PC</v>
      </c>
      <c r="H460" s="20" t="s">
        <v>770</v>
      </c>
      <c r="I460" s="14" t="s">
        <v>769</v>
      </c>
    </row>
    <row r="461" spans="1:9" x14ac:dyDescent="0.25">
      <c r="A461" s="17" t="s">
        <v>320</v>
      </c>
      <c r="B461" s="14" t="s">
        <v>760</v>
      </c>
      <c r="C461" s="18" t="s">
        <v>1218</v>
      </c>
      <c r="D461" s="14" t="str">
        <f t="shared" si="56"/>
        <v>1ST-358-460</v>
      </c>
      <c r="E461" s="19" t="s">
        <v>1219</v>
      </c>
      <c r="F461" s="19">
        <f t="shared" si="54"/>
        <v>2800</v>
      </c>
      <c r="G461" s="19" t="str">
        <f t="shared" si="55"/>
        <v>PC</v>
      </c>
      <c r="H461" s="20" t="s">
        <v>770</v>
      </c>
      <c r="I461" s="14" t="s">
        <v>769</v>
      </c>
    </row>
    <row r="462" spans="1:9" x14ac:dyDescent="0.25">
      <c r="A462" s="17" t="s">
        <v>320</v>
      </c>
      <c r="B462" s="14" t="s">
        <v>759</v>
      </c>
      <c r="C462" s="18" t="s">
        <v>1220</v>
      </c>
      <c r="D462" s="14" t="str">
        <f t="shared" si="56"/>
        <v>1ST-358-461</v>
      </c>
      <c r="E462" s="18" t="s">
        <v>1221</v>
      </c>
      <c r="F462" s="19">
        <f t="shared" si="54"/>
        <v>92</v>
      </c>
      <c r="G462" s="19" t="str">
        <f t="shared" si="55"/>
        <v>PC</v>
      </c>
      <c r="H462" s="20" t="s">
        <v>770</v>
      </c>
      <c r="I462" s="14" t="s">
        <v>769</v>
      </c>
    </row>
    <row r="463" spans="1:9" x14ac:dyDescent="0.25">
      <c r="A463" s="17" t="s">
        <v>320</v>
      </c>
      <c r="B463" s="14" t="s">
        <v>759</v>
      </c>
      <c r="C463" s="18" t="s">
        <v>1222</v>
      </c>
      <c r="D463" s="14" t="str">
        <f t="shared" si="56"/>
        <v>1ST-358-462</v>
      </c>
      <c r="E463" s="18" t="s">
        <v>1223</v>
      </c>
      <c r="F463" s="19">
        <f t="shared" si="54"/>
        <v>132</v>
      </c>
      <c r="G463" s="19" t="str">
        <f t="shared" si="55"/>
        <v>PC</v>
      </c>
      <c r="H463" s="20" t="s">
        <v>770</v>
      </c>
      <c r="I463" s="14" t="s">
        <v>769</v>
      </c>
    </row>
    <row r="464" spans="1:9" x14ac:dyDescent="0.25">
      <c r="A464" s="17" t="s">
        <v>320</v>
      </c>
      <c r="B464" s="14" t="s">
        <v>759</v>
      </c>
      <c r="C464" s="18" t="s">
        <v>1224</v>
      </c>
      <c r="D464" s="14" t="str">
        <f t="shared" si="56"/>
        <v>1ST-358-463</v>
      </c>
      <c r="E464" s="18" t="s">
        <v>656</v>
      </c>
      <c r="F464" s="19">
        <f t="shared" si="54"/>
        <v>160</v>
      </c>
      <c r="G464" s="19" t="str">
        <f t="shared" si="55"/>
        <v>PC</v>
      </c>
      <c r="H464" s="20" t="s">
        <v>770</v>
      </c>
      <c r="I464" s="14" t="s">
        <v>769</v>
      </c>
    </row>
    <row r="465" spans="1:9" x14ac:dyDescent="0.25">
      <c r="A465" s="17" t="s">
        <v>320</v>
      </c>
      <c r="B465" s="14" t="s">
        <v>759</v>
      </c>
      <c r="C465" s="18" t="s">
        <v>1225</v>
      </c>
      <c r="D465" s="14" t="str">
        <f t="shared" si="56"/>
        <v>1ST-358-464</v>
      </c>
      <c r="E465" s="18" t="s">
        <v>1205</v>
      </c>
      <c r="F465" s="19">
        <f t="shared" si="54"/>
        <v>410</v>
      </c>
      <c r="G465" s="19" t="str">
        <f t="shared" si="55"/>
        <v>PC</v>
      </c>
      <c r="H465" s="20" t="s">
        <v>770</v>
      </c>
      <c r="I465" s="14" t="s">
        <v>769</v>
      </c>
    </row>
    <row r="466" spans="1:9" x14ac:dyDescent="0.25">
      <c r="A466" s="17" t="s">
        <v>320</v>
      </c>
      <c r="B466" s="14" t="s">
        <v>759</v>
      </c>
      <c r="C466" s="18" t="s">
        <v>1226</v>
      </c>
      <c r="D466" s="14" t="str">
        <f t="shared" si="56"/>
        <v>1ST-358-465</v>
      </c>
      <c r="E466" s="18" t="s">
        <v>1227</v>
      </c>
      <c r="F466" s="19">
        <f t="shared" si="54"/>
        <v>478</v>
      </c>
      <c r="G466" s="19" t="str">
        <f t="shared" si="55"/>
        <v>PC</v>
      </c>
      <c r="H466" s="20" t="s">
        <v>770</v>
      </c>
      <c r="I466" s="14" t="s">
        <v>769</v>
      </c>
    </row>
    <row r="467" spans="1:9" x14ac:dyDescent="0.25">
      <c r="A467" s="17" t="s">
        <v>320</v>
      </c>
      <c r="B467" s="14" t="s">
        <v>759</v>
      </c>
      <c r="C467" s="18" t="s">
        <v>1228</v>
      </c>
      <c r="D467" s="14" t="str">
        <f t="shared" si="56"/>
        <v>1ST-358-466</v>
      </c>
      <c r="E467" s="18" t="s">
        <v>1229</v>
      </c>
      <c r="F467" s="19">
        <f t="shared" si="54"/>
        <v>800</v>
      </c>
      <c r="G467" s="19" t="str">
        <f t="shared" si="55"/>
        <v>PC</v>
      </c>
      <c r="H467" s="20" t="s">
        <v>770</v>
      </c>
      <c r="I467" s="14" t="s">
        <v>769</v>
      </c>
    </row>
    <row r="468" spans="1:9" x14ac:dyDescent="0.25">
      <c r="A468" s="17" t="s">
        <v>320</v>
      </c>
      <c r="B468" s="14" t="s">
        <v>758</v>
      </c>
      <c r="C468" s="18" t="s">
        <v>3041</v>
      </c>
      <c r="D468" s="14" t="str">
        <f t="shared" si="56"/>
        <v>1ST-358-467</v>
      </c>
      <c r="E468" s="18" t="s">
        <v>1221</v>
      </c>
      <c r="F468" s="19">
        <f t="shared" si="54"/>
        <v>92</v>
      </c>
      <c r="G468" s="19" t="str">
        <f t="shared" si="55"/>
        <v>PC</v>
      </c>
      <c r="H468" s="20" t="s">
        <v>770</v>
      </c>
      <c r="I468" s="14" t="s">
        <v>769</v>
      </c>
    </row>
    <row r="469" spans="1:9" x14ac:dyDescent="0.25">
      <c r="A469" s="17" t="s">
        <v>320</v>
      </c>
      <c r="B469" s="14" t="s">
        <v>758</v>
      </c>
      <c r="C469" s="18" t="s">
        <v>3042</v>
      </c>
      <c r="D469" s="14" t="str">
        <f t="shared" si="56"/>
        <v>1ST-358-468</v>
      </c>
      <c r="E469" s="18" t="s">
        <v>1223</v>
      </c>
      <c r="F469" s="19">
        <f t="shared" si="54"/>
        <v>132</v>
      </c>
      <c r="G469" s="19" t="str">
        <f t="shared" si="55"/>
        <v>PC</v>
      </c>
      <c r="H469" s="20" t="s">
        <v>770</v>
      </c>
      <c r="I469" s="14" t="s">
        <v>769</v>
      </c>
    </row>
    <row r="470" spans="1:9" x14ac:dyDescent="0.25">
      <c r="A470" s="17" t="s">
        <v>320</v>
      </c>
      <c r="B470" s="14" t="s">
        <v>758</v>
      </c>
      <c r="C470" s="18" t="s">
        <v>3043</v>
      </c>
      <c r="D470" s="14" t="str">
        <f t="shared" si="56"/>
        <v>1ST-358-469</v>
      </c>
      <c r="E470" s="18" t="s">
        <v>1223</v>
      </c>
      <c r="F470" s="19">
        <f t="shared" si="54"/>
        <v>132</v>
      </c>
      <c r="G470" s="19" t="str">
        <f t="shared" si="55"/>
        <v>PC</v>
      </c>
      <c r="H470" s="20" t="s">
        <v>770</v>
      </c>
      <c r="I470" s="14" t="s">
        <v>769</v>
      </c>
    </row>
    <row r="471" spans="1:9" x14ac:dyDescent="0.25">
      <c r="A471" s="17" t="s">
        <v>320</v>
      </c>
      <c r="B471" s="14" t="s">
        <v>757</v>
      </c>
      <c r="C471" s="18" t="s">
        <v>3044</v>
      </c>
      <c r="D471" s="14" t="str">
        <f t="shared" si="56"/>
        <v>1ST-358-470</v>
      </c>
      <c r="E471" s="18" t="s">
        <v>1230</v>
      </c>
      <c r="F471" s="19">
        <f t="shared" si="54"/>
        <v>142</v>
      </c>
      <c r="G471" s="19" t="str">
        <f t="shared" si="55"/>
        <v>PC</v>
      </c>
      <c r="H471" s="20" t="s">
        <v>770</v>
      </c>
      <c r="I471" s="14" t="s">
        <v>769</v>
      </c>
    </row>
    <row r="472" spans="1:9" x14ac:dyDescent="0.25">
      <c r="A472" s="17" t="s">
        <v>320</v>
      </c>
      <c r="B472" s="14" t="s">
        <v>757</v>
      </c>
      <c r="C472" s="18" t="s">
        <v>3045</v>
      </c>
      <c r="D472" s="14" t="str">
        <f t="shared" si="56"/>
        <v>1ST-358-471</v>
      </c>
      <c r="E472" s="18" t="s">
        <v>449</v>
      </c>
      <c r="F472" s="19">
        <f t="shared" si="54"/>
        <v>168</v>
      </c>
      <c r="G472" s="19" t="str">
        <f t="shared" si="55"/>
        <v>PC</v>
      </c>
      <c r="H472" s="20" t="s">
        <v>770</v>
      </c>
      <c r="I472" s="14" t="s">
        <v>769</v>
      </c>
    </row>
    <row r="473" spans="1:9" x14ac:dyDescent="0.25">
      <c r="A473" s="17" t="s">
        <v>320</v>
      </c>
      <c r="B473" s="14" t="s">
        <v>757</v>
      </c>
      <c r="C473" s="18" t="s">
        <v>3046</v>
      </c>
      <c r="D473" s="14" t="str">
        <f t="shared" si="56"/>
        <v>1ST-358-472</v>
      </c>
      <c r="E473" s="18" t="s">
        <v>449</v>
      </c>
      <c r="F473" s="19">
        <f t="shared" si="54"/>
        <v>168</v>
      </c>
      <c r="G473" s="19" t="str">
        <f t="shared" si="55"/>
        <v>PC</v>
      </c>
      <c r="H473" s="20" t="s">
        <v>770</v>
      </c>
      <c r="I473" s="14" t="s">
        <v>769</v>
      </c>
    </row>
    <row r="474" spans="1:9" x14ac:dyDescent="0.25">
      <c r="A474" s="17" t="s">
        <v>320</v>
      </c>
      <c r="B474" s="14" t="s">
        <v>756</v>
      </c>
      <c r="C474" s="18" t="s">
        <v>3047</v>
      </c>
      <c r="D474" s="14" t="str">
        <f t="shared" si="56"/>
        <v>1ST-358-473</v>
      </c>
      <c r="E474" s="18" t="s">
        <v>1161</v>
      </c>
      <c r="F474" s="19">
        <f t="shared" si="54"/>
        <v>40</v>
      </c>
      <c r="G474" s="19" t="str">
        <f t="shared" si="55"/>
        <v>PC</v>
      </c>
      <c r="H474" s="20" t="s">
        <v>770</v>
      </c>
      <c r="I474" s="14" t="s">
        <v>769</v>
      </c>
    </row>
    <row r="475" spans="1:9" x14ac:dyDescent="0.25">
      <c r="A475" s="17" t="s">
        <v>320</v>
      </c>
      <c r="B475" s="14" t="s">
        <v>756</v>
      </c>
      <c r="C475" s="18" t="s">
        <v>3048</v>
      </c>
      <c r="D475" s="14" t="str">
        <f t="shared" si="56"/>
        <v>1ST-358-474</v>
      </c>
      <c r="E475" s="18" t="s">
        <v>1231</v>
      </c>
      <c r="F475" s="19">
        <f t="shared" si="54"/>
        <v>44</v>
      </c>
      <c r="G475" s="19" t="str">
        <f t="shared" si="55"/>
        <v>PC</v>
      </c>
      <c r="H475" s="20" t="s">
        <v>770</v>
      </c>
      <c r="I475" s="14" t="s">
        <v>769</v>
      </c>
    </row>
    <row r="476" spans="1:9" x14ac:dyDescent="0.25">
      <c r="A476" s="17" t="s">
        <v>320</v>
      </c>
      <c r="B476" s="14" t="s">
        <v>756</v>
      </c>
      <c r="C476" s="18" t="s">
        <v>3049</v>
      </c>
      <c r="D476" s="14" t="str">
        <f t="shared" si="56"/>
        <v>1ST-358-475</v>
      </c>
      <c r="E476" s="18" t="s">
        <v>495</v>
      </c>
      <c r="F476" s="19">
        <f t="shared" si="54"/>
        <v>52</v>
      </c>
      <c r="G476" s="19" t="str">
        <f t="shared" si="55"/>
        <v>PC</v>
      </c>
      <c r="H476" s="20" t="s">
        <v>770</v>
      </c>
      <c r="I476" s="14" t="s">
        <v>769</v>
      </c>
    </row>
    <row r="477" spans="1:9" x14ac:dyDescent="0.25">
      <c r="A477" s="17" t="s">
        <v>320</v>
      </c>
      <c r="B477" s="14" t="s">
        <v>756</v>
      </c>
      <c r="C477" s="18" t="s">
        <v>3050</v>
      </c>
      <c r="D477" s="14" t="str">
        <f t="shared" si="56"/>
        <v>1ST-358-476</v>
      </c>
      <c r="E477" s="18" t="s">
        <v>1232</v>
      </c>
      <c r="F477" s="19">
        <f t="shared" si="54"/>
        <v>164</v>
      </c>
      <c r="G477" s="19" t="str">
        <f t="shared" si="55"/>
        <v>PC</v>
      </c>
      <c r="H477" s="20" t="s">
        <v>770</v>
      </c>
      <c r="I477" s="14" t="s">
        <v>769</v>
      </c>
    </row>
    <row r="478" spans="1:9" x14ac:dyDescent="0.25">
      <c r="A478" s="17" t="s">
        <v>320</v>
      </c>
      <c r="B478" s="14" t="s">
        <v>756</v>
      </c>
      <c r="C478" s="18" t="s">
        <v>3051</v>
      </c>
      <c r="D478" s="14" t="str">
        <f t="shared" si="56"/>
        <v>1ST-358-477</v>
      </c>
      <c r="E478" s="18" t="s">
        <v>1233</v>
      </c>
      <c r="F478" s="19">
        <f t="shared" si="54"/>
        <v>186</v>
      </c>
      <c r="G478" s="19" t="str">
        <f t="shared" si="55"/>
        <v>PC</v>
      </c>
      <c r="H478" s="20" t="s">
        <v>770</v>
      </c>
      <c r="I478" s="14" t="s">
        <v>769</v>
      </c>
    </row>
    <row r="479" spans="1:9" x14ac:dyDescent="0.25">
      <c r="A479" s="17" t="s">
        <v>320</v>
      </c>
      <c r="B479" s="14" t="s">
        <v>756</v>
      </c>
      <c r="C479" s="18" t="s">
        <v>3052</v>
      </c>
      <c r="D479" s="14" t="str">
        <f t="shared" si="56"/>
        <v>1ST-358-478</v>
      </c>
      <c r="E479" s="18" t="s">
        <v>1234</v>
      </c>
      <c r="F479" s="19">
        <f t="shared" si="54"/>
        <v>248</v>
      </c>
      <c r="G479" s="19" t="str">
        <f t="shared" si="55"/>
        <v>PC</v>
      </c>
      <c r="H479" s="20" t="s">
        <v>770</v>
      </c>
      <c r="I479" s="14" t="s">
        <v>769</v>
      </c>
    </row>
    <row r="480" spans="1:9" x14ac:dyDescent="0.25">
      <c r="A480" s="17" t="s">
        <v>320</v>
      </c>
      <c r="B480" s="14" t="s">
        <v>755</v>
      </c>
      <c r="C480" s="18" t="s">
        <v>3053</v>
      </c>
      <c r="D480" s="14" t="str">
        <f t="shared" si="56"/>
        <v>1ST-358-479</v>
      </c>
      <c r="E480" s="18" t="s">
        <v>1161</v>
      </c>
      <c r="F480" s="19">
        <f t="shared" si="54"/>
        <v>40</v>
      </c>
      <c r="G480" s="19" t="str">
        <f t="shared" si="55"/>
        <v>PC</v>
      </c>
      <c r="H480" s="20" t="s">
        <v>770</v>
      </c>
      <c r="I480" s="14" t="s">
        <v>769</v>
      </c>
    </row>
    <row r="481" spans="1:9" x14ac:dyDescent="0.25">
      <c r="A481" s="17" t="s">
        <v>320</v>
      </c>
      <c r="B481" s="14" t="s">
        <v>755</v>
      </c>
      <c r="C481" s="18" t="s">
        <v>3054</v>
      </c>
      <c r="D481" s="14" t="str">
        <f t="shared" si="56"/>
        <v>1ST-358-480</v>
      </c>
      <c r="E481" s="18" t="s">
        <v>1231</v>
      </c>
      <c r="F481" s="19">
        <f t="shared" si="54"/>
        <v>44</v>
      </c>
      <c r="G481" s="19" t="str">
        <f t="shared" si="55"/>
        <v>PC</v>
      </c>
      <c r="H481" s="20" t="s">
        <v>770</v>
      </c>
      <c r="I481" s="14" t="s">
        <v>769</v>
      </c>
    </row>
    <row r="482" spans="1:9" x14ac:dyDescent="0.25">
      <c r="A482" s="17" t="s">
        <v>320</v>
      </c>
      <c r="B482" s="14" t="s">
        <v>755</v>
      </c>
      <c r="C482" s="18" t="s">
        <v>3055</v>
      </c>
      <c r="D482" s="14" t="str">
        <f t="shared" si="56"/>
        <v>1ST-358-481</v>
      </c>
      <c r="E482" s="18" t="s">
        <v>495</v>
      </c>
      <c r="F482" s="19">
        <f t="shared" si="54"/>
        <v>52</v>
      </c>
      <c r="G482" s="19" t="str">
        <f t="shared" si="55"/>
        <v>PC</v>
      </c>
      <c r="H482" s="20" t="s">
        <v>770</v>
      </c>
      <c r="I482" s="14" t="s">
        <v>769</v>
      </c>
    </row>
    <row r="483" spans="1:9" ht="26.4" x14ac:dyDescent="0.25">
      <c r="A483" s="17" t="s">
        <v>320</v>
      </c>
      <c r="B483" s="14" t="s">
        <v>755</v>
      </c>
      <c r="C483" s="18" t="s">
        <v>3056</v>
      </c>
      <c r="D483" s="14" t="str">
        <f t="shared" si="56"/>
        <v>1ST-358-482</v>
      </c>
      <c r="E483" s="18" t="s">
        <v>664</v>
      </c>
      <c r="F483" s="19">
        <f t="shared" si="54"/>
        <v>149</v>
      </c>
      <c r="G483" s="19" t="str">
        <f t="shared" si="55"/>
        <v>PC</v>
      </c>
      <c r="H483" s="20" t="s">
        <v>770</v>
      </c>
      <c r="I483" s="14" t="s">
        <v>769</v>
      </c>
    </row>
    <row r="484" spans="1:9" ht="26.4" x14ac:dyDescent="0.25">
      <c r="A484" s="17" t="s">
        <v>320</v>
      </c>
      <c r="B484" s="14" t="s">
        <v>755</v>
      </c>
      <c r="C484" s="18" t="s">
        <v>3057</v>
      </c>
      <c r="D484" s="14" t="str">
        <f t="shared" si="56"/>
        <v>1ST-358-483</v>
      </c>
      <c r="E484" s="18" t="s">
        <v>1233</v>
      </c>
      <c r="F484" s="19">
        <f t="shared" si="54"/>
        <v>186</v>
      </c>
      <c r="G484" s="19" t="str">
        <f t="shared" si="55"/>
        <v>PC</v>
      </c>
      <c r="H484" s="20" t="s">
        <v>770</v>
      </c>
      <c r="I484" s="14" t="s">
        <v>769</v>
      </c>
    </row>
    <row r="485" spans="1:9" x14ac:dyDescent="0.25">
      <c r="A485" s="17" t="s">
        <v>320</v>
      </c>
      <c r="B485" s="14" t="s">
        <v>755</v>
      </c>
      <c r="C485" s="18" t="s">
        <v>3058</v>
      </c>
      <c r="D485" s="14" t="str">
        <f t="shared" si="56"/>
        <v>1ST-358-484</v>
      </c>
      <c r="E485" s="18" t="s">
        <v>1234</v>
      </c>
      <c r="F485" s="19">
        <f t="shared" si="54"/>
        <v>248</v>
      </c>
      <c r="G485" s="19" t="str">
        <f t="shared" si="55"/>
        <v>PC</v>
      </c>
      <c r="H485" s="20" t="s">
        <v>770</v>
      </c>
      <c r="I485" s="14" t="s">
        <v>769</v>
      </c>
    </row>
    <row r="486" spans="1:9" x14ac:dyDescent="0.25">
      <c r="A486" s="17" t="s">
        <v>320</v>
      </c>
      <c r="B486" s="14" t="s">
        <v>755</v>
      </c>
      <c r="C486" s="18" t="s">
        <v>3059</v>
      </c>
      <c r="D486" s="14" t="str">
        <f t="shared" si="56"/>
        <v>1ST-358-485</v>
      </c>
      <c r="E486" s="18" t="s">
        <v>1235</v>
      </c>
      <c r="F486" s="19">
        <f t="shared" si="54"/>
        <v>1600</v>
      </c>
      <c r="G486" s="19" t="str">
        <f t="shared" si="55"/>
        <v>PC</v>
      </c>
      <c r="H486" s="20" t="s">
        <v>770</v>
      </c>
      <c r="I486" s="14" t="s">
        <v>769</v>
      </c>
    </row>
    <row r="487" spans="1:9" x14ac:dyDescent="0.25">
      <c r="A487" s="17" t="s">
        <v>320</v>
      </c>
      <c r="B487" s="14" t="s">
        <v>752</v>
      </c>
      <c r="C487" s="18" t="s">
        <v>3060</v>
      </c>
      <c r="D487" s="14" t="str">
        <f t="shared" si="56"/>
        <v>1ST-358-486</v>
      </c>
      <c r="E487" s="19" t="s">
        <v>495</v>
      </c>
      <c r="F487" s="19">
        <f t="shared" si="54"/>
        <v>52</v>
      </c>
      <c r="G487" s="19" t="str">
        <f t="shared" si="55"/>
        <v>PC</v>
      </c>
      <c r="H487" s="20" t="s">
        <v>770</v>
      </c>
      <c r="I487" s="14" t="s">
        <v>769</v>
      </c>
    </row>
    <row r="488" spans="1:9" x14ac:dyDescent="0.25">
      <c r="A488" s="17" t="s">
        <v>320</v>
      </c>
      <c r="B488" s="14" t="s">
        <v>752</v>
      </c>
      <c r="C488" s="18" t="s">
        <v>3061</v>
      </c>
      <c r="D488" s="14" t="str">
        <f t="shared" si="56"/>
        <v>1ST-358-487</v>
      </c>
      <c r="E488" s="19" t="s">
        <v>975</v>
      </c>
      <c r="F488" s="19">
        <f t="shared" ref="F488:F551" si="57">VALUE(LEFT(E488,FIND("/",E488)-1))</f>
        <v>58</v>
      </c>
      <c r="G488" s="19" t="str">
        <f t="shared" ref="G488:G551" si="58">TRIM(MID(E488,FIND("/",E488)+1,LEN(E488)))</f>
        <v>PC</v>
      </c>
      <c r="H488" s="20" t="s">
        <v>770</v>
      </c>
      <c r="I488" s="14" t="s">
        <v>769</v>
      </c>
    </row>
    <row r="489" spans="1:9" x14ac:dyDescent="0.25">
      <c r="A489" s="17" t="s">
        <v>320</v>
      </c>
      <c r="B489" s="14" t="s">
        <v>752</v>
      </c>
      <c r="C489" s="18" t="s">
        <v>3062</v>
      </c>
      <c r="D489" s="14" t="str">
        <f t="shared" si="56"/>
        <v>1ST-358-488</v>
      </c>
      <c r="E489" s="19" t="s">
        <v>1221</v>
      </c>
      <c r="F489" s="19">
        <f t="shared" si="57"/>
        <v>92</v>
      </c>
      <c r="G489" s="19" t="str">
        <f t="shared" si="58"/>
        <v>PC</v>
      </c>
      <c r="H489" s="20" t="s">
        <v>770</v>
      </c>
      <c r="I489" s="14" t="s">
        <v>769</v>
      </c>
    </row>
    <row r="490" spans="1:9" ht="26.4" x14ac:dyDescent="0.25">
      <c r="A490" s="17" t="s">
        <v>320</v>
      </c>
      <c r="B490" s="14" t="s">
        <v>752</v>
      </c>
      <c r="C490" s="18" t="s">
        <v>3063</v>
      </c>
      <c r="D490" s="14" t="str">
        <f t="shared" si="56"/>
        <v>1ST-358-489</v>
      </c>
      <c r="E490" s="19" t="s">
        <v>1201</v>
      </c>
      <c r="F490" s="19">
        <f t="shared" si="57"/>
        <v>244</v>
      </c>
      <c r="G490" s="19" t="str">
        <f t="shared" si="58"/>
        <v>PC</v>
      </c>
      <c r="H490" s="20" t="s">
        <v>770</v>
      </c>
      <c r="I490" s="14" t="s">
        <v>769</v>
      </c>
    </row>
    <row r="491" spans="1:9" ht="26.4" x14ac:dyDescent="0.25">
      <c r="A491" s="17" t="s">
        <v>320</v>
      </c>
      <c r="B491" s="14" t="s">
        <v>752</v>
      </c>
      <c r="C491" s="18" t="s">
        <v>3064</v>
      </c>
      <c r="D491" s="14" t="str">
        <f t="shared" si="56"/>
        <v>1ST-358-490</v>
      </c>
      <c r="E491" s="19" t="s">
        <v>492</v>
      </c>
      <c r="F491" s="19">
        <f t="shared" si="57"/>
        <v>290</v>
      </c>
      <c r="G491" s="19" t="str">
        <f t="shared" si="58"/>
        <v>PC</v>
      </c>
      <c r="H491" s="20" t="s">
        <v>770</v>
      </c>
      <c r="I491" s="14" t="s">
        <v>769</v>
      </c>
    </row>
    <row r="492" spans="1:9" ht="26.4" x14ac:dyDescent="0.25">
      <c r="A492" s="17" t="s">
        <v>320</v>
      </c>
      <c r="B492" s="14" t="s">
        <v>752</v>
      </c>
      <c r="C492" s="18" t="s">
        <v>3065</v>
      </c>
      <c r="D492" s="14" t="str">
        <f t="shared" si="56"/>
        <v>1ST-358-491</v>
      </c>
      <c r="E492" s="19" t="s">
        <v>675</v>
      </c>
      <c r="F492" s="19">
        <f t="shared" si="57"/>
        <v>370</v>
      </c>
      <c r="G492" s="19" t="str">
        <f t="shared" si="58"/>
        <v>PC</v>
      </c>
      <c r="H492" s="20" t="s">
        <v>770</v>
      </c>
      <c r="I492" s="14" t="s">
        <v>769</v>
      </c>
    </row>
    <row r="493" spans="1:9" x14ac:dyDescent="0.25">
      <c r="A493" s="17" t="s">
        <v>320</v>
      </c>
      <c r="B493" s="14" t="s">
        <v>753</v>
      </c>
      <c r="C493" s="18" t="s">
        <v>3066</v>
      </c>
      <c r="D493" s="14" t="str">
        <f t="shared" si="56"/>
        <v>1ST-358-492</v>
      </c>
      <c r="E493" s="18" t="s">
        <v>811</v>
      </c>
      <c r="F493" s="19">
        <f t="shared" si="57"/>
        <v>64</v>
      </c>
      <c r="G493" s="19" t="str">
        <f t="shared" si="58"/>
        <v>PC</v>
      </c>
      <c r="H493" s="20" t="s">
        <v>770</v>
      </c>
      <c r="I493" s="14" t="s">
        <v>769</v>
      </c>
    </row>
    <row r="494" spans="1:9" x14ac:dyDescent="0.25">
      <c r="A494" s="17" t="s">
        <v>320</v>
      </c>
      <c r="B494" s="14" t="s">
        <v>753</v>
      </c>
      <c r="C494" s="18" t="s">
        <v>3067</v>
      </c>
      <c r="D494" s="14" t="str">
        <f t="shared" si="56"/>
        <v>1ST-358-493</v>
      </c>
      <c r="E494" s="18" t="s">
        <v>1196</v>
      </c>
      <c r="F494" s="19">
        <f t="shared" si="57"/>
        <v>72</v>
      </c>
      <c r="G494" s="19" t="str">
        <f t="shared" si="58"/>
        <v>PC</v>
      </c>
      <c r="H494" s="20" t="s">
        <v>770</v>
      </c>
      <c r="I494" s="14" t="s">
        <v>769</v>
      </c>
    </row>
    <row r="495" spans="1:9" x14ac:dyDescent="0.25">
      <c r="A495" s="17" t="s">
        <v>320</v>
      </c>
      <c r="B495" s="14" t="s">
        <v>753</v>
      </c>
      <c r="C495" s="18" t="s">
        <v>3068</v>
      </c>
      <c r="D495" s="14" t="str">
        <f t="shared" si="56"/>
        <v>1ST-358-494</v>
      </c>
      <c r="E495" s="18" t="s">
        <v>1236</v>
      </c>
      <c r="F495" s="19">
        <f t="shared" si="57"/>
        <v>88</v>
      </c>
      <c r="G495" s="19" t="str">
        <f t="shared" si="58"/>
        <v>PC</v>
      </c>
      <c r="H495" s="20" t="s">
        <v>770</v>
      </c>
      <c r="I495" s="14" t="s">
        <v>769</v>
      </c>
    </row>
    <row r="496" spans="1:9" x14ac:dyDescent="0.25">
      <c r="A496" s="17" t="s">
        <v>320</v>
      </c>
      <c r="B496" s="14" t="s">
        <v>754</v>
      </c>
      <c r="C496" s="18" t="s">
        <v>3069</v>
      </c>
      <c r="D496" s="14" t="str">
        <f t="shared" si="56"/>
        <v>1ST-358-495</v>
      </c>
      <c r="E496" s="18" t="s">
        <v>811</v>
      </c>
      <c r="F496" s="19">
        <f t="shared" si="57"/>
        <v>64</v>
      </c>
      <c r="G496" s="19" t="str">
        <f t="shared" si="58"/>
        <v>PC</v>
      </c>
      <c r="H496" s="20" t="s">
        <v>770</v>
      </c>
      <c r="I496" s="14" t="s">
        <v>769</v>
      </c>
    </row>
    <row r="497" spans="1:9" x14ac:dyDescent="0.25">
      <c r="A497" s="17" t="s">
        <v>320</v>
      </c>
      <c r="B497" s="14" t="s">
        <v>754</v>
      </c>
      <c r="C497" s="18" t="s">
        <v>3070</v>
      </c>
      <c r="D497" s="14" t="str">
        <f t="shared" si="56"/>
        <v>1ST-358-496</v>
      </c>
      <c r="E497" s="18" t="s">
        <v>1196</v>
      </c>
      <c r="F497" s="19">
        <f t="shared" si="57"/>
        <v>72</v>
      </c>
      <c r="G497" s="19" t="str">
        <f t="shared" si="58"/>
        <v>PC</v>
      </c>
      <c r="H497" s="20" t="s">
        <v>770</v>
      </c>
      <c r="I497" s="14" t="s">
        <v>769</v>
      </c>
    </row>
    <row r="498" spans="1:9" x14ac:dyDescent="0.25">
      <c r="A498" s="17" t="s">
        <v>320</v>
      </c>
      <c r="B498" s="14" t="s">
        <v>754</v>
      </c>
      <c r="C498" s="18" t="s">
        <v>3071</v>
      </c>
      <c r="D498" s="14" t="str">
        <f t="shared" si="56"/>
        <v>1ST-358-497</v>
      </c>
      <c r="E498" s="18" t="s">
        <v>1236</v>
      </c>
      <c r="F498" s="19">
        <f t="shared" si="57"/>
        <v>88</v>
      </c>
      <c r="G498" s="19" t="str">
        <f t="shared" si="58"/>
        <v>PC</v>
      </c>
      <c r="H498" s="20" t="s">
        <v>770</v>
      </c>
      <c r="I498" s="14" t="s">
        <v>769</v>
      </c>
    </row>
    <row r="499" spans="1:9" ht="26.4" x14ac:dyDescent="0.25">
      <c r="A499" s="17" t="s">
        <v>320</v>
      </c>
      <c r="B499" s="14" t="s">
        <v>751</v>
      </c>
      <c r="C499" s="18" t="s">
        <v>3072</v>
      </c>
      <c r="D499" s="14" t="str">
        <f t="shared" si="56"/>
        <v>1ST-358-498</v>
      </c>
      <c r="E499" s="18" t="s">
        <v>1138</v>
      </c>
      <c r="F499" s="19">
        <f t="shared" si="57"/>
        <v>96</v>
      </c>
      <c r="G499" s="19" t="str">
        <f t="shared" si="58"/>
        <v>PC</v>
      </c>
      <c r="H499" s="20" t="s">
        <v>770</v>
      </c>
      <c r="I499" s="14" t="s">
        <v>769</v>
      </c>
    </row>
    <row r="500" spans="1:9" ht="26.4" x14ac:dyDescent="0.25">
      <c r="A500" s="17" t="s">
        <v>320</v>
      </c>
      <c r="B500" s="14" t="s">
        <v>751</v>
      </c>
      <c r="C500" s="18" t="s">
        <v>3073</v>
      </c>
      <c r="D500" s="14" t="str">
        <f t="shared" si="56"/>
        <v>1ST-358-499</v>
      </c>
      <c r="E500" s="18" t="s">
        <v>1074</v>
      </c>
      <c r="F500" s="19">
        <f t="shared" si="57"/>
        <v>116</v>
      </c>
      <c r="G500" s="19" t="str">
        <f t="shared" si="58"/>
        <v>PC</v>
      </c>
      <c r="H500" s="20" t="s">
        <v>770</v>
      </c>
      <c r="I500" s="14" t="s">
        <v>769</v>
      </c>
    </row>
    <row r="501" spans="1:9" x14ac:dyDescent="0.25">
      <c r="A501" s="17" t="s">
        <v>320</v>
      </c>
      <c r="B501" s="14" t="s">
        <v>751</v>
      </c>
      <c r="C501" s="18" t="s">
        <v>3074</v>
      </c>
      <c r="D501" s="14" t="str">
        <f t="shared" si="56"/>
        <v>1ST-358-500</v>
      </c>
      <c r="E501" s="19" t="s">
        <v>656</v>
      </c>
      <c r="F501" s="19">
        <f t="shared" si="57"/>
        <v>160</v>
      </c>
      <c r="G501" s="19" t="str">
        <f t="shared" si="58"/>
        <v>PC</v>
      </c>
      <c r="H501" s="20" t="s">
        <v>770</v>
      </c>
      <c r="I501" s="14" t="s">
        <v>769</v>
      </c>
    </row>
    <row r="502" spans="1:9" ht="26.4" x14ac:dyDescent="0.25">
      <c r="A502" s="17" t="s">
        <v>320</v>
      </c>
      <c r="B502" s="14" t="s">
        <v>750</v>
      </c>
      <c r="C502" s="18" t="s">
        <v>3075</v>
      </c>
      <c r="D502" s="14" t="str">
        <f t="shared" si="56"/>
        <v>1ST-358-501</v>
      </c>
      <c r="E502" s="19" t="s">
        <v>1138</v>
      </c>
      <c r="F502" s="19">
        <f t="shared" si="57"/>
        <v>96</v>
      </c>
      <c r="G502" s="19" t="str">
        <f t="shared" si="58"/>
        <v>PC</v>
      </c>
      <c r="H502" s="20" t="s">
        <v>770</v>
      </c>
      <c r="I502" s="14" t="s">
        <v>769</v>
      </c>
    </row>
    <row r="503" spans="1:9" ht="26.4" x14ac:dyDescent="0.25">
      <c r="A503" s="17" t="s">
        <v>320</v>
      </c>
      <c r="B503" s="14" t="s">
        <v>750</v>
      </c>
      <c r="C503" s="18" t="s">
        <v>3076</v>
      </c>
      <c r="D503" s="14" t="str">
        <f t="shared" si="56"/>
        <v>1ST-358-502</v>
      </c>
      <c r="E503" s="19" t="s">
        <v>1074</v>
      </c>
      <c r="F503" s="19">
        <f t="shared" si="57"/>
        <v>116</v>
      </c>
      <c r="G503" s="19" t="str">
        <f t="shared" si="58"/>
        <v>PC</v>
      </c>
      <c r="H503" s="20" t="s">
        <v>770</v>
      </c>
      <c r="I503" s="14" t="s">
        <v>769</v>
      </c>
    </row>
    <row r="504" spans="1:9" x14ac:dyDescent="0.25">
      <c r="A504" s="17" t="s">
        <v>320</v>
      </c>
      <c r="B504" s="14" t="s">
        <v>750</v>
      </c>
      <c r="C504" s="18" t="s">
        <v>3077</v>
      </c>
      <c r="D504" s="14" t="str">
        <f t="shared" si="56"/>
        <v>1ST-358-503</v>
      </c>
      <c r="E504" s="19" t="s">
        <v>656</v>
      </c>
      <c r="F504" s="19">
        <f t="shared" si="57"/>
        <v>160</v>
      </c>
      <c r="G504" s="19" t="str">
        <f t="shared" si="58"/>
        <v>PC</v>
      </c>
      <c r="H504" s="20" t="s">
        <v>770</v>
      </c>
      <c r="I504" s="14" t="s">
        <v>769</v>
      </c>
    </row>
    <row r="505" spans="1:9" x14ac:dyDescent="0.25">
      <c r="A505" s="17" t="s">
        <v>320</v>
      </c>
      <c r="B505" s="14" t="s">
        <v>749</v>
      </c>
      <c r="C505" s="18" t="s">
        <v>3738</v>
      </c>
      <c r="D505" s="14" t="str">
        <f t="shared" si="56"/>
        <v>1ST-358-504</v>
      </c>
      <c r="E505" s="18" t="s">
        <v>700</v>
      </c>
      <c r="F505" s="19">
        <f t="shared" si="57"/>
        <v>65</v>
      </c>
      <c r="G505" s="19" t="str">
        <f t="shared" si="58"/>
        <v>PC</v>
      </c>
      <c r="H505" s="20" t="s">
        <v>770</v>
      </c>
      <c r="I505" s="14" t="s">
        <v>769</v>
      </c>
    </row>
    <row r="506" spans="1:9" x14ac:dyDescent="0.25">
      <c r="A506" s="17" t="s">
        <v>320</v>
      </c>
      <c r="B506" s="14" t="s">
        <v>749</v>
      </c>
      <c r="C506" s="18" t="s">
        <v>3739</v>
      </c>
      <c r="D506" s="14" t="str">
        <f t="shared" si="56"/>
        <v>1ST-358-505</v>
      </c>
      <c r="E506" s="18" t="s">
        <v>652</v>
      </c>
      <c r="F506" s="19">
        <f t="shared" si="57"/>
        <v>80</v>
      </c>
      <c r="G506" s="19" t="str">
        <f t="shared" si="58"/>
        <v>PC</v>
      </c>
      <c r="H506" s="20" t="s">
        <v>770</v>
      </c>
      <c r="I506" s="14" t="s">
        <v>769</v>
      </c>
    </row>
    <row r="507" spans="1:9" x14ac:dyDescent="0.25">
      <c r="A507" s="17" t="s">
        <v>320</v>
      </c>
      <c r="B507" s="14" t="s">
        <v>749</v>
      </c>
      <c r="C507" s="18" t="s">
        <v>3740</v>
      </c>
      <c r="D507" s="14" t="str">
        <f t="shared" si="56"/>
        <v>1ST-358-506</v>
      </c>
      <c r="E507" s="18" t="s">
        <v>1237</v>
      </c>
      <c r="F507" s="19">
        <f t="shared" si="57"/>
        <v>94</v>
      </c>
      <c r="G507" s="19" t="str">
        <f t="shared" si="58"/>
        <v>PC</v>
      </c>
      <c r="H507" s="20" t="s">
        <v>770</v>
      </c>
      <c r="I507" s="14" t="s">
        <v>769</v>
      </c>
    </row>
    <row r="508" spans="1:9" x14ac:dyDescent="0.25">
      <c r="A508" s="17" t="s">
        <v>320</v>
      </c>
      <c r="B508" s="14" t="s">
        <v>749</v>
      </c>
      <c r="C508" s="18" t="s">
        <v>3741</v>
      </c>
      <c r="D508" s="14" t="str">
        <f t="shared" si="56"/>
        <v>1ST-358-507</v>
      </c>
      <c r="E508" s="18" t="s">
        <v>1238</v>
      </c>
      <c r="F508" s="19">
        <f t="shared" si="57"/>
        <v>117</v>
      </c>
      <c r="G508" s="19" t="str">
        <f t="shared" si="58"/>
        <v>PC</v>
      </c>
      <c r="H508" s="20" t="s">
        <v>770</v>
      </c>
      <c r="I508" s="14" t="s">
        <v>769</v>
      </c>
    </row>
    <row r="509" spans="1:9" x14ac:dyDescent="0.25">
      <c r="A509" s="17" t="s">
        <v>320</v>
      </c>
      <c r="B509" s="14" t="s">
        <v>749</v>
      </c>
      <c r="C509" s="18" t="s">
        <v>3742</v>
      </c>
      <c r="D509" s="14" t="str">
        <f t="shared" si="56"/>
        <v>1ST-358-508</v>
      </c>
      <c r="E509" s="18" t="s">
        <v>666</v>
      </c>
      <c r="F509" s="19">
        <f t="shared" si="57"/>
        <v>147</v>
      </c>
      <c r="G509" s="19" t="str">
        <f t="shared" si="58"/>
        <v>PC</v>
      </c>
      <c r="H509" s="20" t="s">
        <v>770</v>
      </c>
      <c r="I509" s="14" t="s">
        <v>769</v>
      </c>
    </row>
    <row r="510" spans="1:9" x14ac:dyDescent="0.25">
      <c r="A510" s="17" t="s">
        <v>320</v>
      </c>
      <c r="B510" s="14" t="s">
        <v>749</v>
      </c>
      <c r="C510" s="18" t="s">
        <v>3743</v>
      </c>
      <c r="D510" s="14" t="str">
        <f t="shared" si="56"/>
        <v>1ST-358-509</v>
      </c>
      <c r="E510" s="18" t="s">
        <v>850</v>
      </c>
      <c r="F510" s="19">
        <f t="shared" si="57"/>
        <v>230</v>
      </c>
      <c r="G510" s="19" t="str">
        <f t="shared" si="58"/>
        <v>PC</v>
      </c>
      <c r="H510" s="20" t="s">
        <v>770</v>
      </c>
      <c r="I510" s="14" t="s">
        <v>769</v>
      </c>
    </row>
    <row r="511" spans="1:9" x14ac:dyDescent="0.25">
      <c r="A511" s="17" t="s">
        <v>320</v>
      </c>
      <c r="B511" s="14" t="s">
        <v>749</v>
      </c>
      <c r="C511" s="18" t="s">
        <v>3744</v>
      </c>
      <c r="D511" s="14" t="str">
        <f t="shared" si="56"/>
        <v>1ST-358-510</v>
      </c>
      <c r="E511" s="18" t="s">
        <v>670</v>
      </c>
      <c r="F511" s="19">
        <f t="shared" si="57"/>
        <v>310</v>
      </c>
      <c r="G511" s="19" t="str">
        <f t="shared" si="58"/>
        <v>PC</v>
      </c>
      <c r="H511" s="20" t="s">
        <v>770</v>
      </c>
      <c r="I511" s="14" t="s">
        <v>769</v>
      </c>
    </row>
    <row r="512" spans="1:9" x14ac:dyDescent="0.25">
      <c r="A512" s="17" t="s">
        <v>320</v>
      </c>
      <c r="B512" s="14" t="s">
        <v>749</v>
      </c>
      <c r="C512" s="18" t="s">
        <v>3745</v>
      </c>
      <c r="D512" s="14" t="str">
        <f t="shared" si="56"/>
        <v>1ST-358-511</v>
      </c>
      <c r="E512" s="18" t="s">
        <v>671</v>
      </c>
      <c r="F512" s="19">
        <f t="shared" si="57"/>
        <v>380</v>
      </c>
      <c r="G512" s="19" t="str">
        <f t="shared" si="58"/>
        <v>PC</v>
      </c>
      <c r="H512" s="20" t="s">
        <v>770</v>
      </c>
      <c r="I512" s="14" t="s">
        <v>769</v>
      </c>
    </row>
    <row r="513" spans="1:9" x14ac:dyDescent="0.25">
      <c r="A513" s="17" t="s">
        <v>320</v>
      </c>
      <c r="B513" s="14" t="s">
        <v>202</v>
      </c>
      <c r="C513" s="18" t="s">
        <v>3746</v>
      </c>
      <c r="D513" s="14" t="str">
        <f t="shared" si="56"/>
        <v>1ST-358-512</v>
      </c>
      <c r="E513" s="18" t="s">
        <v>1239</v>
      </c>
      <c r="F513" s="19">
        <f t="shared" si="57"/>
        <v>1.65</v>
      </c>
      <c r="G513" s="19" t="str">
        <f t="shared" si="58"/>
        <v>PC</v>
      </c>
      <c r="H513" s="19" t="s">
        <v>2711</v>
      </c>
      <c r="I513" s="14" t="s">
        <v>441</v>
      </c>
    </row>
    <row r="514" spans="1:9" x14ac:dyDescent="0.25">
      <c r="A514" s="17" t="s">
        <v>320</v>
      </c>
      <c r="B514" s="14" t="s">
        <v>202</v>
      </c>
      <c r="C514" s="18" t="s">
        <v>1240</v>
      </c>
      <c r="D514" s="14" t="str">
        <f t="shared" si="56"/>
        <v>1ST-358-513</v>
      </c>
      <c r="E514" s="18" t="s">
        <v>1239</v>
      </c>
      <c r="F514" s="19">
        <f t="shared" si="57"/>
        <v>1.65</v>
      </c>
      <c r="G514" s="19" t="str">
        <f t="shared" si="58"/>
        <v>PC</v>
      </c>
      <c r="H514" s="19" t="s">
        <v>2711</v>
      </c>
      <c r="I514" s="14" t="s">
        <v>441</v>
      </c>
    </row>
    <row r="515" spans="1:9" x14ac:dyDescent="0.25">
      <c r="A515" s="17" t="s">
        <v>320</v>
      </c>
      <c r="B515" s="14" t="s">
        <v>202</v>
      </c>
      <c r="C515" s="18" t="s">
        <v>1241</v>
      </c>
      <c r="D515" s="14" t="str">
        <f t="shared" si="56"/>
        <v>1ST-358-514</v>
      </c>
      <c r="E515" s="18" t="s">
        <v>1239</v>
      </c>
      <c r="F515" s="19">
        <f t="shared" si="57"/>
        <v>1.65</v>
      </c>
      <c r="G515" s="19" t="str">
        <f t="shared" si="58"/>
        <v>PC</v>
      </c>
      <c r="H515" s="19" t="s">
        <v>2711</v>
      </c>
      <c r="I515" s="14" t="s">
        <v>441</v>
      </c>
    </row>
    <row r="516" spans="1:9" x14ac:dyDescent="0.25">
      <c r="A516" s="17" t="s">
        <v>320</v>
      </c>
      <c r="B516" s="14" t="s">
        <v>202</v>
      </c>
      <c r="C516" s="18" t="s">
        <v>1242</v>
      </c>
      <c r="D516" s="14" t="str">
        <f t="shared" si="56"/>
        <v>1ST-358-515</v>
      </c>
      <c r="E516" s="18" t="s">
        <v>1243</v>
      </c>
      <c r="F516" s="19">
        <f t="shared" si="57"/>
        <v>1.8</v>
      </c>
      <c r="G516" s="19" t="str">
        <f t="shared" si="58"/>
        <v>PC</v>
      </c>
      <c r="H516" s="18" t="s">
        <v>2712</v>
      </c>
      <c r="I516" s="14" t="s">
        <v>441</v>
      </c>
    </row>
    <row r="517" spans="1:9" ht="26.4" x14ac:dyDescent="0.25">
      <c r="A517" s="17" t="s">
        <v>320</v>
      </c>
      <c r="B517" s="14" t="s">
        <v>202</v>
      </c>
      <c r="C517" s="18" t="s">
        <v>1244</v>
      </c>
      <c r="D517" s="14" t="str">
        <f t="shared" ref="D517:D580" si="59">LEFT($D$2,FIND("-",$D$2,FIND("-",$D$2)+1)) &amp; TEXT(RIGHT($D$2,3)+ROW(D515),"000")</f>
        <v>1ST-358-516</v>
      </c>
      <c r="E517" s="18" t="s">
        <v>925</v>
      </c>
      <c r="F517" s="19">
        <f t="shared" si="57"/>
        <v>4</v>
      </c>
      <c r="G517" s="19" t="str">
        <f t="shared" si="58"/>
        <v>PC</v>
      </c>
      <c r="H517" s="18" t="s">
        <v>3078</v>
      </c>
      <c r="I517" s="14" t="s">
        <v>441</v>
      </c>
    </row>
    <row r="518" spans="1:9" ht="26.4" x14ac:dyDescent="0.25">
      <c r="A518" s="17" t="s">
        <v>320</v>
      </c>
      <c r="B518" s="14" t="s">
        <v>202</v>
      </c>
      <c r="C518" s="18" t="s">
        <v>1245</v>
      </c>
      <c r="D518" s="14" t="str">
        <f t="shared" si="59"/>
        <v>1ST-358-517</v>
      </c>
      <c r="E518" s="18" t="s">
        <v>1246</v>
      </c>
      <c r="F518" s="19">
        <f t="shared" si="57"/>
        <v>4.5</v>
      </c>
      <c r="G518" s="19" t="str">
        <f t="shared" si="58"/>
        <v>PC</v>
      </c>
      <c r="H518" s="18" t="s">
        <v>3079</v>
      </c>
      <c r="I518" s="14" t="s">
        <v>441</v>
      </c>
    </row>
    <row r="519" spans="1:9" ht="26.4" x14ac:dyDescent="0.25">
      <c r="A519" s="17" t="s">
        <v>320</v>
      </c>
      <c r="B519" s="14" t="s">
        <v>202</v>
      </c>
      <c r="C519" s="18" t="s">
        <v>1247</v>
      </c>
      <c r="D519" s="14" t="str">
        <f t="shared" si="59"/>
        <v>1ST-358-518</v>
      </c>
      <c r="E519" s="18" t="s">
        <v>1248</v>
      </c>
      <c r="F519" s="19">
        <f t="shared" si="57"/>
        <v>4.95</v>
      </c>
      <c r="G519" s="19" t="str">
        <f t="shared" si="58"/>
        <v>PC</v>
      </c>
      <c r="H519" s="18" t="s">
        <v>3080</v>
      </c>
      <c r="I519" s="14" t="s">
        <v>441</v>
      </c>
    </row>
    <row r="520" spans="1:9" ht="26.4" x14ac:dyDescent="0.25">
      <c r="A520" s="17" t="s">
        <v>320</v>
      </c>
      <c r="B520" s="14" t="s">
        <v>202</v>
      </c>
      <c r="C520" s="18" t="s">
        <v>1249</v>
      </c>
      <c r="D520" s="14" t="str">
        <f t="shared" si="59"/>
        <v>1ST-358-519</v>
      </c>
      <c r="E520" s="18" t="s">
        <v>1250</v>
      </c>
      <c r="F520" s="19">
        <f t="shared" si="57"/>
        <v>5.4</v>
      </c>
      <c r="G520" s="19" t="str">
        <f t="shared" si="58"/>
        <v>PC</v>
      </c>
      <c r="H520" s="18" t="s">
        <v>3081</v>
      </c>
      <c r="I520" s="14" t="s">
        <v>441</v>
      </c>
    </row>
    <row r="521" spans="1:9" x14ac:dyDescent="0.25">
      <c r="A521" s="17" t="s">
        <v>320</v>
      </c>
      <c r="B521" s="14" t="s">
        <v>202</v>
      </c>
      <c r="C521" s="18" t="s">
        <v>1251</v>
      </c>
      <c r="D521" s="14" t="str">
        <f t="shared" si="59"/>
        <v>1ST-358-520</v>
      </c>
      <c r="E521" s="18" t="s">
        <v>1252</v>
      </c>
      <c r="F521" s="19">
        <f t="shared" si="57"/>
        <v>5.85</v>
      </c>
      <c r="G521" s="19" t="str">
        <f t="shared" si="58"/>
        <v>PC</v>
      </c>
      <c r="H521" s="18" t="s">
        <v>2713</v>
      </c>
      <c r="I521" s="14" t="s">
        <v>441</v>
      </c>
    </row>
    <row r="522" spans="1:9" ht="26.4" x14ac:dyDescent="0.25">
      <c r="A522" s="17" t="s">
        <v>320</v>
      </c>
      <c r="B522" s="14" t="s">
        <v>202</v>
      </c>
      <c r="C522" s="18" t="s">
        <v>1253</v>
      </c>
      <c r="D522" s="14" t="str">
        <f t="shared" si="59"/>
        <v>1ST-358-521</v>
      </c>
      <c r="E522" s="18" t="s">
        <v>1254</v>
      </c>
      <c r="F522" s="19">
        <f t="shared" si="57"/>
        <v>8.1</v>
      </c>
      <c r="G522" s="19" t="str">
        <f t="shared" si="58"/>
        <v>PC</v>
      </c>
      <c r="H522" s="18" t="s">
        <v>3082</v>
      </c>
      <c r="I522" s="14" t="s">
        <v>441</v>
      </c>
    </row>
    <row r="523" spans="1:9" ht="52.8" x14ac:dyDescent="0.25">
      <c r="A523" s="17" t="s">
        <v>320</v>
      </c>
      <c r="B523" s="14" t="s">
        <v>201</v>
      </c>
      <c r="C523" s="18" t="s">
        <v>3747</v>
      </c>
      <c r="D523" s="14" t="str">
        <f t="shared" si="59"/>
        <v>1ST-358-522</v>
      </c>
      <c r="E523" s="18" t="s">
        <v>1255</v>
      </c>
      <c r="F523" s="19">
        <f t="shared" si="57"/>
        <v>13.6</v>
      </c>
      <c r="G523" s="19" t="str">
        <f t="shared" si="58"/>
        <v>PC</v>
      </c>
      <c r="H523" s="20" t="s">
        <v>771</v>
      </c>
      <c r="I523" s="21">
        <v>0.4</v>
      </c>
    </row>
    <row r="524" spans="1:9" ht="52.8" x14ac:dyDescent="0.25">
      <c r="A524" s="17" t="s">
        <v>320</v>
      </c>
      <c r="B524" s="14" t="s">
        <v>201</v>
      </c>
      <c r="C524" s="18" t="s">
        <v>1256</v>
      </c>
      <c r="D524" s="14" t="str">
        <f t="shared" si="59"/>
        <v>1ST-358-523</v>
      </c>
      <c r="E524" s="18" t="s">
        <v>1257</v>
      </c>
      <c r="F524" s="19">
        <f t="shared" si="57"/>
        <v>16.8</v>
      </c>
      <c r="G524" s="19" t="str">
        <f t="shared" si="58"/>
        <v>PC</v>
      </c>
      <c r="H524" s="20" t="s">
        <v>771</v>
      </c>
      <c r="I524" s="21">
        <v>0.4</v>
      </c>
    </row>
    <row r="525" spans="1:9" ht="52.8" x14ac:dyDescent="0.25">
      <c r="A525" s="17" t="s">
        <v>320</v>
      </c>
      <c r="B525" s="14" t="s">
        <v>201</v>
      </c>
      <c r="C525" s="18" t="s">
        <v>3748</v>
      </c>
      <c r="D525" s="14" t="str">
        <f t="shared" si="59"/>
        <v>1ST-358-524</v>
      </c>
      <c r="E525" s="18" t="s">
        <v>1258</v>
      </c>
      <c r="F525" s="19">
        <f t="shared" si="57"/>
        <v>6.8</v>
      </c>
      <c r="G525" s="19" t="str">
        <f t="shared" si="58"/>
        <v>PC</v>
      </c>
      <c r="H525" s="20" t="s">
        <v>771</v>
      </c>
      <c r="I525" s="21">
        <v>0.4</v>
      </c>
    </row>
    <row r="526" spans="1:9" ht="52.8" x14ac:dyDescent="0.25">
      <c r="A526" s="17" t="s">
        <v>320</v>
      </c>
      <c r="B526" s="14" t="s">
        <v>201</v>
      </c>
      <c r="C526" s="18" t="s">
        <v>1259</v>
      </c>
      <c r="D526" s="14" t="str">
        <f t="shared" si="59"/>
        <v>1ST-358-525</v>
      </c>
      <c r="E526" s="18" t="s">
        <v>1260</v>
      </c>
      <c r="F526" s="19">
        <f t="shared" si="57"/>
        <v>8.4</v>
      </c>
      <c r="G526" s="19" t="str">
        <f t="shared" si="58"/>
        <v>PC</v>
      </c>
      <c r="H526" s="20" t="s">
        <v>771</v>
      </c>
      <c r="I526" s="21">
        <v>0.4</v>
      </c>
    </row>
    <row r="527" spans="1:9" ht="52.8" x14ac:dyDescent="0.25">
      <c r="A527" s="17" t="s">
        <v>320</v>
      </c>
      <c r="B527" s="14" t="s">
        <v>201</v>
      </c>
      <c r="C527" s="18" t="s">
        <v>3749</v>
      </c>
      <c r="D527" s="14" t="str">
        <f t="shared" si="59"/>
        <v>1ST-358-526</v>
      </c>
      <c r="E527" s="18" t="s">
        <v>1261</v>
      </c>
      <c r="F527" s="19">
        <f t="shared" si="57"/>
        <v>10.6</v>
      </c>
      <c r="G527" s="19" t="str">
        <f t="shared" si="58"/>
        <v>PC</v>
      </c>
      <c r="H527" s="20" t="s">
        <v>771</v>
      </c>
      <c r="I527" s="21">
        <v>0.4</v>
      </c>
    </row>
    <row r="528" spans="1:9" ht="52.8" x14ac:dyDescent="0.25">
      <c r="A528" s="17" t="s">
        <v>320</v>
      </c>
      <c r="B528" s="14" t="s">
        <v>201</v>
      </c>
      <c r="C528" s="18" t="s">
        <v>3750</v>
      </c>
      <c r="D528" s="14" t="str">
        <f t="shared" si="59"/>
        <v>1ST-358-527</v>
      </c>
      <c r="E528" s="18" t="s">
        <v>1262</v>
      </c>
      <c r="F528" s="19">
        <f t="shared" si="57"/>
        <v>12.6</v>
      </c>
      <c r="G528" s="19" t="str">
        <f t="shared" si="58"/>
        <v>PC</v>
      </c>
      <c r="H528" s="20" t="s">
        <v>771</v>
      </c>
      <c r="I528" s="21">
        <v>0.4</v>
      </c>
    </row>
    <row r="529" spans="1:9" ht="52.8" x14ac:dyDescent="0.25">
      <c r="A529" s="17" t="s">
        <v>320</v>
      </c>
      <c r="B529" s="14" t="s">
        <v>201</v>
      </c>
      <c r="C529" s="18" t="s">
        <v>3751</v>
      </c>
      <c r="D529" s="14" t="str">
        <f t="shared" si="59"/>
        <v>1ST-358-528</v>
      </c>
      <c r="E529" s="18" t="s">
        <v>1263</v>
      </c>
      <c r="F529" s="19">
        <f t="shared" si="57"/>
        <v>17.399999999999999</v>
      </c>
      <c r="G529" s="19" t="str">
        <f t="shared" si="58"/>
        <v>PC</v>
      </c>
      <c r="H529" s="20" t="s">
        <v>771</v>
      </c>
      <c r="I529" s="21">
        <v>0.4</v>
      </c>
    </row>
    <row r="530" spans="1:9" ht="52.8" x14ac:dyDescent="0.25">
      <c r="A530" s="17" t="s">
        <v>320</v>
      </c>
      <c r="B530" s="14" t="s">
        <v>201</v>
      </c>
      <c r="C530" s="18" t="s">
        <v>3752</v>
      </c>
      <c r="D530" s="14" t="str">
        <f t="shared" si="59"/>
        <v>1ST-358-529</v>
      </c>
      <c r="E530" s="18" t="s">
        <v>1264</v>
      </c>
      <c r="F530" s="19">
        <f t="shared" si="57"/>
        <v>19.600000000000001</v>
      </c>
      <c r="G530" s="19" t="str">
        <f t="shared" si="58"/>
        <v>PC</v>
      </c>
      <c r="H530" s="20" t="s">
        <v>771</v>
      </c>
      <c r="I530" s="21">
        <v>0.4</v>
      </c>
    </row>
    <row r="531" spans="1:9" ht="52.8" x14ac:dyDescent="0.25">
      <c r="A531" s="17" t="s">
        <v>320</v>
      </c>
      <c r="B531" s="14" t="s">
        <v>201</v>
      </c>
      <c r="C531" s="18" t="s">
        <v>3753</v>
      </c>
      <c r="D531" s="14" t="str">
        <f t="shared" si="59"/>
        <v>1ST-358-530</v>
      </c>
      <c r="E531" s="18" t="s">
        <v>1265</v>
      </c>
      <c r="F531" s="19">
        <f t="shared" si="57"/>
        <v>22.2</v>
      </c>
      <c r="G531" s="19" t="str">
        <f t="shared" si="58"/>
        <v>PC</v>
      </c>
      <c r="H531" s="20" t="s">
        <v>771</v>
      </c>
      <c r="I531" s="21">
        <v>0.4</v>
      </c>
    </row>
    <row r="532" spans="1:9" ht="52.8" x14ac:dyDescent="0.25">
      <c r="A532" s="17" t="s">
        <v>320</v>
      </c>
      <c r="B532" s="14" t="s">
        <v>201</v>
      </c>
      <c r="C532" s="18" t="s">
        <v>3754</v>
      </c>
      <c r="D532" s="14" t="str">
        <f t="shared" si="59"/>
        <v>1ST-358-531</v>
      </c>
      <c r="E532" s="18" t="s">
        <v>498</v>
      </c>
      <c r="F532" s="19">
        <f t="shared" si="57"/>
        <v>28</v>
      </c>
      <c r="G532" s="19" t="str">
        <f t="shared" si="58"/>
        <v>PC</v>
      </c>
      <c r="H532" s="20" t="s">
        <v>771</v>
      </c>
      <c r="I532" s="21">
        <v>0.4</v>
      </c>
    </row>
    <row r="533" spans="1:9" ht="52.8" x14ac:dyDescent="0.25">
      <c r="A533" s="17" t="s">
        <v>320</v>
      </c>
      <c r="B533" s="14" t="s">
        <v>201</v>
      </c>
      <c r="C533" s="18" t="s">
        <v>3755</v>
      </c>
      <c r="D533" s="14" t="str">
        <f t="shared" si="59"/>
        <v>1ST-358-532</v>
      </c>
      <c r="E533" s="18" t="s">
        <v>1266</v>
      </c>
      <c r="F533" s="19">
        <f t="shared" si="57"/>
        <v>30.8</v>
      </c>
      <c r="G533" s="19" t="str">
        <f t="shared" si="58"/>
        <v>PC</v>
      </c>
      <c r="H533" s="20" t="s">
        <v>771</v>
      </c>
      <c r="I533" s="21">
        <v>0.4</v>
      </c>
    </row>
    <row r="534" spans="1:9" ht="52.8" x14ac:dyDescent="0.25">
      <c r="A534" s="17" t="s">
        <v>320</v>
      </c>
      <c r="B534" s="14" t="s">
        <v>201</v>
      </c>
      <c r="C534" s="18" t="s">
        <v>3756</v>
      </c>
      <c r="D534" s="14" t="str">
        <f t="shared" si="59"/>
        <v>1ST-358-533</v>
      </c>
      <c r="E534" s="18" t="s">
        <v>1267</v>
      </c>
      <c r="F534" s="19">
        <f t="shared" si="57"/>
        <v>35.200000000000003</v>
      </c>
      <c r="G534" s="19" t="str">
        <f t="shared" si="58"/>
        <v>PC</v>
      </c>
      <c r="H534" s="20" t="s">
        <v>771</v>
      </c>
      <c r="I534" s="21">
        <v>0.4</v>
      </c>
    </row>
    <row r="535" spans="1:9" ht="52.8" x14ac:dyDescent="0.25">
      <c r="A535" s="17" t="s">
        <v>320</v>
      </c>
      <c r="B535" s="14" t="s">
        <v>201</v>
      </c>
      <c r="C535" s="18" t="s">
        <v>3757</v>
      </c>
      <c r="D535" s="14" t="str">
        <f t="shared" si="59"/>
        <v>1ST-358-534</v>
      </c>
      <c r="E535" s="18" t="s">
        <v>700</v>
      </c>
      <c r="F535" s="19">
        <f t="shared" si="57"/>
        <v>65</v>
      </c>
      <c r="G535" s="19" t="str">
        <f t="shared" si="58"/>
        <v>PC</v>
      </c>
      <c r="H535" s="20" t="s">
        <v>771</v>
      </c>
      <c r="I535" s="21">
        <v>0.4</v>
      </c>
    </row>
    <row r="536" spans="1:9" ht="52.8" x14ac:dyDescent="0.25">
      <c r="A536" s="17" t="s">
        <v>320</v>
      </c>
      <c r="B536" s="14" t="s">
        <v>201</v>
      </c>
      <c r="C536" s="18" t="s">
        <v>3758</v>
      </c>
      <c r="D536" s="14" t="str">
        <f t="shared" si="59"/>
        <v>1ST-358-535</v>
      </c>
      <c r="E536" s="18" t="s">
        <v>1268</v>
      </c>
      <c r="F536" s="19">
        <f t="shared" si="57"/>
        <v>9.8000000000000007</v>
      </c>
      <c r="G536" s="19" t="str">
        <f t="shared" si="58"/>
        <v>PC</v>
      </c>
      <c r="H536" s="20" t="s">
        <v>771</v>
      </c>
      <c r="I536" s="21">
        <v>0.4</v>
      </c>
    </row>
    <row r="537" spans="1:9" ht="52.8" x14ac:dyDescent="0.25">
      <c r="A537" s="17" t="s">
        <v>320</v>
      </c>
      <c r="B537" s="14" t="s">
        <v>201</v>
      </c>
      <c r="C537" s="18" t="s">
        <v>3759</v>
      </c>
      <c r="D537" s="14" t="str">
        <f t="shared" si="59"/>
        <v>1ST-358-536</v>
      </c>
      <c r="E537" s="18" t="s">
        <v>1269</v>
      </c>
      <c r="F537" s="19">
        <f t="shared" si="57"/>
        <v>12.4</v>
      </c>
      <c r="G537" s="19" t="str">
        <f t="shared" si="58"/>
        <v>PC</v>
      </c>
      <c r="H537" s="20" t="s">
        <v>771</v>
      </c>
      <c r="I537" s="21">
        <v>0.4</v>
      </c>
    </row>
    <row r="538" spans="1:9" ht="52.8" x14ac:dyDescent="0.25">
      <c r="A538" s="17" t="s">
        <v>320</v>
      </c>
      <c r="B538" s="14" t="s">
        <v>201</v>
      </c>
      <c r="C538" s="18" t="s">
        <v>3760</v>
      </c>
      <c r="D538" s="14" t="str">
        <f t="shared" si="59"/>
        <v>1ST-358-537</v>
      </c>
      <c r="E538" s="18" t="s">
        <v>973</v>
      </c>
      <c r="F538" s="19">
        <f t="shared" si="57"/>
        <v>16</v>
      </c>
      <c r="G538" s="19" t="str">
        <f t="shared" si="58"/>
        <v>PC</v>
      </c>
      <c r="H538" s="20" t="s">
        <v>771</v>
      </c>
      <c r="I538" s="21">
        <v>0.4</v>
      </c>
    </row>
    <row r="539" spans="1:9" ht="52.8" x14ac:dyDescent="0.25">
      <c r="A539" s="17" t="s">
        <v>320</v>
      </c>
      <c r="B539" s="14" t="s">
        <v>201</v>
      </c>
      <c r="C539" s="18" t="s">
        <v>3761</v>
      </c>
      <c r="D539" s="14" t="str">
        <f t="shared" si="59"/>
        <v>1ST-358-538</v>
      </c>
      <c r="E539" s="18" t="s">
        <v>1270</v>
      </c>
      <c r="F539" s="19">
        <f t="shared" si="57"/>
        <v>21.2</v>
      </c>
      <c r="G539" s="19" t="str">
        <f t="shared" si="58"/>
        <v>PC</v>
      </c>
      <c r="H539" s="20" t="s">
        <v>771</v>
      </c>
      <c r="I539" s="21">
        <v>0.4</v>
      </c>
    </row>
    <row r="540" spans="1:9" ht="52.8" x14ac:dyDescent="0.25">
      <c r="A540" s="17" t="s">
        <v>320</v>
      </c>
      <c r="B540" s="14" t="s">
        <v>201</v>
      </c>
      <c r="C540" s="18" t="s">
        <v>3762</v>
      </c>
      <c r="D540" s="14" t="str">
        <f t="shared" si="59"/>
        <v>1ST-358-539</v>
      </c>
      <c r="E540" s="18" t="s">
        <v>1271</v>
      </c>
      <c r="F540" s="19">
        <f t="shared" si="57"/>
        <v>26.8</v>
      </c>
      <c r="G540" s="19" t="str">
        <f t="shared" si="58"/>
        <v>PC</v>
      </c>
      <c r="H540" s="20" t="s">
        <v>771</v>
      </c>
      <c r="I540" s="21">
        <v>0.4</v>
      </c>
    </row>
    <row r="541" spans="1:9" ht="52.8" x14ac:dyDescent="0.25">
      <c r="A541" s="17" t="s">
        <v>320</v>
      </c>
      <c r="B541" s="14" t="s">
        <v>201</v>
      </c>
      <c r="C541" s="18" t="s">
        <v>1272</v>
      </c>
      <c r="D541" s="14" t="str">
        <f t="shared" si="59"/>
        <v>1ST-358-540</v>
      </c>
      <c r="E541" s="18" t="s">
        <v>1273</v>
      </c>
      <c r="F541" s="19">
        <f t="shared" si="57"/>
        <v>32.200000000000003</v>
      </c>
      <c r="G541" s="19" t="str">
        <f t="shared" si="58"/>
        <v>PC</v>
      </c>
      <c r="H541" s="20" t="s">
        <v>771</v>
      </c>
      <c r="I541" s="21">
        <v>0.4</v>
      </c>
    </row>
    <row r="542" spans="1:9" ht="52.8" x14ac:dyDescent="0.25">
      <c r="A542" s="17" t="s">
        <v>320</v>
      </c>
      <c r="B542" s="14" t="s">
        <v>201</v>
      </c>
      <c r="C542" s="18" t="s">
        <v>3763</v>
      </c>
      <c r="D542" s="14" t="str">
        <f t="shared" si="59"/>
        <v>1ST-358-541</v>
      </c>
      <c r="E542" s="18" t="s">
        <v>1274</v>
      </c>
      <c r="F542" s="19">
        <f t="shared" si="57"/>
        <v>38.6</v>
      </c>
      <c r="G542" s="19" t="str">
        <f t="shared" si="58"/>
        <v>PC</v>
      </c>
      <c r="H542" s="20" t="s">
        <v>771</v>
      </c>
      <c r="I542" s="21">
        <v>0.4</v>
      </c>
    </row>
    <row r="543" spans="1:9" ht="52.8" x14ac:dyDescent="0.25">
      <c r="A543" s="17" t="s">
        <v>320</v>
      </c>
      <c r="B543" s="14" t="s">
        <v>201</v>
      </c>
      <c r="C543" s="18" t="s">
        <v>3764</v>
      </c>
      <c r="D543" s="14" t="str">
        <f t="shared" si="59"/>
        <v>1ST-358-542</v>
      </c>
      <c r="E543" s="18" t="s">
        <v>1145</v>
      </c>
      <c r="F543" s="19">
        <f t="shared" si="57"/>
        <v>46</v>
      </c>
      <c r="G543" s="19" t="str">
        <f t="shared" si="58"/>
        <v>PC</v>
      </c>
      <c r="H543" s="20" t="s">
        <v>771</v>
      </c>
      <c r="I543" s="21">
        <v>0.4</v>
      </c>
    </row>
    <row r="544" spans="1:9" ht="52.8" x14ac:dyDescent="0.25">
      <c r="A544" s="17" t="s">
        <v>320</v>
      </c>
      <c r="B544" s="14" t="s">
        <v>201</v>
      </c>
      <c r="C544" s="18" t="s">
        <v>3765</v>
      </c>
      <c r="D544" s="14" t="str">
        <f t="shared" si="59"/>
        <v>1ST-358-543</v>
      </c>
      <c r="E544" s="18" t="s">
        <v>1275</v>
      </c>
      <c r="F544" s="19">
        <f t="shared" si="57"/>
        <v>17.600000000000001</v>
      </c>
      <c r="G544" s="19" t="str">
        <f t="shared" si="58"/>
        <v>PC</v>
      </c>
      <c r="H544" s="20" t="s">
        <v>771</v>
      </c>
      <c r="I544" s="21">
        <v>0.4</v>
      </c>
    </row>
    <row r="545" spans="1:9" ht="52.8" x14ac:dyDescent="0.25">
      <c r="A545" s="17" t="s">
        <v>320</v>
      </c>
      <c r="B545" s="14" t="s">
        <v>201</v>
      </c>
      <c r="C545" s="18" t="s">
        <v>3766</v>
      </c>
      <c r="D545" s="14" t="str">
        <f t="shared" si="59"/>
        <v>1ST-358-544</v>
      </c>
      <c r="E545" s="18" t="s">
        <v>1158</v>
      </c>
      <c r="F545" s="19">
        <f t="shared" si="57"/>
        <v>21</v>
      </c>
      <c r="G545" s="19" t="str">
        <f t="shared" si="58"/>
        <v>PC</v>
      </c>
      <c r="H545" s="20" t="s">
        <v>771</v>
      </c>
      <c r="I545" s="21">
        <v>0.4</v>
      </c>
    </row>
    <row r="546" spans="1:9" ht="52.8" x14ac:dyDescent="0.25">
      <c r="A546" s="17" t="s">
        <v>320</v>
      </c>
      <c r="B546" s="14" t="s">
        <v>201</v>
      </c>
      <c r="C546" s="18" t="s">
        <v>3767</v>
      </c>
      <c r="D546" s="14" t="str">
        <f t="shared" si="59"/>
        <v>1ST-358-545</v>
      </c>
      <c r="E546" s="18" t="s">
        <v>1276</v>
      </c>
      <c r="F546" s="19">
        <f t="shared" si="57"/>
        <v>29.8</v>
      </c>
      <c r="G546" s="19" t="str">
        <f t="shared" si="58"/>
        <v>PC</v>
      </c>
      <c r="H546" s="20" t="s">
        <v>771</v>
      </c>
      <c r="I546" s="21">
        <v>0.4</v>
      </c>
    </row>
    <row r="547" spans="1:9" ht="52.8" x14ac:dyDescent="0.25">
      <c r="A547" s="17" t="s">
        <v>320</v>
      </c>
      <c r="B547" s="14" t="s">
        <v>201</v>
      </c>
      <c r="C547" s="18" t="s">
        <v>3768</v>
      </c>
      <c r="D547" s="14" t="str">
        <f t="shared" si="59"/>
        <v>1ST-358-546</v>
      </c>
      <c r="E547" s="18" t="s">
        <v>1277</v>
      </c>
      <c r="F547" s="19">
        <f t="shared" si="57"/>
        <v>44.4</v>
      </c>
      <c r="G547" s="19" t="str">
        <f t="shared" si="58"/>
        <v>PC</v>
      </c>
      <c r="H547" s="20" t="s">
        <v>771</v>
      </c>
      <c r="I547" s="21">
        <v>0.4</v>
      </c>
    </row>
    <row r="548" spans="1:9" ht="52.8" x14ac:dyDescent="0.25">
      <c r="A548" s="17" t="s">
        <v>320</v>
      </c>
      <c r="B548" s="14" t="s">
        <v>201</v>
      </c>
      <c r="C548" s="18" t="s">
        <v>3769</v>
      </c>
      <c r="D548" s="14" t="str">
        <f t="shared" si="59"/>
        <v>1ST-358-547</v>
      </c>
      <c r="E548" s="18" t="s">
        <v>1278</v>
      </c>
      <c r="F548" s="19">
        <f t="shared" si="57"/>
        <v>51.4</v>
      </c>
      <c r="G548" s="19" t="str">
        <f t="shared" si="58"/>
        <v>PC</v>
      </c>
      <c r="H548" s="20" t="s">
        <v>771</v>
      </c>
      <c r="I548" s="21">
        <v>0.4</v>
      </c>
    </row>
    <row r="549" spans="1:9" ht="52.8" x14ac:dyDescent="0.25">
      <c r="A549" s="17" t="s">
        <v>320</v>
      </c>
      <c r="B549" s="14" t="s">
        <v>201</v>
      </c>
      <c r="C549" s="18" t="s">
        <v>3770</v>
      </c>
      <c r="D549" s="14" t="str">
        <f t="shared" si="59"/>
        <v>1ST-358-548</v>
      </c>
      <c r="E549" s="18" t="s">
        <v>1279</v>
      </c>
      <c r="F549" s="19">
        <f t="shared" si="57"/>
        <v>58.2</v>
      </c>
      <c r="G549" s="19" t="str">
        <f t="shared" si="58"/>
        <v>PC</v>
      </c>
      <c r="H549" s="20" t="s">
        <v>771</v>
      </c>
      <c r="I549" s="21">
        <v>0.4</v>
      </c>
    </row>
    <row r="550" spans="1:9" ht="52.8" x14ac:dyDescent="0.25">
      <c r="A550" s="17" t="s">
        <v>320</v>
      </c>
      <c r="B550" s="14" t="s">
        <v>201</v>
      </c>
      <c r="C550" s="18" t="s">
        <v>1280</v>
      </c>
      <c r="D550" s="14" t="str">
        <f t="shared" si="59"/>
        <v>1ST-358-549</v>
      </c>
      <c r="E550" s="18" t="s">
        <v>1196</v>
      </c>
      <c r="F550" s="19">
        <f t="shared" si="57"/>
        <v>72</v>
      </c>
      <c r="G550" s="19" t="str">
        <f t="shared" si="58"/>
        <v>PC</v>
      </c>
      <c r="H550" s="20" t="s">
        <v>771</v>
      </c>
      <c r="I550" s="21">
        <v>0.4</v>
      </c>
    </row>
    <row r="551" spans="1:9" ht="52.8" x14ac:dyDescent="0.25">
      <c r="A551" s="17" t="s">
        <v>320</v>
      </c>
      <c r="B551" s="14" t="s">
        <v>201</v>
      </c>
      <c r="C551" s="18" t="s">
        <v>3771</v>
      </c>
      <c r="D551" s="14" t="str">
        <f t="shared" si="59"/>
        <v>1ST-358-550</v>
      </c>
      <c r="E551" s="18" t="s">
        <v>652</v>
      </c>
      <c r="F551" s="19">
        <f t="shared" si="57"/>
        <v>80</v>
      </c>
      <c r="G551" s="19" t="str">
        <f t="shared" si="58"/>
        <v>PC</v>
      </c>
      <c r="H551" s="20" t="s">
        <v>771</v>
      </c>
      <c r="I551" s="21">
        <v>0.4</v>
      </c>
    </row>
    <row r="552" spans="1:9" ht="52.8" x14ac:dyDescent="0.25">
      <c r="A552" s="17" t="s">
        <v>320</v>
      </c>
      <c r="B552" s="14" t="s">
        <v>201</v>
      </c>
      <c r="C552" s="18" t="s">
        <v>3772</v>
      </c>
      <c r="D552" s="14" t="str">
        <f t="shared" si="59"/>
        <v>1ST-358-551</v>
      </c>
      <c r="E552" s="18" t="s">
        <v>1153</v>
      </c>
      <c r="F552" s="19">
        <f t="shared" ref="F552:F615" si="60">VALUE(LEFT(E552,FIND("/",E552)-1))</f>
        <v>23</v>
      </c>
      <c r="G552" s="19" t="str">
        <f t="shared" ref="G552:G603" si="61">TRIM(MID(E552,FIND("/",E552)+1,LEN(E552)))</f>
        <v>PC</v>
      </c>
      <c r="H552" s="20" t="s">
        <v>771</v>
      </c>
      <c r="I552" s="21">
        <v>0.4</v>
      </c>
    </row>
    <row r="553" spans="1:9" ht="52.8" x14ac:dyDescent="0.25">
      <c r="A553" s="17" t="s">
        <v>320</v>
      </c>
      <c r="B553" s="14" t="s">
        <v>201</v>
      </c>
      <c r="C553" s="18" t="s">
        <v>3773</v>
      </c>
      <c r="D553" s="14" t="str">
        <f t="shared" si="59"/>
        <v>1ST-358-552</v>
      </c>
      <c r="E553" s="18" t="s">
        <v>1281</v>
      </c>
      <c r="F553" s="19">
        <f t="shared" si="60"/>
        <v>28.2</v>
      </c>
      <c r="G553" s="19" t="str">
        <f t="shared" si="61"/>
        <v>PC</v>
      </c>
      <c r="H553" s="20" t="s">
        <v>771</v>
      </c>
      <c r="I553" s="21">
        <v>0.4</v>
      </c>
    </row>
    <row r="554" spans="1:9" ht="52.8" x14ac:dyDescent="0.25">
      <c r="A554" s="17" t="s">
        <v>320</v>
      </c>
      <c r="B554" s="14" t="s">
        <v>201</v>
      </c>
      <c r="C554" s="18" t="s">
        <v>1282</v>
      </c>
      <c r="D554" s="14" t="str">
        <f t="shared" si="59"/>
        <v>1ST-358-553</v>
      </c>
      <c r="E554" s="18" t="s">
        <v>1283</v>
      </c>
      <c r="F554" s="19">
        <f t="shared" si="60"/>
        <v>39</v>
      </c>
      <c r="G554" s="19" t="str">
        <f t="shared" si="61"/>
        <v>PC</v>
      </c>
      <c r="H554" s="20" t="s">
        <v>771</v>
      </c>
      <c r="I554" s="21">
        <v>0.4</v>
      </c>
    </row>
    <row r="555" spans="1:9" ht="52.8" x14ac:dyDescent="0.25">
      <c r="A555" s="17" t="s">
        <v>320</v>
      </c>
      <c r="B555" s="14" t="s">
        <v>201</v>
      </c>
      <c r="C555" s="18" t="s">
        <v>3774</v>
      </c>
      <c r="D555" s="14" t="str">
        <f t="shared" si="59"/>
        <v>1ST-358-554</v>
      </c>
      <c r="E555" s="18" t="s">
        <v>642</v>
      </c>
      <c r="F555" s="19">
        <f t="shared" si="60"/>
        <v>47</v>
      </c>
      <c r="G555" s="19" t="str">
        <f t="shared" si="61"/>
        <v>PC</v>
      </c>
      <c r="H555" s="20" t="s">
        <v>771</v>
      </c>
      <c r="I555" s="21">
        <v>0.4</v>
      </c>
    </row>
    <row r="556" spans="1:9" ht="52.8" x14ac:dyDescent="0.25">
      <c r="A556" s="17" t="s">
        <v>320</v>
      </c>
      <c r="B556" s="14" t="s">
        <v>201</v>
      </c>
      <c r="C556" s="18" t="s">
        <v>3775</v>
      </c>
      <c r="D556" s="14" t="str">
        <f t="shared" si="59"/>
        <v>1ST-358-555</v>
      </c>
      <c r="E556" s="18" t="s">
        <v>1284</v>
      </c>
      <c r="F556" s="19">
        <f t="shared" si="60"/>
        <v>59.4</v>
      </c>
      <c r="G556" s="19" t="str">
        <f t="shared" si="61"/>
        <v>PC</v>
      </c>
      <c r="H556" s="20" t="s">
        <v>771</v>
      </c>
      <c r="I556" s="21">
        <v>0.4</v>
      </c>
    </row>
    <row r="557" spans="1:9" ht="52.8" x14ac:dyDescent="0.25">
      <c r="A557" s="17" t="s">
        <v>320</v>
      </c>
      <c r="B557" s="14" t="s">
        <v>201</v>
      </c>
      <c r="C557" s="18" t="s">
        <v>3776</v>
      </c>
      <c r="D557" s="14" t="str">
        <f t="shared" si="59"/>
        <v>1ST-358-556</v>
      </c>
      <c r="E557" s="18" t="s">
        <v>1285</v>
      </c>
      <c r="F557" s="19">
        <f t="shared" si="60"/>
        <v>73.400000000000006</v>
      </c>
      <c r="G557" s="19" t="str">
        <f t="shared" si="61"/>
        <v>PC</v>
      </c>
      <c r="H557" s="20" t="s">
        <v>771</v>
      </c>
      <c r="I557" s="21">
        <v>0.4</v>
      </c>
    </row>
    <row r="558" spans="1:9" ht="52.8" x14ac:dyDescent="0.25">
      <c r="A558" s="17" t="s">
        <v>320</v>
      </c>
      <c r="B558" s="14" t="s">
        <v>201</v>
      </c>
      <c r="C558" s="18" t="s">
        <v>3777</v>
      </c>
      <c r="D558" s="14" t="str">
        <f t="shared" si="59"/>
        <v>1ST-358-557</v>
      </c>
      <c r="E558" s="18" t="s">
        <v>1286</v>
      </c>
      <c r="F558" s="19">
        <f t="shared" si="60"/>
        <v>82.4</v>
      </c>
      <c r="G558" s="19" t="str">
        <f t="shared" si="61"/>
        <v>PC</v>
      </c>
      <c r="H558" s="20" t="s">
        <v>771</v>
      </c>
      <c r="I558" s="21">
        <v>0.4</v>
      </c>
    </row>
    <row r="559" spans="1:9" ht="52.8" x14ac:dyDescent="0.25">
      <c r="A559" s="17" t="s">
        <v>320</v>
      </c>
      <c r="B559" s="14" t="s">
        <v>201</v>
      </c>
      <c r="C559" s="18" t="s">
        <v>3778</v>
      </c>
      <c r="D559" s="14" t="str">
        <f t="shared" si="59"/>
        <v>1ST-358-558</v>
      </c>
      <c r="E559" s="18" t="s">
        <v>1287</v>
      </c>
      <c r="F559" s="19">
        <f t="shared" si="60"/>
        <v>88.8</v>
      </c>
      <c r="G559" s="19" t="str">
        <f t="shared" si="61"/>
        <v>PC</v>
      </c>
      <c r="H559" s="20" t="s">
        <v>771</v>
      </c>
      <c r="I559" s="21">
        <v>0.4</v>
      </c>
    </row>
    <row r="560" spans="1:9" ht="52.8" x14ac:dyDescent="0.25">
      <c r="A560" s="17" t="s">
        <v>320</v>
      </c>
      <c r="B560" s="14" t="s">
        <v>201</v>
      </c>
      <c r="C560" s="18" t="s">
        <v>3779</v>
      </c>
      <c r="D560" s="14" t="str">
        <f t="shared" si="59"/>
        <v>1ST-358-559</v>
      </c>
      <c r="E560" s="18" t="s">
        <v>1288</v>
      </c>
      <c r="F560" s="19">
        <f t="shared" si="60"/>
        <v>104.4</v>
      </c>
      <c r="G560" s="19" t="str">
        <f t="shared" si="61"/>
        <v>PC</v>
      </c>
      <c r="H560" s="20" t="s">
        <v>771</v>
      </c>
      <c r="I560" s="21">
        <v>0.4</v>
      </c>
    </row>
    <row r="561" spans="1:9" ht="52.8" x14ac:dyDescent="0.25">
      <c r="A561" s="17" t="s">
        <v>320</v>
      </c>
      <c r="B561" s="14" t="s">
        <v>201</v>
      </c>
      <c r="C561" s="18" t="s">
        <v>3780</v>
      </c>
      <c r="D561" s="14" t="str">
        <f t="shared" si="59"/>
        <v>1ST-358-560</v>
      </c>
      <c r="E561" s="18" t="s">
        <v>1289</v>
      </c>
      <c r="F561" s="19">
        <f t="shared" si="60"/>
        <v>28.4</v>
      </c>
      <c r="G561" s="19" t="str">
        <f t="shared" si="61"/>
        <v>PC</v>
      </c>
      <c r="H561" s="20" t="s">
        <v>771</v>
      </c>
      <c r="I561" s="21">
        <v>0.4</v>
      </c>
    </row>
    <row r="562" spans="1:9" ht="52.8" x14ac:dyDescent="0.25">
      <c r="A562" s="17" t="s">
        <v>320</v>
      </c>
      <c r="B562" s="14" t="s">
        <v>201</v>
      </c>
      <c r="C562" s="18" t="s">
        <v>3781</v>
      </c>
      <c r="D562" s="14" t="str">
        <f t="shared" si="59"/>
        <v>1ST-358-561</v>
      </c>
      <c r="E562" s="18" t="s">
        <v>1273</v>
      </c>
      <c r="F562" s="19">
        <f t="shared" si="60"/>
        <v>32.200000000000003</v>
      </c>
      <c r="G562" s="19" t="str">
        <f t="shared" si="61"/>
        <v>PC</v>
      </c>
      <c r="H562" s="20" t="s">
        <v>771</v>
      </c>
      <c r="I562" s="21">
        <v>0.4</v>
      </c>
    </row>
    <row r="563" spans="1:9" ht="52.8" x14ac:dyDescent="0.25">
      <c r="A563" s="17" t="s">
        <v>320</v>
      </c>
      <c r="B563" s="14" t="s">
        <v>201</v>
      </c>
      <c r="C563" s="19" t="s">
        <v>1290</v>
      </c>
      <c r="D563" s="14" t="str">
        <f t="shared" si="59"/>
        <v>1ST-358-562</v>
      </c>
      <c r="E563" s="19" t="s">
        <v>1145</v>
      </c>
      <c r="F563" s="19">
        <f t="shared" si="60"/>
        <v>46</v>
      </c>
      <c r="G563" s="19" t="str">
        <f t="shared" si="61"/>
        <v>PC</v>
      </c>
      <c r="H563" s="20" t="s">
        <v>771</v>
      </c>
      <c r="I563" s="21">
        <v>0.4</v>
      </c>
    </row>
    <row r="564" spans="1:9" ht="52.8" x14ac:dyDescent="0.25">
      <c r="A564" s="17" t="s">
        <v>320</v>
      </c>
      <c r="B564" s="14" t="s">
        <v>201</v>
      </c>
      <c r="C564" s="18" t="s">
        <v>3782</v>
      </c>
      <c r="D564" s="14" t="str">
        <f t="shared" si="59"/>
        <v>1ST-358-563</v>
      </c>
      <c r="E564" s="19" t="s">
        <v>1291</v>
      </c>
      <c r="F564" s="19">
        <f t="shared" si="60"/>
        <v>57.4</v>
      </c>
      <c r="G564" s="19" t="str">
        <f t="shared" si="61"/>
        <v>PC</v>
      </c>
      <c r="H564" s="20" t="s">
        <v>771</v>
      </c>
      <c r="I564" s="21">
        <v>0.4</v>
      </c>
    </row>
    <row r="565" spans="1:9" ht="52.8" x14ac:dyDescent="0.25">
      <c r="A565" s="17" t="s">
        <v>320</v>
      </c>
      <c r="B565" s="14" t="s">
        <v>201</v>
      </c>
      <c r="C565" s="19" t="s">
        <v>1292</v>
      </c>
      <c r="D565" s="14" t="str">
        <f t="shared" si="59"/>
        <v>1ST-358-564</v>
      </c>
      <c r="E565" s="19" t="s">
        <v>1293</v>
      </c>
      <c r="F565" s="19">
        <f t="shared" si="60"/>
        <v>67.8</v>
      </c>
      <c r="G565" s="19" t="str">
        <f t="shared" si="61"/>
        <v>PC</v>
      </c>
      <c r="H565" s="20" t="s">
        <v>771</v>
      </c>
      <c r="I565" s="21">
        <v>0.4</v>
      </c>
    </row>
    <row r="566" spans="1:9" ht="52.8" x14ac:dyDescent="0.25">
      <c r="A566" s="17" t="s">
        <v>320</v>
      </c>
      <c r="B566" s="14" t="s">
        <v>201</v>
      </c>
      <c r="C566" s="19" t="s">
        <v>3783</v>
      </c>
      <c r="D566" s="14" t="str">
        <f t="shared" si="59"/>
        <v>1ST-358-565</v>
      </c>
      <c r="E566" s="19" t="s">
        <v>1287</v>
      </c>
      <c r="F566" s="19">
        <f t="shared" si="60"/>
        <v>88.8</v>
      </c>
      <c r="G566" s="19" t="str">
        <f t="shared" si="61"/>
        <v>PC</v>
      </c>
      <c r="H566" s="20" t="s">
        <v>771</v>
      </c>
      <c r="I566" s="21">
        <v>0.4</v>
      </c>
    </row>
    <row r="567" spans="1:9" ht="52.8" x14ac:dyDescent="0.25">
      <c r="A567" s="17" t="s">
        <v>320</v>
      </c>
      <c r="B567" s="14" t="s">
        <v>201</v>
      </c>
      <c r="C567" s="19" t="s">
        <v>3784</v>
      </c>
      <c r="D567" s="14" t="str">
        <f t="shared" si="59"/>
        <v>1ST-358-566</v>
      </c>
      <c r="E567" s="19" t="s">
        <v>1294</v>
      </c>
      <c r="F567" s="19">
        <f t="shared" si="60"/>
        <v>107.8</v>
      </c>
      <c r="G567" s="19" t="str">
        <f t="shared" si="61"/>
        <v>PC</v>
      </c>
      <c r="H567" s="20" t="s">
        <v>771</v>
      </c>
      <c r="I567" s="21">
        <v>0.4</v>
      </c>
    </row>
    <row r="568" spans="1:9" ht="52.8" x14ac:dyDescent="0.25">
      <c r="A568" s="17" t="s">
        <v>320</v>
      </c>
      <c r="B568" s="14" t="s">
        <v>201</v>
      </c>
      <c r="C568" s="19" t="s">
        <v>1295</v>
      </c>
      <c r="D568" s="14" t="str">
        <f t="shared" si="59"/>
        <v>1ST-358-567</v>
      </c>
      <c r="E568" s="19" t="s">
        <v>1296</v>
      </c>
      <c r="F568" s="19">
        <f t="shared" si="60"/>
        <v>126.4</v>
      </c>
      <c r="G568" s="19" t="str">
        <f t="shared" si="61"/>
        <v>PC</v>
      </c>
      <c r="H568" s="20" t="s">
        <v>771</v>
      </c>
      <c r="I568" s="21">
        <v>0.4</v>
      </c>
    </row>
    <row r="569" spans="1:9" ht="52.8" x14ac:dyDescent="0.25">
      <c r="A569" s="17" t="s">
        <v>320</v>
      </c>
      <c r="B569" s="14" t="s">
        <v>201</v>
      </c>
      <c r="C569" s="19" t="s">
        <v>3785</v>
      </c>
      <c r="D569" s="14" t="str">
        <f t="shared" si="59"/>
        <v>1ST-358-568</v>
      </c>
      <c r="E569" s="19" t="s">
        <v>1151</v>
      </c>
      <c r="F569" s="19">
        <f t="shared" si="60"/>
        <v>34</v>
      </c>
      <c r="G569" s="19" t="str">
        <f t="shared" si="61"/>
        <v>PC</v>
      </c>
      <c r="H569" s="20" t="s">
        <v>771</v>
      </c>
      <c r="I569" s="21">
        <v>0.4</v>
      </c>
    </row>
    <row r="570" spans="1:9" ht="52.8" x14ac:dyDescent="0.25">
      <c r="A570" s="17" t="s">
        <v>320</v>
      </c>
      <c r="B570" s="14" t="s">
        <v>201</v>
      </c>
      <c r="C570" s="19" t="s">
        <v>1297</v>
      </c>
      <c r="D570" s="14" t="str">
        <f t="shared" si="59"/>
        <v>1ST-358-569</v>
      </c>
      <c r="E570" s="19" t="s">
        <v>1298</v>
      </c>
      <c r="F570" s="19">
        <f t="shared" si="60"/>
        <v>40.799999999999997</v>
      </c>
      <c r="G570" s="19" t="str">
        <f t="shared" si="61"/>
        <v>PC</v>
      </c>
      <c r="H570" s="20" t="s">
        <v>771</v>
      </c>
      <c r="I570" s="21">
        <v>0.4</v>
      </c>
    </row>
    <row r="571" spans="1:9" ht="52.8" x14ac:dyDescent="0.25">
      <c r="A571" s="17" t="s">
        <v>320</v>
      </c>
      <c r="B571" s="14" t="s">
        <v>201</v>
      </c>
      <c r="C571" s="19" t="s">
        <v>3786</v>
      </c>
      <c r="D571" s="14" t="str">
        <f t="shared" si="59"/>
        <v>1ST-358-570</v>
      </c>
      <c r="E571" s="19" t="s">
        <v>873</v>
      </c>
      <c r="F571" s="19">
        <f t="shared" si="60"/>
        <v>53</v>
      </c>
      <c r="G571" s="19" t="str">
        <f t="shared" si="61"/>
        <v>PC</v>
      </c>
      <c r="H571" s="20" t="s">
        <v>771</v>
      </c>
      <c r="I571" s="21">
        <v>0.4</v>
      </c>
    </row>
    <row r="572" spans="1:9" ht="52.8" x14ac:dyDescent="0.25">
      <c r="A572" s="17" t="s">
        <v>320</v>
      </c>
      <c r="B572" s="14" t="s">
        <v>201</v>
      </c>
      <c r="C572" s="19" t="s">
        <v>1299</v>
      </c>
      <c r="D572" s="14" t="str">
        <f t="shared" si="59"/>
        <v>1ST-358-571</v>
      </c>
      <c r="E572" s="19" t="s">
        <v>1300</v>
      </c>
      <c r="F572" s="19">
        <f t="shared" si="60"/>
        <v>67.2</v>
      </c>
      <c r="G572" s="19" t="str">
        <f t="shared" si="61"/>
        <v>PC</v>
      </c>
      <c r="H572" s="20" t="s">
        <v>771</v>
      </c>
      <c r="I572" s="21">
        <v>0.4</v>
      </c>
    </row>
    <row r="573" spans="1:9" ht="52.8" x14ac:dyDescent="0.25">
      <c r="A573" s="17" t="s">
        <v>320</v>
      </c>
      <c r="B573" s="14" t="s">
        <v>201</v>
      </c>
      <c r="C573" s="18" t="s">
        <v>3787</v>
      </c>
      <c r="D573" s="14" t="str">
        <f t="shared" si="59"/>
        <v>1ST-358-572</v>
      </c>
      <c r="E573" s="19" t="s">
        <v>799</v>
      </c>
      <c r="F573" s="19">
        <f t="shared" si="60"/>
        <v>86</v>
      </c>
      <c r="G573" s="19" t="str">
        <f t="shared" si="61"/>
        <v>PC</v>
      </c>
      <c r="H573" s="20" t="s">
        <v>771</v>
      </c>
      <c r="I573" s="21">
        <v>0.4</v>
      </c>
    </row>
    <row r="574" spans="1:9" ht="52.8" x14ac:dyDescent="0.25">
      <c r="A574" s="17" t="s">
        <v>320</v>
      </c>
      <c r="B574" s="14" t="s">
        <v>201</v>
      </c>
      <c r="C574" s="19" t="s">
        <v>3788</v>
      </c>
      <c r="D574" s="14" t="str">
        <f t="shared" si="59"/>
        <v>1ST-358-573</v>
      </c>
      <c r="E574" s="19" t="s">
        <v>1301</v>
      </c>
      <c r="F574" s="19">
        <f t="shared" si="60"/>
        <v>109.6</v>
      </c>
      <c r="G574" s="19" t="str">
        <f t="shared" si="61"/>
        <v>PC</v>
      </c>
      <c r="H574" s="20" t="s">
        <v>771</v>
      </c>
      <c r="I574" s="21">
        <v>0.4</v>
      </c>
    </row>
    <row r="575" spans="1:9" ht="52.8" x14ac:dyDescent="0.25">
      <c r="A575" s="17" t="s">
        <v>320</v>
      </c>
      <c r="B575" s="14" t="s">
        <v>201</v>
      </c>
      <c r="C575" s="19" t="s">
        <v>3789</v>
      </c>
      <c r="D575" s="14" t="str">
        <f t="shared" si="59"/>
        <v>1ST-358-574</v>
      </c>
      <c r="E575" s="19" t="s">
        <v>1302</v>
      </c>
      <c r="F575" s="19">
        <f t="shared" si="60"/>
        <v>132.19999999999999</v>
      </c>
      <c r="G575" s="19" t="str">
        <f t="shared" si="61"/>
        <v>PC</v>
      </c>
      <c r="H575" s="20" t="s">
        <v>771</v>
      </c>
      <c r="I575" s="21">
        <v>0.4</v>
      </c>
    </row>
    <row r="576" spans="1:9" ht="52.8" x14ac:dyDescent="0.25">
      <c r="A576" s="17" t="s">
        <v>320</v>
      </c>
      <c r="B576" s="14" t="s">
        <v>201</v>
      </c>
      <c r="C576" s="19" t="s">
        <v>3790</v>
      </c>
      <c r="D576" s="14" t="str">
        <f t="shared" si="59"/>
        <v>1ST-358-575</v>
      </c>
      <c r="E576" s="19" t="s">
        <v>1303</v>
      </c>
      <c r="F576" s="19">
        <f t="shared" si="60"/>
        <v>157.80000000000001</v>
      </c>
      <c r="G576" s="19" t="str">
        <f t="shared" si="61"/>
        <v>PC</v>
      </c>
      <c r="H576" s="20" t="s">
        <v>771</v>
      </c>
      <c r="I576" s="21">
        <v>0.4</v>
      </c>
    </row>
    <row r="577" spans="1:9" x14ac:dyDescent="0.25">
      <c r="A577" s="17" t="s">
        <v>320</v>
      </c>
      <c r="B577" s="14" t="s">
        <v>200</v>
      </c>
      <c r="C577" s="22" t="s">
        <v>772</v>
      </c>
      <c r="D577" s="14" t="str">
        <f t="shared" si="59"/>
        <v>1ST-358-576</v>
      </c>
      <c r="E577" s="18" t="s">
        <v>1258</v>
      </c>
      <c r="F577" s="19">
        <f t="shared" si="60"/>
        <v>6.8</v>
      </c>
      <c r="G577" s="19" t="str">
        <f t="shared" si="61"/>
        <v>PC</v>
      </c>
      <c r="H577" s="21">
        <v>0.6</v>
      </c>
      <c r="I577" s="21">
        <v>0.6</v>
      </c>
    </row>
    <row r="578" spans="1:9" x14ac:dyDescent="0.25">
      <c r="A578" s="17" t="s">
        <v>320</v>
      </c>
      <c r="B578" s="14" t="s">
        <v>200</v>
      </c>
      <c r="C578" s="22" t="s">
        <v>1304</v>
      </c>
      <c r="D578" s="14" t="str">
        <f t="shared" si="59"/>
        <v>1ST-358-577</v>
      </c>
      <c r="E578" s="18" t="s">
        <v>1260</v>
      </c>
      <c r="F578" s="19">
        <f t="shared" si="60"/>
        <v>8.4</v>
      </c>
      <c r="G578" s="19" t="str">
        <f t="shared" si="61"/>
        <v>PC</v>
      </c>
      <c r="H578" s="21">
        <v>0.6</v>
      </c>
      <c r="I578" s="21">
        <v>0.6</v>
      </c>
    </row>
    <row r="579" spans="1:9" x14ac:dyDescent="0.25">
      <c r="A579" s="17" t="s">
        <v>320</v>
      </c>
      <c r="B579" s="14" t="s">
        <v>200</v>
      </c>
      <c r="C579" s="22" t="s">
        <v>1305</v>
      </c>
      <c r="D579" s="14" t="str">
        <f t="shared" si="59"/>
        <v>1ST-358-578</v>
      </c>
      <c r="E579" s="18" t="s">
        <v>1261</v>
      </c>
      <c r="F579" s="19">
        <f t="shared" si="60"/>
        <v>10.6</v>
      </c>
      <c r="G579" s="19" t="str">
        <f t="shared" si="61"/>
        <v>PC</v>
      </c>
      <c r="H579" s="21">
        <v>0.6</v>
      </c>
      <c r="I579" s="21">
        <v>0.6</v>
      </c>
    </row>
    <row r="580" spans="1:9" x14ac:dyDescent="0.25">
      <c r="A580" s="17" t="s">
        <v>320</v>
      </c>
      <c r="B580" s="14" t="s">
        <v>200</v>
      </c>
      <c r="C580" s="22" t="s">
        <v>1306</v>
      </c>
      <c r="D580" s="14" t="str">
        <f t="shared" si="59"/>
        <v>1ST-358-579</v>
      </c>
      <c r="E580" s="18" t="s">
        <v>1262</v>
      </c>
      <c r="F580" s="19">
        <f t="shared" si="60"/>
        <v>12.6</v>
      </c>
      <c r="G580" s="19" t="str">
        <f t="shared" si="61"/>
        <v>PC</v>
      </c>
      <c r="H580" s="21">
        <v>0.6</v>
      </c>
      <c r="I580" s="21">
        <v>0.6</v>
      </c>
    </row>
    <row r="581" spans="1:9" x14ac:dyDescent="0.25">
      <c r="A581" s="17" t="s">
        <v>320</v>
      </c>
      <c r="B581" s="14" t="s">
        <v>200</v>
      </c>
      <c r="C581" s="22" t="s">
        <v>1307</v>
      </c>
      <c r="D581" s="14" t="str">
        <f t="shared" ref="D581:D644" si="62">LEFT($D$2,FIND("-",$D$2,FIND("-",$D$2)+1)) &amp; TEXT(RIGHT($D$2,3)+ROW(D579),"000")</f>
        <v>1ST-358-580</v>
      </c>
      <c r="E581" s="18" t="s">
        <v>1263</v>
      </c>
      <c r="F581" s="19">
        <f t="shared" si="60"/>
        <v>17.399999999999999</v>
      </c>
      <c r="G581" s="19" t="str">
        <f t="shared" si="61"/>
        <v>PC</v>
      </c>
      <c r="H581" s="21">
        <v>0.6</v>
      </c>
      <c r="I581" s="21">
        <v>0.6</v>
      </c>
    </row>
    <row r="582" spans="1:9" x14ac:dyDescent="0.25">
      <c r="A582" s="17" t="s">
        <v>320</v>
      </c>
      <c r="B582" s="14" t="s">
        <v>200</v>
      </c>
      <c r="C582" s="22" t="s">
        <v>1308</v>
      </c>
      <c r="D582" s="14" t="str">
        <f t="shared" si="62"/>
        <v>1ST-358-581</v>
      </c>
      <c r="E582" s="18" t="s">
        <v>1264</v>
      </c>
      <c r="F582" s="19">
        <f t="shared" si="60"/>
        <v>19.600000000000001</v>
      </c>
      <c r="G582" s="19" t="str">
        <f t="shared" si="61"/>
        <v>PC</v>
      </c>
      <c r="H582" s="21">
        <v>0.6</v>
      </c>
      <c r="I582" s="21">
        <v>0.6</v>
      </c>
    </row>
    <row r="583" spans="1:9" x14ac:dyDescent="0.25">
      <c r="A583" s="17" t="s">
        <v>320</v>
      </c>
      <c r="B583" s="14" t="s">
        <v>200</v>
      </c>
      <c r="C583" s="22" t="s">
        <v>1309</v>
      </c>
      <c r="D583" s="14" t="str">
        <f t="shared" si="62"/>
        <v>1ST-358-582</v>
      </c>
      <c r="E583" s="18" t="s">
        <v>1265</v>
      </c>
      <c r="F583" s="19">
        <f t="shared" si="60"/>
        <v>22.2</v>
      </c>
      <c r="G583" s="19" t="str">
        <f t="shared" si="61"/>
        <v>PC</v>
      </c>
      <c r="H583" s="21">
        <v>0.6</v>
      </c>
      <c r="I583" s="21">
        <v>0.6</v>
      </c>
    </row>
    <row r="584" spans="1:9" x14ac:dyDescent="0.25">
      <c r="A584" s="17" t="s">
        <v>320</v>
      </c>
      <c r="B584" s="14" t="s">
        <v>200</v>
      </c>
      <c r="C584" s="22" t="s">
        <v>1310</v>
      </c>
      <c r="D584" s="14" t="str">
        <f t="shared" si="62"/>
        <v>1ST-358-583</v>
      </c>
      <c r="E584" s="18" t="s">
        <v>498</v>
      </c>
      <c r="F584" s="19">
        <f t="shared" si="60"/>
        <v>28</v>
      </c>
      <c r="G584" s="19" t="str">
        <f t="shared" si="61"/>
        <v>PC</v>
      </c>
      <c r="H584" s="21">
        <v>0.6</v>
      </c>
      <c r="I584" s="21">
        <v>0.6</v>
      </c>
    </row>
    <row r="585" spans="1:9" x14ac:dyDescent="0.25">
      <c r="A585" s="17" t="s">
        <v>320</v>
      </c>
      <c r="B585" s="14" t="s">
        <v>200</v>
      </c>
      <c r="C585" s="22" t="s">
        <v>1311</v>
      </c>
      <c r="D585" s="14" t="str">
        <f t="shared" si="62"/>
        <v>1ST-358-584</v>
      </c>
      <c r="E585" s="18" t="s">
        <v>1266</v>
      </c>
      <c r="F585" s="19">
        <f t="shared" si="60"/>
        <v>30.8</v>
      </c>
      <c r="G585" s="19" t="str">
        <f t="shared" si="61"/>
        <v>PC</v>
      </c>
      <c r="H585" s="21">
        <v>0.6</v>
      </c>
      <c r="I585" s="21">
        <v>0.6</v>
      </c>
    </row>
    <row r="586" spans="1:9" x14ac:dyDescent="0.25">
      <c r="A586" s="17" t="s">
        <v>320</v>
      </c>
      <c r="B586" s="14" t="s">
        <v>200</v>
      </c>
      <c r="C586" s="22" t="s">
        <v>1312</v>
      </c>
      <c r="D586" s="14" t="str">
        <f t="shared" si="62"/>
        <v>1ST-358-585</v>
      </c>
      <c r="E586" s="18" t="s">
        <v>1267</v>
      </c>
      <c r="F586" s="19">
        <f t="shared" si="60"/>
        <v>35.200000000000003</v>
      </c>
      <c r="G586" s="19" t="str">
        <f t="shared" si="61"/>
        <v>PC</v>
      </c>
      <c r="H586" s="21">
        <v>0.6</v>
      </c>
      <c r="I586" s="21">
        <v>0.6</v>
      </c>
    </row>
    <row r="587" spans="1:9" x14ac:dyDescent="0.25">
      <c r="A587" s="17" t="s">
        <v>320</v>
      </c>
      <c r="B587" s="14" t="s">
        <v>200</v>
      </c>
      <c r="C587" s="22" t="s">
        <v>1313</v>
      </c>
      <c r="D587" s="14" t="str">
        <f t="shared" si="62"/>
        <v>1ST-358-586</v>
      </c>
      <c r="E587" s="18" t="s">
        <v>700</v>
      </c>
      <c r="F587" s="19">
        <f t="shared" si="60"/>
        <v>65</v>
      </c>
      <c r="G587" s="19" t="str">
        <f t="shared" si="61"/>
        <v>PC</v>
      </c>
      <c r="H587" s="21">
        <v>0.6</v>
      </c>
      <c r="I587" s="21">
        <v>0.6</v>
      </c>
    </row>
    <row r="588" spans="1:9" x14ac:dyDescent="0.25">
      <c r="A588" s="17" t="s">
        <v>320</v>
      </c>
      <c r="B588" s="14" t="s">
        <v>199</v>
      </c>
      <c r="C588" s="18" t="s">
        <v>1314</v>
      </c>
      <c r="D588" s="14" t="str">
        <f t="shared" si="62"/>
        <v>1ST-358-587</v>
      </c>
      <c r="E588" s="18" t="s">
        <v>1268</v>
      </c>
      <c r="F588" s="19">
        <f t="shared" si="60"/>
        <v>9.8000000000000007</v>
      </c>
      <c r="G588" s="19" t="str">
        <f t="shared" si="61"/>
        <v>PC</v>
      </c>
      <c r="H588" s="21">
        <v>0.6</v>
      </c>
      <c r="I588" s="21">
        <v>0.6</v>
      </c>
    </row>
    <row r="589" spans="1:9" x14ac:dyDescent="0.25">
      <c r="A589" s="17" t="s">
        <v>320</v>
      </c>
      <c r="B589" s="14" t="s">
        <v>199</v>
      </c>
      <c r="C589" s="18" t="s">
        <v>1315</v>
      </c>
      <c r="D589" s="14" t="str">
        <f t="shared" si="62"/>
        <v>1ST-358-588</v>
      </c>
      <c r="E589" s="18" t="s">
        <v>1269</v>
      </c>
      <c r="F589" s="19">
        <f t="shared" si="60"/>
        <v>12.4</v>
      </c>
      <c r="G589" s="19" t="str">
        <f t="shared" si="61"/>
        <v>PC</v>
      </c>
      <c r="H589" s="21">
        <v>0.6</v>
      </c>
      <c r="I589" s="21">
        <v>0.6</v>
      </c>
    </row>
    <row r="590" spans="1:9" x14ac:dyDescent="0.25">
      <c r="A590" s="17" t="s">
        <v>320</v>
      </c>
      <c r="B590" s="14" t="s">
        <v>199</v>
      </c>
      <c r="C590" s="19" t="s">
        <v>1316</v>
      </c>
      <c r="D590" s="14" t="str">
        <f t="shared" si="62"/>
        <v>1ST-358-589</v>
      </c>
      <c r="E590" s="19" t="s">
        <v>973</v>
      </c>
      <c r="F590" s="19">
        <f t="shared" si="60"/>
        <v>16</v>
      </c>
      <c r="G590" s="19" t="str">
        <f t="shared" si="61"/>
        <v>PC</v>
      </c>
      <c r="H590" s="21">
        <v>0.6</v>
      </c>
      <c r="I590" s="21">
        <v>0.6</v>
      </c>
    </row>
    <row r="591" spans="1:9" x14ac:dyDescent="0.25">
      <c r="A591" s="17" t="s">
        <v>320</v>
      </c>
      <c r="B591" s="14" t="s">
        <v>199</v>
      </c>
      <c r="C591" s="18" t="s">
        <v>1317</v>
      </c>
      <c r="D591" s="14" t="str">
        <f t="shared" si="62"/>
        <v>1ST-358-590</v>
      </c>
      <c r="E591" s="18" t="s">
        <v>1270</v>
      </c>
      <c r="F591" s="19">
        <f t="shared" si="60"/>
        <v>21.2</v>
      </c>
      <c r="G591" s="19" t="str">
        <f t="shared" si="61"/>
        <v>PC</v>
      </c>
      <c r="H591" s="21">
        <v>0.6</v>
      </c>
      <c r="I591" s="21">
        <v>0.6</v>
      </c>
    </row>
    <row r="592" spans="1:9" x14ac:dyDescent="0.25">
      <c r="A592" s="17" t="s">
        <v>320</v>
      </c>
      <c r="B592" s="14" t="s">
        <v>199</v>
      </c>
      <c r="C592" s="18" t="s">
        <v>1318</v>
      </c>
      <c r="D592" s="14" t="str">
        <f t="shared" si="62"/>
        <v>1ST-358-591</v>
      </c>
      <c r="E592" s="18" t="s">
        <v>1271</v>
      </c>
      <c r="F592" s="19">
        <f t="shared" si="60"/>
        <v>26.8</v>
      </c>
      <c r="G592" s="19" t="str">
        <f t="shared" si="61"/>
        <v>PC</v>
      </c>
      <c r="H592" s="21">
        <v>0.6</v>
      </c>
      <c r="I592" s="21">
        <v>0.6</v>
      </c>
    </row>
    <row r="593" spans="1:9" x14ac:dyDescent="0.25">
      <c r="A593" s="17" t="s">
        <v>320</v>
      </c>
      <c r="B593" s="14" t="s">
        <v>199</v>
      </c>
      <c r="C593" s="18" t="s">
        <v>1319</v>
      </c>
      <c r="D593" s="14" t="str">
        <f t="shared" si="62"/>
        <v>1ST-358-592</v>
      </c>
      <c r="E593" s="18" t="s">
        <v>1273</v>
      </c>
      <c r="F593" s="19">
        <f t="shared" si="60"/>
        <v>32.200000000000003</v>
      </c>
      <c r="G593" s="19" t="str">
        <f t="shared" si="61"/>
        <v>PC</v>
      </c>
      <c r="H593" s="21">
        <v>0.6</v>
      </c>
      <c r="I593" s="21">
        <v>0.6</v>
      </c>
    </row>
    <row r="594" spans="1:9" x14ac:dyDescent="0.25">
      <c r="A594" s="17" t="s">
        <v>320</v>
      </c>
      <c r="B594" s="14" t="s">
        <v>199</v>
      </c>
      <c r="C594" s="18" t="s">
        <v>1320</v>
      </c>
      <c r="D594" s="14" t="str">
        <f t="shared" si="62"/>
        <v>1ST-358-593</v>
      </c>
      <c r="E594" s="18" t="s">
        <v>1274</v>
      </c>
      <c r="F594" s="19">
        <f t="shared" si="60"/>
        <v>38.6</v>
      </c>
      <c r="G594" s="19" t="str">
        <f t="shared" si="61"/>
        <v>PC</v>
      </c>
      <c r="H594" s="21">
        <v>0.6</v>
      </c>
      <c r="I594" s="21">
        <v>0.6</v>
      </c>
    </row>
    <row r="595" spans="1:9" x14ac:dyDescent="0.25">
      <c r="A595" s="17" t="s">
        <v>320</v>
      </c>
      <c r="B595" s="14" t="s">
        <v>199</v>
      </c>
      <c r="C595" s="19" t="s">
        <v>1321</v>
      </c>
      <c r="D595" s="14" t="str">
        <f t="shared" si="62"/>
        <v>1ST-358-594</v>
      </c>
      <c r="E595" s="19" t="s">
        <v>1145</v>
      </c>
      <c r="F595" s="19">
        <f t="shared" si="60"/>
        <v>46</v>
      </c>
      <c r="G595" s="19" t="str">
        <f t="shared" si="61"/>
        <v>PC</v>
      </c>
      <c r="H595" s="21">
        <v>0.6</v>
      </c>
      <c r="I595" s="21">
        <v>0.6</v>
      </c>
    </row>
    <row r="596" spans="1:9" x14ac:dyDescent="0.25">
      <c r="A596" s="17" t="s">
        <v>320</v>
      </c>
      <c r="B596" s="14" t="s">
        <v>199</v>
      </c>
      <c r="C596" s="18" t="s">
        <v>1322</v>
      </c>
      <c r="D596" s="14" t="str">
        <f t="shared" si="62"/>
        <v>1ST-358-595</v>
      </c>
      <c r="E596" s="18" t="s">
        <v>1275</v>
      </c>
      <c r="F596" s="19">
        <f t="shared" si="60"/>
        <v>17.600000000000001</v>
      </c>
      <c r="G596" s="19" t="str">
        <f t="shared" si="61"/>
        <v>PC</v>
      </c>
      <c r="H596" s="21">
        <v>0.6</v>
      </c>
      <c r="I596" s="21">
        <v>0.6</v>
      </c>
    </row>
    <row r="597" spans="1:9" x14ac:dyDescent="0.25">
      <c r="A597" s="17" t="s">
        <v>320</v>
      </c>
      <c r="B597" s="14" t="s">
        <v>199</v>
      </c>
      <c r="C597" s="18" t="s">
        <v>1323</v>
      </c>
      <c r="D597" s="14" t="str">
        <f t="shared" si="62"/>
        <v>1ST-358-596</v>
      </c>
      <c r="E597" s="18" t="s">
        <v>1158</v>
      </c>
      <c r="F597" s="19">
        <f t="shared" si="60"/>
        <v>21</v>
      </c>
      <c r="G597" s="19" t="str">
        <f t="shared" si="61"/>
        <v>PC</v>
      </c>
      <c r="H597" s="21">
        <v>0.6</v>
      </c>
      <c r="I597" s="21">
        <v>0.6</v>
      </c>
    </row>
    <row r="598" spans="1:9" x14ac:dyDescent="0.25">
      <c r="A598" s="17" t="s">
        <v>320</v>
      </c>
      <c r="B598" s="14" t="s">
        <v>199</v>
      </c>
      <c r="C598" s="18" t="s">
        <v>1324</v>
      </c>
      <c r="D598" s="14" t="str">
        <f t="shared" si="62"/>
        <v>1ST-358-597</v>
      </c>
      <c r="E598" s="18" t="s">
        <v>1325</v>
      </c>
      <c r="F598" s="19">
        <f t="shared" si="60"/>
        <v>29.8</v>
      </c>
      <c r="G598" s="19" t="str">
        <f t="shared" si="61"/>
        <v>PC</v>
      </c>
      <c r="H598" s="21">
        <v>0.6</v>
      </c>
      <c r="I598" s="21">
        <v>0.6</v>
      </c>
    </row>
    <row r="599" spans="1:9" x14ac:dyDescent="0.25">
      <c r="A599" s="17" t="s">
        <v>320</v>
      </c>
      <c r="B599" s="14" t="s">
        <v>199</v>
      </c>
      <c r="C599" s="19" t="s">
        <v>1326</v>
      </c>
      <c r="D599" s="14" t="str">
        <f t="shared" si="62"/>
        <v>1ST-358-598</v>
      </c>
      <c r="E599" s="19" t="s">
        <v>1277</v>
      </c>
      <c r="F599" s="19">
        <f t="shared" si="60"/>
        <v>44.4</v>
      </c>
      <c r="G599" s="19" t="str">
        <f t="shared" si="61"/>
        <v>PC</v>
      </c>
      <c r="H599" s="21">
        <v>0.6</v>
      </c>
      <c r="I599" s="21">
        <v>0.6</v>
      </c>
    </row>
    <row r="600" spans="1:9" x14ac:dyDescent="0.25">
      <c r="A600" s="17" t="s">
        <v>320</v>
      </c>
      <c r="B600" s="14" t="s">
        <v>199</v>
      </c>
      <c r="C600" s="18" t="s">
        <v>1327</v>
      </c>
      <c r="D600" s="14" t="str">
        <f t="shared" si="62"/>
        <v>1ST-358-599</v>
      </c>
      <c r="E600" s="18" t="s">
        <v>1278</v>
      </c>
      <c r="F600" s="19">
        <f t="shared" si="60"/>
        <v>51.4</v>
      </c>
      <c r="G600" s="19" t="str">
        <f t="shared" si="61"/>
        <v>PC</v>
      </c>
      <c r="H600" s="21">
        <v>0.6</v>
      </c>
      <c r="I600" s="21">
        <v>0.6</v>
      </c>
    </row>
    <row r="601" spans="1:9" x14ac:dyDescent="0.25">
      <c r="A601" s="17" t="s">
        <v>320</v>
      </c>
      <c r="B601" s="14" t="s">
        <v>199</v>
      </c>
      <c r="C601" s="18" t="s">
        <v>1328</v>
      </c>
      <c r="D601" s="14" t="str">
        <f t="shared" si="62"/>
        <v>1ST-358-600</v>
      </c>
      <c r="E601" s="18" t="s">
        <v>1279</v>
      </c>
      <c r="F601" s="19">
        <f t="shared" si="60"/>
        <v>58.2</v>
      </c>
      <c r="G601" s="19" t="str">
        <f t="shared" si="61"/>
        <v>PC</v>
      </c>
      <c r="H601" s="21">
        <v>0.6</v>
      </c>
      <c r="I601" s="21">
        <v>0.6</v>
      </c>
    </row>
    <row r="602" spans="1:9" x14ac:dyDescent="0.25">
      <c r="A602" s="17" t="s">
        <v>320</v>
      </c>
      <c r="B602" s="14" t="s">
        <v>199</v>
      </c>
      <c r="C602" s="18" t="s">
        <v>1329</v>
      </c>
      <c r="D602" s="14" t="str">
        <f t="shared" si="62"/>
        <v>1ST-358-601</v>
      </c>
      <c r="E602" s="18" t="s">
        <v>1196</v>
      </c>
      <c r="F602" s="19">
        <f t="shared" si="60"/>
        <v>72</v>
      </c>
      <c r="G602" s="19" t="str">
        <f t="shared" si="61"/>
        <v>PC</v>
      </c>
      <c r="H602" s="21">
        <v>0.6</v>
      </c>
      <c r="I602" s="21">
        <v>0.6</v>
      </c>
    </row>
    <row r="603" spans="1:9" x14ac:dyDescent="0.25">
      <c r="A603" s="17" t="s">
        <v>320</v>
      </c>
      <c r="B603" s="14" t="s">
        <v>199</v>
      </c>
      <c r="C603" s="19" t="s">
        <v>1330</v>
      </c>
      <c r="D603" s="14" t="str">
        <f t="shared" si="62"/>
        <v>1ST-358-602</v>
      </c>
      <c r="E603" s="19" t="s">
        <v>652</v>
      </c>
      <c r="F603" s="19">
        <f t="shared" si="60"/>
        <v>80</v>
      </c>
      <c r="G603" s="19" t="str">
        <f t="shared" si="61"/>
        <v>PC</v>
      </c>
      <c r="H603" s="21">
        <v>0.6</v>
      </c>
      <c r="I603" s="21">
        <v>0.6</v>
      </c>
    </row>
    <row r="604" spans="1:9" x14ac:dyDescent="0.25">
      <c r="A604" s="17" t="s">
        <v>320</v>
      </c>
      <c r="B604" s="14" t="s">
        <v>784</v>
      </c>
      <c r="C604" s="18" t="s">
        <v>1331</v>
      </c>
      <c r="D604" s="14" t="str">
        <f t="shared" si="62"/>
        <v>1ST-358-603</v>
      </c>
      <c r="E604" s="18" t="s">
        <v>1332</v>
      </c>
      <c r="F604" s="19">
        <f t="shared" si="60"/>
        <v>13.16</v>
      </c>
      <c r="G604" s="19" t="str">
        <f t="shared" ref="G604:G667" si="63">TRIM(MID(E604,FIND("/",E604)+1,LEN(E604)))</f>
        <v>PC</v>
      </c>
      <c r="H604" s="14" t="s">
        <v>441</v>
      </c>
      <c r="I604" s="14" t="s">
        <v>441</v>
      </c>
    </row>
    <row r="605" spans="1:9" x14ac:dyDescent="0.25">
      <c r="A605" s="17" t="s">
        <v>320</v>
      </c>
      <c r="B605" s="14" t="s">
        <v>784</v>
      </c>
      <c r="C605" s="18" t="s">
        <v>1333</v>
      </c>
      <c r="D605" s="14" t="str">
        <f t="shared" si="62"/>
        <v>1ST-358-604</v>
      </c>
      <c r="E605" s="18" t="s">
        <v>1334</v>
      </c>
      <c r="F605" s="19">
        <f t="shared" si="60"/>
        <v>18.899999999999999</v>
      </c>
      <c r="G605" s="19" t="str">
        <f t="shared" si="63"/>
        <v>PC</v>
      </c>
      <c r="H605" s="14" t="s">
        <v>441</v>
      </c>
      <c r="I605" s="14" t="s">
        <v>441</v>
      </c>
    </row>
    <row r="606" spans="1:9" x14ac:dyDescent="0.25">
      <c r="A606" s="17" t="s">
        <v>320</v>
      </c>
      <c r="B606" s="14" t="s">
        <v>784</v>
      </c>
      <c r="C606" s="18" t="s">
        <v>1335</v>
      </c>
      <c r="D606" s="14" t="str">
        <f t="shared" si="62"/>
        <v>1ST-358-605</v>
      </c>
      <c r="E606" s="18" t="s">
        <v>1334</v>
      </c>
      <c r="F606" s="19">
        <f t="shared" si="60"/>
        <v>18.899999999999999</v>
      </c>
      <c r="G606" s="19" t="str">
        <f t="shared" si="63"/>
        <v>PC</v>
      </c>
      <c r="H606" s="14" t="s">
        <v>441</v>
      </c>
      <c r="I606" s="14" t="s">
        <v>441</v>
      </c>
    </row>
    <row r="607" spans="1:9" x14ac:dyDescent="0.25">
      <c r="A607" s="17" t="s">
        <v>320</v>
      </c>
      <c r="B607" s="14" t="s">
        <v>784</v>
      </c>
      <c r="C607" s="18" t="s">
        <v>1336</v>
      </c>
      <c r="D607" s="14" t="str">
        <f t="shared" si="62"/>
        <v>1ST-358-606</v>
      </c>
      <c r="E607" s="18" t="s">
        <v>1334</v>
      </c>
      <c r="F607" s="19">
        <f t="shared" si="60"/>
        <v>18.899999999999999</v>
      </c>
      <c r="G607" s="19" t="str">
        <f t="shared" si="63"/>
        <v>PC</v>
      </c>
      <c r="H607" s="14" t="s">
        <v>441</v>
      </c>
      <c r="I607" s="14" t="s">
        <v>441</v>
      </c>
    </row>
    <row r="608" spans="1:9" x14ac:dyDescent="0.25">
      <c r="A608" s="17" t="s">
        <v>320</v>
      </c>
      <c r="B608" s="14" t="s">
        <v>784</v>
      </c>
      <c r="C608" s="18" t="s">
        <v>1337</v>
      </c>
      <c r="D608" s="14" t="str">
        <f t="shared" si="62"/>
        <v>1ST-358-607</v>
      </c>
      <c r="E608" s="18" t="s">
        <v>1334</v>
      </c>
      <c r="F608" s="19">
        <f t="shared" si="60"/>
        <v>18.899999999999999</v>
      </c>
      <c r="G608" s="19" t="str">
        <f t="shared" si="63"/>
        <v>PC</v>
      </c>
      <c r="H608" s="14" t="s">
        <v>441</v>
      </c>
      <c r="I608" s="14" t="s">
        <v>441</v>
      </c>
    </row>
    <row r="609" spans="1:9" x14ac:dyDescent="0.25">
      <c r="A609" s="17" t="s">
        <v>320</v>
      </c>
      <c r="B609" s="14" t="s">
        <v>784</v>
      </c>
      <c r="C609" s="18" t="s">
        <v>1338</v>
      </c>
      <c r="D609" s="14" t="str">
        <f t="shared" si="62"/>
        <v>1ST-358-608</v>
      </c>
      <c r="E609" s="18" t="s">
        <v>1339</v>
      </c>
      <c r="F609" s="19">
        <f t="shared" si="60"/>
        <v>31.16</v>
      </c>
      <c r="G609" s="19" t="str">
        <f t="shared" si="63"/>
        <v>PC</v>
      </c>
      <c r="H609" s="14" t="s">
        <v>441</v>
      </c>
      <c r="I609" s="14" t="s">
        <v>441</v>
      </c>
    </row>
    <row r="610" spans="1:9" x14ac:dyDescent="0.25">
      <c r="A610" s="17" t="s">
        <v>320</v>
      </c>
      <c r="B610" s="14" t="s">
        <v>784</v>
      </c>
      <c r="C610" s="18" t="s">
        <v>1340</v>
      </c>
      <c r="D610" s="14" t="str">
        <f t="shared" si="62"/>
        <v>1ST-358-609</v>
      </c>
      <c r="E610" s="18" t="s">
        <v>1339</v>
      </c>
      <c r="F610" s="19">
        <f t="shared" si="60"/>
        <v>31.16</v>
      </c>
      <c r="G610" s="19" t="str">
        <f t="shared" si="63"/>
        <v>PC</v>
      </c>
      <c r="H610" s="14" t="s">
        <v>441</v>
      </c>
      <c r="I610" s="14" t="s">
        <v>441</v>
      </c>
    </row>
    <row r="611" spans="1:9" x14ac:dyDescent="0.25">
      <c r="A611" s="17" t="s">
        <v>320</v>
      </c>
      <c r="B611" s="14" t="s">
        <v>784</v>
      </c>
      <c r="C611" s="18" t="s">
        <v>1341</v>
      </c>
      <c r="D611" s="14" t="str">
        <f t="shared" si="62"/>
        <v>1ST-358-610</v>
      </c>
      <c r="E611" s="18" t="s">
        <v>1339</v>
      </c>
      <c r="F611" s="19">
        <f t="shared" si="60"/>
        <v>31.16</v>
      </c>
      <c r="G611" s="19" t="str">
        <f t="shared" si="63"/>
        <v>PC</v>
      </c>
      <c r="H611" s="14" t="s">
        <v>441</v>
      </c>
      <c r="I611" s="14" t="s">
        <v>441</v>
      </c>
    </row>
    <row r="612" spans="1:9" x14ac:dyDescent="0.25">
      <c r="A612" s="17" t="s">
        <v>320</v>
      </c>
      <c r="B612" s="14" t="s">
        <v>784</v>
      </c>
      <c r="C612" s="18" t="s">
        <v>1342</v>
      </c>
      <c r="D612" s="14" t="str">
        <f t="shared" si="62"/>
        <v>1ST-358-611</v>
      </c>
      <c r="E612" s="18" t="s">
        <v>1343</v>
      </c>
      <c r="F612" s="19">
        <f t="shared" si="60"/>
        <v>37.01</v>
      </c>
      <c r="G612" s="19" t="str">
        <f t="shared" si="63"/>
        <v>PC</v>
      </c>
      <c r="H612" s="14" t="s">
        <v>441</v>
      </c>
      <c r="I612" s="14" t="s">
        <v>441</v>
      </c>
    </row>
    <row r="613" spans="1:9" x14ac:dyDescent="0.25">
      <c r="A613" s="17" t="s">
        <v>320</v>
      </c>
      <c r="B613" s="14" t="s">
        <v>784</v>
      </c>
      <c r="C613" s="18" t="s">
        <v>1344</v>
      </c>
      <c r="D613" s="14" t="str">
        <f t="shared" si="62"/>
        <v>1ST-358-612</v>
      </c>
      <c r="E613" s="18" t="s">
        <v>1343</v>
      </c>
      <c r="F613" s="19">
        <f t="shared" si="60"/>
        <v>37.01</v>
      </c>
      <c r="G613" s="19" t="str">
        <f t="shared" si="63"/>
        <v>PC</v>
      </c>
      <c r="H613" s="14" t="s">
        <v>441</v>
      </c>
      <c r="I613" s="14" t="s">
        <v>441</v>
      </c>
    </row>
    <row r="614" spans="1:9" x14ac:dyDescent="0.25">
      <c r="A614" s="17" t="s">
        <v>320</v>
      </c>
      <c r="B614" s="14" t="s">
        <v>784</v>
      </c>
      <c r="C614" s="18" t="s">
        <v>1345</v>
      </c>
      <c r="D614" s="14" t="str">
        <f t="shared" si="62"/>
        <v>1ST-358-613</v>
      </c>
      <c r="E614" s="18" t="s">
        <v>1343</v>
      </c>
      <c r="F614" s="19">
        <f t="shared" si="60"/>
        <v>37.01</v>
      </c>
      <c r="G614" s="19" t="str">
        <f t="shared" si="63"/>
        <v>PC</v>
      </c>
      <c r="H614" s="14" t="s">
        <v>441</v>
      </c>
      <c r="I614" s="14" t="s">
        <v>441</v>
      </c>
    </row>
    <row r="615" spans="1:9" x14ac:dyDescent="0.25">
      <c r="A615" s="17" t="s">
        <v>320</v>
      </c>
      <c r="B615" s="14" t="s">
        <v>784</v>
      </c>
      <c r="C615" s="18" t="s">
        <v>1346</v>
      </c>
      <c r="D615" s="14" t="str">
        <f t="shared" si="62"/>
        <v>1ST-358-614</v>
      </c>
      <c r="E615" s="18" t="s">
        <v>1343</v>
      </c>
      <c r="F615" s="19">
        <f t="shared" si="60"/>
        <v>37.01</v>
      </c>
      <c r="G615" s="19" t="str">
        <f t="shared" si="63"/>
        <v>PC</v>
      </c>
      <c r="H615" s="14" t="s">
        <v>441</v>
      </c>
      <c r="I615" s="14" t="s">
        <v>441</v>
      </c>
    </row>
    <row r="616" spans="1:9" x14ac:dyDescent="0.25">
      <c r="A616" s="17" t="s">
        <v>320</v>
      </c>
      <c r="B616" s="14" t="s">
        <v>784</v>
      </c>
      <c r="C616" s="18" t="s">
        <v>1347</v>
      </c>
      <c r="D616" s="14" t="str">
        <f t="shared" si="62"/>
        <v>1ST-358-615</v>
      </c>
      <c r="E616" s="18" t="s">
        <v>1348</v>
      </c>
      <c r="F616" s="19">
        <f t="shared" ref="F616:F679" si="64">VALUE(LEFT(E616,FIND("/",E616)-1))</f>
        <v>62.33</v>
      </c>
      <c r="G616" s="19" t="str">
        <f t="shared" si="63"/>
        <v>PC</v>
      </c>
      <c r="H616" s="14" t="s">
        <v>441</v>
      </c>
      <c r="I616" s="14" t="s">
        <v>441</v>
      </c>
    </row>
    <row r="617" spans="1:9" x14ac:dyDescent="0.25">
      <c r="A617" s="17" t="s">
        <v>320</v>
      </c>
      <c r="B617" s="14" t="s">
        <v>784</v>
      </c>
      <c r="C617" s="18" t="s">
        <v>1349</v>
      </c>
      <c r="D617" s="14" t="str">
        <f t="shared" si="62"/>
        <v>1ST-358-616</v>
      </c>
      <c r="E617" s="18" t="s">
        <v>1348</v>
      </c>
      <c r="F617" s="19">
        <f t="shared" si="64"/>
        <v>62.33</v>
      </c>
      <c r="G617" s="19" t="str">
        <f t="shared" si="63"/>
        <v>PC</v>
      </c>
      <c r="H617" s="14" t="s">
        <v>441</v>
      </c>
      <c r="I617" s="14" t="s">
        <v>441</v>
      </c>
    </row>
    <row r="618" spans="1:9" x14ac:dyDescent="0.25">
      <c r="A618" s="17" t="s">
        <v>320</v>
      </c>
      <c r="B618" s="14" t="s">
        <v>784</v>
      </c>
      <c r="C618" s="18" t="s">
        <v>3791</v>
      </c>
      <c r="D618" s="14" t="str">
        <f t="shared" si="62"/>
        <v>1ST-358-617</v>
      </c>
      <c r="E618" s="18" t="s">
        <v>1348</v>
      </c>
      <c r="F618" s="19">
        <f t="shared" si="64"/>
        <v>62.33</v>
      </c>
      <c r="G618" s="19" t="str">
        <f t="shared" si="63"/>
        <v>PC</v>
      </c>
      <c r="H618" s="14" t="s">
        <v>441</v>
      </c>
      <c r="I618" s="14" t="s">
        <v>441</v>
      </c>
    </row>
    <row r="619" spans="1:9" x14ac:dyDescent="0.25">
      <c r="A619" s="17" t="s">
        <v>320</v>
      </c>
      <c r="B619" s="14" t="s">
        <v>784</v>
      </c>
      <c r="C619" s="18" t="s">
        <v>1350</v>
      </c>
      <c r="D619" s="14" t="str">
        <f t="shared" si="62"/>
        <v>1ST-358-618</v>
      </c>
      <c r="E619" s="18" t="s">
        <v>1348</v>
      </c>
      <c r="F619" s="19">
        <f t="shared" si="64"/>
        <v>62.33</v>
      </c>
      <c r="G619" s="19" t="str">
        <f t="shared" si="63"/>
        <v>PC</v>
      </c>
      <c r="H619" s="14" t="s">
        <v>441</v>
      </c>
      <c r="I619" s="14" t="s">
        <v>441</v>
      </c>
    </row>
    <row r="620" spans="1:9" x14ac:dyDescent="0.25">
      <c r="A620" s="17" t="s">
        <v>320</v>
      </c>
      <c r="B620" s="14" t="s">
        <v>784</v>
      </c>
      <c r="C620" s="18" t="s">
        <v>1351</v>
      </c>
      <c r="D620" s="14" t="str">
        <f t="shared" si="62"/>
        <v>1ST-358-619</v>
      </c>
      <c r="E620" s="18" t="s">
        <v>1348</v>
      </c>
      <c r="F620" s="19">
        <f t="shared" si="64"/>
        <v>62.33</v>
      </c>
      <c r="G620" s="19" t="str">
        <f t="shared" si="63"/>
        <v>PC</v>
      </c>
      <c r="H620" s="14" t="s">
        <v>441</v>
      </c>
      <c r="I620" s="14" t="s">
        <v>441</v>
      </c>
    </row>
    <row r="621" spans="1:9" x14ac:dyDescent="0.25">
      <c r="A621" s="17" t="s">
        <v>320</v>
      </c>
      <c r="B621" s="14" t="s">
        <v>783</v>
      </c>
      <c r="C621" s="18" t="s">
        <v>1352</v>
      </c>
      <c r="D621" s="14" t="str">
        <f t="shared" si="62"/>
        <v>1ST-358-620</v>
      </c>
      <c r="E621" s="18" t="s">
        <v>1353</v>
      </c>
      <c r="F621" s="19">
        <f t="shared" si="64"/>
        <v>11.14</v>
      </c>
      <c r="G621" s="19" t="str">
        <f t="shared" si="63"/>
        <v>PC</v>
      </c>
      <c r="H621" s="14" t="s">
        <v>441</v>
      </c>
      <c r="I621" s="14" t="s">
        <v>441</v>
      </c>
    </row>
    <row r="622" spans="1:9" x14ac:dyDescent="0.25">
      <c r="A622" s="17" t="s">
        <v>320</v>
      </c>
      <c r="B622" s="14" t="s">
        <v>783</v>
      </c>
      <c r="C622" s="18" t="s">
        <v>1354</v>
      </c>
      <c r="D622" s="14" t="str">
        <f t="shared" si="62"/>
        <v>1ST-358-621</v>
      </c>
      <c r="E622" s="18" t="s">
        <v>1355</v>
      </c>
      <c r="F622" s="19">
        <f t="shared" si="64"/>
        <v>15.19</v>
      </c>
      <c r="G622" s="19" t="str">
        <f t="shared" si="63"/>
        <v>PC</v>
      </c>
      <c r="H622" s="14" t="s">
        <v>441</v>
      </c>
      <c r="I622" s="14" t="s">
        <v>441</v>
      </c>
    </row>
    <row r="623" spans="1:9" x14ac:dyDescent="0.25">
      <c r="A623" s="17" t="s">
        <v>320</v>
      </c>
      <c r="B623" s="14" t="s">
        <v>783</v>
      </c>
      <c r="C623" s="18" t="s">
        <v>1356</v>
      </c>
      <c r="D623" s="14" t="str">
        <f t="shared" si="62"/>
        <v>1ST-358-622</v>
      </c>
      <c r="E623" s="18" t="s">
        <v>1357</v>
      </c>
      <c r="F623" s="19">
        <f t="shared" si="64"/>
        <v>21.83</v>
      </c>
      <c r="G623" s="19" t="str">
        <f t="shared" si="63"/>
        <v>PC</v>
      </c>
      <c r="H623" s="14" t="s">
        <v>441</v>
      </c>
      <c r="I623" s="14" t="s">
        <v>441</v>
      </c>
    </row>
    <row r="624" spans="1:9" x14ac:dyDescent="0.25">
      <c r="A624" s="17" t="s">
        <v>320</v>
      </c>
      <c r="B624" s="14" t="s">
        <v>783</v>
      </c>
      <c r="C624" s="18" t="s">
        <v>1358</v>
      </c>
      <c r="D624" s="14" t="str">
        <f t="shared" si="62"/>
        <v>1ST-358-623</v>
      </c>
      <c r="E624" s="18" t="s">
        <v>1359</v>
      </c>
      <c r="F624" s="19">
        <f t="shared" si="64"/>
        <v>33.409999999999997</v>
      </c>
      <c r="G624" s="19" t="str">
        <f t="shared" si="63"/>
        <v>PC</v>
      </c>
      <c r="H624" s="14" t="s">
        <v>441</v>
      </c>
      <c r="I624" s="14" t="s">
        <v>441</v>
      </c>
    </row>
    <row r="625" spans="1:9" x14ac:dyDescent="0.25">
      <c r="A625" s="17" t="s">
        <v>320</v>
      </c>
      <c r="B625" s="14" t="s">
        <v>783</v>
      </c>
      <c r="C625" s="18" t="s">
        <v>1360</v>
      </c>
      <c r="D625" s="14" t="str">
        <f t="shared" si="62"/>
        <v>1ST-358-624</v>
      </c>
      <c r="E625" s="18" t="s">
        <v>1361</v>
      </c>
      <c r="F625" s="19">
        <f t="shared" si="64"/>
        <v>43.54</v>
      </c>
      <c r="G625" s="19" t="str">
        <f t="shared" si="63"/>
        <v>PC</v>
      </c>
      <c r="H625" s="14" t="s">
        <v>441</v>
      </c>
      <c r="I625" s="14" t="s">
        <v>441</v>
      </c>
    </row>
    <row r="626" spans="1:9" x14ac:dyDescent="0.25">
      <c r="A626" s="17" t="s">
        <v>320</v>
      </c>
      <c r="B626" s="14" t="s">
        <v>783</v>
      </c>
      <c r="C626" s="18" t="s">
        <v>1362</v>
      </c>
      <c r="D626" s="14" t="str">
        <f t="shared" si="62"/>
        <v>1ST-358-625</v>
      </c>
      <c r="E626" s="18" t="s">
        <v>1363</v>
      </c>
      <c r="F626" s="19">
        <f t="shared" si="64"/>
        <v>58.73</v>
      </c>
      <c r="G626" s="19" t="str">
        <f t="shared" si="63"/>
        <v>PC</v>
      </c>
      <c r="H626" s="14" t="s">
        <v>441</v>
      </c>
      <c r="I626" s="14" t="s">
        <v>441</v>
      </c>
    </row>
    <row r="627" spans="1:9" x14ac:dyDescent="0.25">
      <c r="A627" s="17" t="s">
        <v>320</v>
      </c>
      <c r="B627" s="14" t="s">
        <v>782</v>
      </c>
      <c r="C627" s="18" t="s">
        <v>1364</v>
      </c>
      <c r="D627" s="14" t="str">
        <f t="shared" si="62"/>
        <v>1ST-358-626</v>
      </c>
      <c r="E627" s="18" t="s">
        <v>1365</v>
      </c>
      <c r="F627" s="19">
        <f t="shared" si="64"/>
        <v>10.69</v>
      </c>
      <c r="G627" s="19" t="str">
        <f t="shared" si="63"/>
        <v>PC</v>
      </c>
      <c r="H627" s="14" t="s">
        <v>441</v>
      </c>
      <c r="I627" s="14" t="s">
        <v>441</v>
      </c>
    </row>
    <row r="628" spans="1:9" x14ac:dyDescent="0.25">
      <c r="A628" s="17" t="s">
        <v>320</v>
      </c>
      <c r="B628" s="14" t="s">
        <v>782</v>
      </c>
      <c r="C628" s="18" t="s">
        <v>1366</v>
      </c>
      <c r="D628" s="14" t="str">
        <f t="shared" si="62"/>
        <v>1ST-358-627</v>
      </c>
      <c r="E628" s="18" t="s">
        <v>1367</v>
      </c>
      <c r="F628" s="19">
        <f t="shared" si="64"/>
        <v>13.73</v>
      </c>
      <c r="G628" s="19" t="str">
        <f t="shared" si="63"/>
        <v>PC</v>
      </c>
      <c r="H628" s="14" t="s">
        <v>441</v>
      </c>
      <c r="I628" s="14" t="s">
        <v>441</v>
      </c>
    </row>
    <row r="629" spans="1:9" x14ac:dyDescent="0.25">
      <c r="A629" s="17" t="s">
        <v>320</v>
      </c>
      <c r="B629" s="14" t="s">
        <v>782</v>
      </c>
      <c r="C629" s="18" t="s">
        <v>1368</v>
      </c>
      <c r="D629" s="14" t="str">
        <f t="shared" si="62"/>
        <v>1ST-358-628</v>
      </c>
      <c r="E629" s="18" t="s">
        <v>1369</v>
      </c>
      <c r="F629" s="19">
        <f t="shared" si="64"/>
        <v>22.84</v>
      </c>
      <c r="G629" s="19" t="str">
        <f t="shared" si="63"/>
        <v>PC</v>
      </c>
      <c r="H629" s="14" t="s">
        <v>441</v>
      </c>
      <c r="I629" s="14" t="s">
        <v>441</v>
      </c>
    </row>
    <row r="630" spans="1:9" x14ac:dyDescent="0.25">
      <c r="A630" s="17" t="s">
        <v>320</v>
      </c>
      <c r="B630" s="14" t="s">
        <v>782</v>
      </c>
      <c r="C630" s="18" t="s">
        <v>1370</v>
      </c>
      <c r="D630" s="14" t="str">
        <f t="shared" si="62"/>
        <v>1ST-358-629</v>
      </c>
      <c r="E630" s="18" t="s">
        <v>1371</v>
      </c>
      <c r="F630" s="19">
        <f t="shared" si="64"/>
        <v>32.4</v>
      </c>
      <c r="G630" s="19" t="str">
        <f t="shared" si="63"/>
        <v>PC</v>
      </c>
      <c r="H630" s="14" t="s">
        <v>441</v>
      </c>
      <c r="I630" s="14" t="s">
        <v>441</v>
      </c>
    </row>
    <row r="631" spans="1:9" x14ac:dyDescent="0.25">
      <c r="A631" s="17" t="s">
        <v>320</v>
      </c>
      <c r="B631" s="14" t="s">
        <v>782</v>
      </c>
      <c r="C631" s="18" t="s">
        <v>1372</v>
      </c>
      <c r="D631" s="14" t="str">
        <f t="shared" si="62"/>
        <v>1ST-358-630</v>
      </c>
      <c r="E631" s="18" t="s">
        <v>1373</v>
      </c>
      <c r="F631" s="19">
        <f t="shared" si="64"/>
        <v>39.15</v>
      </c>
      <c r="G631" s="19" t="str">
        <f t="shared" si="63"/>
        <v>PC</v>
      </c>
      <c r="H631" s="14" t="s">
        <v>441</v>
      </c>
      <c r="I631" s="14" t="s">
        <v>441</v>
      </c>
    </row>
    <row r="632" spans="1:9" x14ac:dyDescent="0.25">
      <c r="A632" s="17" t="s">
        <v>320</v>
      </c>
      <c r="B632" s="14" t="s">
        <v>782</v>
      </c>
      <c r="C632" s="18" t="s">
        <v>1374</v>
      </c>
      <c r="D632" s="14" t="str">
        <f t="shared" si="62"/>
        <v>1ST-358-631</v>
      </c>
      <c r="E632" s="18" t="s">
        <v>1375</v>
      </c>
      <c r="F632" s="19">
        <f t="shared" si="64"/>
        <v>61.76</v>
      </c>
      <c r="G632" s="19" t="str">
        <f t="shared" si="63"/>
        <v>PC</v>
      </c>
      <c r="H632" s="14" t="s">
        <v>441</v>
      </c>
      <c r="I632" s="14" t="s">
        <v>441</v>
      </c>
    </row>
    <row r="633" spans="1:9" x14ac:dyDescent="0.25">
      <c r="A633" s="17" t="s">
        <v>320</v>
      </c>
      <c r="B633" s="14" t="s">
        <v>781</v>
      </c>
      <c r="C633" s="18" t="s">
        <v>1376</v>
      </c>
      <c r="D633" s="14" t="str">
        <f t="shared" si="62"/>
        <v>1ST-358-632</v>
      </c>
      <c r="E633" s="18" t="s">
        <v>1377</v>
      </c>
      <c r="F633" s="19">
        <f t="shared" si="64"/>
        <v>18.23</v>
      </c>
      <c r="G633" s="19" t="str">
        <f t="shared" si="63"/>
        <v>PC</v>
      </c>
      <c r="H633" s="14" t="s">
        <v>441</v>
      </c>
      <c r="I633" s="14" t="s">
        <v>441</v>
      </c>
    </row>
    <row r="634" spans="1:9" x14ac:dyDescent="0.25">
      <c r="A634" s="17" t="s">
        <v>320</v>
      </c>
      <c r="B634" s="14" t="s">
        <v>781</v>
      </c>
      <c r="C634" s="18" t="s">
        <v>1378</v>
      </c>
      <c r="D634" s="14" t="str">
        <f t="shared" si="62"/>
        <v>1ST-358-633</v>
      </c>
      <c r="E634" s="18" t="s">
        <v>1379</v>
      </c>
      <c r="F634" s="19">
        <f t="shared" si="64"/>
        <v>24.64</v>
      </c>
      <c r="G634" s="19" t="str">
        <f t="shared" si="63"/>
        <v>PC</v>
      </c>
      <c r="H634" s="14" t="s">
        <v>441</v>
      </c>
      <c r="I634" s="14" t="s">
        <v>441</v>
      </c>
    </row>
    <row r="635" spans="1:9" x14ac:dyDescent="0.25">
      <c r="A635" s="17" t="s">
        <v>320</v>
      </c>
      <c r="B635" s="14" t="s">
        <v>781</v>
      </c>
      <c r="C635" s="18" t="s">
        <v>1380</v>
      </c>
      <c r="D635" s="14" t="str">
        <f t="shared" si="62"/>
        <v>1ST-358-634</v>
      </c>
      <c r="E635" s="18" t="s">
        <v>1379</v>
      </c>
      <c r="F635" s="19">
        <f t="shared" si="64"/>
        <v>24.64</v>
      </c>
      <c r="G635" s="19" t="str">
        <f t="shared" si="63"/>
        <v>PC</v>
      </c>
      <c r="H635" s="14" t="s">
        <v>441</v>
      </c>
      <c r="I635" s="14" t="s">
        <v>441</v>
      </c>
    </row>
    <row r="636" spans="1:9" x14ac:dyDescent="0.25">
      <c r="A636" s="17" t="s">
        <v>320</v>
      </c>
      <c r="B636" s="14" t="s">
        <v>781</v>
      </c>
      <c r="C636" s="18" t="s">
        <v>1381</v>
      </c>
      <c r="D636" s="14" t="str">
        <f t="shared" si="62"/>
        <v>1ST-358-635</v>
      </c>
      <c r="E636" s="18" t="s">
        <v>1382</v>
      </c>
      <c r="F636" s="19">
        <f t="shared" si="64"/>
        <v>36.340000000000003</v>
      </c>
      <c r="G636" s="19" t="str">
        <f t="shared" si="63"/>
        <v>PC</v>
      </c>
      <c r="H636" s="14" t="s">
        <v>441</v>
      </c>
      <c r="I636" s="14" t="s">
        <v>441</v>
      </c>
    </row>
    <row r="637" spans="1:9" x14ac:dyDescent="0.25">
      <c r="A637" s="17" t="s">
        <v>320</v>
      </c>
      <c r="B637" s="14" t="s">
        <v>781</v>
      </c>
      <c r="C637" s="18" t="s">
        <v>3792</v>
      </c>
      <c r="D637" s="14" t="str">
        <f t="shared" si="62"/>
        <v>1ST-358-636</v>
      </c>
      <c r="E637" s="18" t="s">
        <v>1382</v>
      </c>
      <c r="F637" s="19">
        <f t="shared" si="64"/>
        <v>36.340000000000003</v>
      </c>
      <c r="G637" s="19" t="str">
        <f t="shared" si="63"/>
        <v>PC</v>
      </c>
      <c r="H637" s="14" t="s">
        <v>441</v>
      </c>
      <c r="I637" s="14" t="s">
        <v>441</v>
      </c>
    </row>
    <row r="638" spans="1:9" x14ac:dyDescent="0.25">
      <c r="A638" s="17" t="s">
        <v>320</v>
      </c>
      <c r="B638" s="14" t="s">
        <v>781</v>
      </c>
      <c r="C638" s="18" t="s">
        <v>1383</v>
      </c>
      <c r="D638" s="14" t="str">
        <f t="shared" si="62"/>
        <v>1ST-358-637</v>
      </c>
      <c r="E638" s="18" t="s">
        <v>1382</v>
      </c>
      <c r="F638" s="19">
        <f t="shared" si="64"/>
        <v>36.340000000000003</v>
      </c>
      <c r="G638" s="19" t="str">
        <f t="shared" si="63"/>
        <v>PC</v>
      </c>
      <c r="H638" s="14" t="s">
        <v>441</v>
      </c>
      <c r="I638" s="14" t="s">
        <v>441</v>
      </c>
    </row>
    <row r="639" spans="1:9" x14ac:dyDescent="0.25">
      <c r="A639" s="17" t="s">
        <v>320</v>
      </c>
      <c r="B639" s="14" t="s">
        <v>781</v>
      </c>
      <c r="C639" s="18" t="s">
        <v>1384</v>
      </c>
      <c r="D639" s="14" t="str">
        <f t="shared" si="62"/>
        <v>1ST-358-638</v>
      </c>
      <c r="E639" s="18" t="s">
        <v>1385</v>
      </c>
      <c r="F639" s="19">
        <f t="shared" si="64"/>
        <v>46.46</v>
      </c>
      <c r="G639" s="19" t="str">
        <f t="shared" si="63"/>
        <v>PC</v>
      </c>
      <c r="H639" s="14" t="s">
        <v>441</v>
      </c>
      <c r="I639" s="14" t="s">
        <v>441</v>
      </c>
    </row>
    <row r="640" spans="1:9" x14ac:dyDescent="0.25">
      <c r="A640" s="17" t="s">
        <v>320</v>
      </c>
      <c r="B640" s="14" t="s">
        <v>781</v>
      </c>
      <c r="C640" s="18" t="s">
        <v>1386</v>
      </c>
      <c r="D640" s="14" t="str">
        <f t="shared" si="62"/>
        <v>1ST-358-639</v>
      </c>
      <c r="E640" s="18" t="s">
        <v>1385</v>
      </c>
      <c r="F640" s="19">
        <f t="shared" si="64"/>
        <v>46.46</v>
      </c>
      <c r="G640" s="19" t="str">
        <f t="shared" si="63"/>
        <v>PC</v>
      </c>
      <c r="H640" s="14" t="s">
        <v>441</v>
      </c>
      <c r="I640" s="14" t="s">
        <v>441</v>
      </c>
    </row>
    <row r="641" spans="1:9" x14ac:dyDescent="0.25">
      <c r="A641" s="17" t="s">
        <v>320</v>
      </c>
      <c r="B641" s="14" t="s">
        <v>781</v>
      </c>
      <c r="C641" s="18" t="s">
        <v>1387</v>
      </c>
      <c r="D641" s="14" t="str">
        <f t="shared" si="62"/>
        <v>1ST-358-640</v>
      </c>
      <c r="E641" s="18" t="s">
        <v>1385</v>
      </c>
      <c r="F641" s="19">
        <f t="shared" si="64"/>
        <v>46.46</v>
      </c>
      <c r="G641" s="19" t="str">
        <f t="shared" si="63"/>
        <v>PC</v>
      </c>
      <c r="H641" s="14" t="s">
        <v>441</v>
      </c>
      <c r="I641" s="14" t="s">
        <v>441</v>
      </c>
    </row>
    <row r="642" spans="1:9" x14ac:dyDescent="0.25">
      <c r="A642" s="17" t="s">
        <v>320</v>
      </c>
      <c r="B642" s="14" t="s">
        <v>781</v>
      </c>
      <c r="C642" s="18" t="s">
        <v>1388</v>
      </c>
      <c r="D642" s="14" t="str">
        <f t="shared" si="62"/>
        <v>1ST-358-641</v>
      </c>
      <c r="E642" s="18" t="s">
        <v>1385</v>
      </c>
      <c r="F642" s="19">
        <f t="shared" si="64"/>
        <v>46.46</v>
      </c>
      <c r="G642" s="19" t="str">
        <f t="shared" si="63"/>
        <v>PC</v>
      </c>
      <c r="H642" s="14" t="s">
        <v>441</v>
      </c>
      <c r="I642" s="14" t="s">
        <v>441</v>
      </c>
    </row>
    <row r="643" spans="1:9" x14ac:dyDescent="0.25">
      <c r="A643" s="17" t="s">
        <v>320</v>
      </c>
      <c r="B643" s="14" t="s">
        <v>781</v>
      </c>
      <c r="C643" s="18" t="s">
        <v>1389</v>
      </c>
      <c r="D643" s="14" t="str">
        <f t="shared" si="62"/>
        <v>1ST-358-642</v>
      </c>
      <c r="E643" s="18" t="s">
        <v>1390</v>
      </c>
      <c r="F643" s="19">
        <f t="shared" si="64"/>
        <v>67.5</v>
      </c>
      <c r="G643" s="19" t="str">
        <f t="shared" si="63"/>
        <v>PC</v>
      </c>
      <c r="H643" s="14" t="s">
        <v>441</v>
      </c>
      <c r="I643" s="14" t="s">
        <v>441</v>
      </c>
    </row>
    <row r="644" spans="1:9" x14ac:dyDescent="0.25">
      <c r="A644" s="17" t="s">
        <v>320</v>
      </c>
      <c r="B644" s="14" t="s">
        <v>781</v>
      </c>
      <c r="C644" s="18" t="s">
        <v>1391</v>
      </c>
      <c r="D644" s="14" t="str">
        <f t="shared" si="62"/>
        <v>1ST-358-643</v>
      </c>
      <c r="E644" s="18" t="s">
        <v>1390</v>
      </c>
      <c r="F644" s="19">
        <f t="shared" si="64"/>
        <v>67.5</v>
      </c>
      <c r="G644" s="19" t="str">
        <f t="shared" si="63"/>
        <v>PC</v>
      </c>
      <c r="H644" s="14" t="s">
        <v>441</v>
      </c>
      <c r="I644" s="14" t="s">
        <v>441</v>
      </c>
    </row>
    <row r="645" spans="1:9" x14ac:dyDescent="0.25">
      <c r="A645" s="17" t="s">
        <v>320</v>
      </c>
      <c r="B645" s="14" t="s">
        <v>781</v>
      </c>
      <c r="C645" s="18" t="s">
        <v>3793</v>
      </c>
      <c r="D645" s="14" t="str">
        <f t="shared" ref="D645:D708" si="65">LEFT($D$2,FIND("-",$D$2,FIND("-",$D$2)+1)) &amp; TEXT(RIGHT($D$2,3)+ROW(D643),"000")</f>
        <v>1ST-358-644</v>
      </c>
      <c r="E645" s="18" t="s">
        <v>1390</v>
      </c>
      <c r="F645" s="19">
        <f t="shared" si="64"/>
        <v>67.5</v>
      </c>
      <c r="G645" s="19" t="str">
        <f t="shared" si="63"/>
        <v>PC</v>
      </c>
      <c r="H645" s="14" t="s">
        <v>441</v>
      </c>
      <c r="I645" s="14" t="s">
        <v>441</v>
      </c>
    </row>
    <row r="646" spans="1:9" x14ac:dyDescent="0.25">
      <c r="A646" s="17" t="s">
        <v>320</v>
      </c>
      <c r="B646" s="14" t="s">
        <v>781</v>
      </c>
      <c r="C646" s="18" t="s">
        <v>3794</v>
      </c>
      <c r="D646" s="14" t="str">
        <f t="shared" si="65"/>
        <v>1ST-358-645</v>
      </c>
      <c r="E646" s="18" t="s">
        <v>1390</v>
      </c>
      <c r="F646" s="19">
        <f t="shared" si="64"/>
        <v>67.5</v>
      </c>
      <c r="G646" s="19" t="str">
        <f t="shared" si="63"/>
        <v>PC</v>
      </c>
      <c r="H646" s="14" t="s">
        <v>441</v>
      </c>
      <c r="I646" s="14" t="s">
        <v>441</v>
      </c>
    </row>
    <row r="647" spans="1:9" x14ac:dyDescent="0.25">
      <c r="A647" s="17" t="s">
        <v>320</v>
      </c>
      <c r="B647" s="14" t="s">
        <v>781</v>
      </c>
      <c r="C647" s="18" t="s">
        <v>1392</v>
      </c>
      <c r="D647" s="14" t="str">
        <f t="shared" si="65"/>
        <v>1ST-358-646</v>
      </c>
      <c r="E647" s="18" t="s">
        <v>1390</v>
      </c>
      <c r="F647" s="19">
        <f t="shared" si="64"/>
        <v>67.5</v>
      </c>
      <c r="G647" s="19" t="str">
        <f t="shared" si="63"/>
        <v>PC</v>
      </c>
      <c r="H647" s="14" t="s">
        <v>441</v>
      </c>
      <c r="I647" s="14" t="s">
        <v>441</v>
      </c>
    </row>
    <row r="648" spans="1:9" x14ac:dyDescent="0.25">
      <c r="A648" s="17" t="s">
        <v>320</v>
      </c>
      <c r="B648" s="14" t="s">
        <v>780</v>
      </c>
      <c r="C648" s="18" t="s">
        <v>1393</v>
      </c>
      <c r="D648" s="14" t="str">
        <f t="shared" si="65"/>
        <v>1ST-358-647</v>
      </c>
      <c r="E648" s="18" t="s">
        <v>1367</v>
      </c>
      <c r="F648" s="19">
        <f t="shared" si="64"/>
        <v>13.73</v>
      </c>
      <c r="G648" s="19" t="str">
        <f t="shared" si="63"/>
        <v>PC</v>
      </c>
      <c r="H648" s="14" t="s">
        <v>441</v>
      </c>
      <c r="I648" s="14" t="s">
        <v>441</v>
      </c>
    </row>
    <row r="649" spans="1:9" x14ac:dyDescent="0.25">
      <c r="A649" s="17" t="s">
        <v>320</v>
      </c>
      <c r="B649" s="14" t="s">
        <v>780</v>
      </c>
      <c r="C649" s="18" t="s">
        <v>1394</v>
      </c>
      <c r="D649" s="14" t="str">
        <f t="shared" si="65"/>
        <v>1ST-358-648</v>
      </c>
      <c r="E649" s="18" t="s">
        <v>1395</v>
      </c>
      <c r="F649" s="19">
        <f t="shared" si="64"/>
        <v>20.14</v>
      </c>
      <c r="G649" s="19" t="str">
        <f t="shared" si="63"/>
        <v>PC</v>
      </c>
      <c r="H649" s="14" t="s">
        <v>441</v>
      </c>
      <c r="I649" s="14" t="s">
        <v>441</v>
      </c>
    </row>
    <row r="650" spans="1:9" x14ac:dyDescent="0.25">
      <c r="A650" s="17" t="s">
        <v>320</v>
      </c>
      <c r="B650" s="14" t="s">
        <v>780</v>
      </c>
      <c r="C650" s="18" t="s">
        <v>1396</v>
      </c>
      <c r="D650" s="14" t="str">
        <f t="shared" si="65"/>
        <v>1ST-358-649</v>
      </c>
      <c r="E650" s="18" t="s">
        <v>1397</v>
      </c>
      <c r="F650" s="19">
        <f t="shared" si="64"/>
        <v>29.93</v>
      </c>
      <c r="G650" s="19" t="str">
        <f t="shared" si="63"/>
        <v>PC</v>
      </c>
      <c r="H650" s="14" t="s">
        <v>441</v>
      </c>
      <c r="I650" s="14" t="s">
        <v>441</v>
      </c>
    </row>
    <row r="651" spans="1:9" x14ac:dyDescent="0.25">
      <c r="A651" s="17" t="s">
        <v>320</v>
      </c>
      <c r="B651" s="14" t="s">
        <v>780</v>
      </c>
      <c r="C651" s="18" t="s">
        <v>1398</v>
      </c>
      <c r="D651" s="14" t="str">
        <f t="shared" si="65"/>
        <v>1ST-358-650</v>
      </c>
      <c r="E651" s="18" t="s">
        <v>1399</v>
      </c>
      <c r="F651" s="19">
        <f t="shared" si="64"/>
        <v>44.89</v>
      </c>
      <c r="G651" s="19" t="str">
        <f t="shared" si="63"/>
        <v>PC</v>
      </c>
      <c r="H651" s="14" t="s">
        <v>441</v>
      </c>
      <c r="I651" s="14" t="s">
        <v>441</v>
      </c>
    </row>
    <row r="652" spans="1:9" x14ac:dyDescent="0.25">
      <c r="A652" s="17" t="s">
        <v>320</v>
      </c>
      <c r="B652" s="14" t="s">
        <v>780</v>
      </c>
      <c r="C652" s="18" t="s">
        <v>3795</v>
      </c>
      <c r="D652" s="14" t="str">
        <f t="shared" si="65"/>
        <v>1ST-358-651</v>
      </c>
      <c r="E652" s="18" t="s">
        <v>1400</v>
      </c>
      <c r="F652" s="19">
        <f t="shared" si="64"/>
        <v>59.74</v>
      </c>
      <c r="G652" s="19" t="str">
        <f t="shared" si="63"/>
        <v>PC</v>
      </c>
      <c r="H652" s="14" t="s">
        <v>441</v>
      </c>
      <c r="I652" s="14" t="s">
        <v>441</v>
      </c>
    </row>
    <row r="653" spans="1:9" x14ac:dyDescent="0.25">
      <c r="A653" s="17" t="s">
        <v>320</v>
      </c>
      <c r="B653" s="14" t="s">
        <v>780</v>
      </c>
      <c r="C653" s="18" t="s">
        <v>1401</v>
      </c>
      <c r="D653" s="14" t="str">
        <f t="shared" si="65"/>
        <v>1ST-358-652</v>
      </c>
      <c r="E653" s="18" t="s">
        <v>1402</v>
      </c>
      <c r="F653" s="19">
        <f t="shared" si="64"/>
        <v>90.11</v>
      </c>
      <c r="G653" s="19" t="str">
        <f t="shared" si="63"/>
        <v>PC</v>
      </c>
      <c r="H653" s="14" t="s">
        <v>441</v>
      </c>
      <c r="I653" s="14" t="s">
        <v>441</v>
      </c>
    </row>
    <row r="654" spans="1:9" x14ac:dyDescent="0.25">
      <c r="A654" s="17" t="s">
        <v>320</v>
      </c>
      <c r="B654" s="14" t="s">
        <v>779</v>
      </c>
      <c r="C654" s="18" t="s">
        <v>1403</v>
      </c>
      <c r="D654" s="14" t="str">
        <f t="shared" si="65"/>
        <v>1ST-358-653</v>
      </c>
      <c r="E654" s="18" t="s">
        <v>1357</v>
      </c>
      <c r="F654" s="19">
        <f t="shared" si="64"/>
        <v>21.83</v>
      </c>
      <c r="G654" s="19" t="str">
        <f t="shared" si="63"/>
        <v>PC</v>
      </c>
      <c r="H654" s="14" t="s">
        <v>441</v>
      </c>
      <c r="I654" s="14" t="s">
        <v>441</v>
      </c>
    </row>
    <row r="655" spans="1:9" x14ac:dyDescent="0.25">
      <c r="A655" s="17" t="s">
        <v>320</v>
      </c>
      <c r="B655" s="14" t="s">
        <v>779</v>
      </c>
      <c r="C655" s="18" t="s">
        <v>1404</v>
      </c>
      <c r="D655" s="14" t="str">
        <f t="shared" si="65"/>
        <v>1ST-358-654</v>
      </c>
      <c r="E655" s="18" t="s">
        <v>1405</v>
      </c>
      <c r="F655" s="19">
        <f t="shared" si="64"/>
        <v>34.76</v>
      </c>
      <c r="G655" s="19" t="str">
        <f t="shared" si="63"/>
        <v>PC</v>
      </c>
      <c r="H655" s="14" t="s">
        <v>441</v>
      </c>
      <c r="I655" s="14" t="s">
        <v>441</v>
      </c>
    </row>
    <row r="656" spans="1:9" x14ac:dyDescent="0.25">
      <c r="A656" s="17" t="s">
        <v>320</v>
      </c>
      <c r="B656" s="14" t="s">
        <v>779</v>
      </c>
      <c r="C656" s="18" t="s">
        <v>1406</v>
      </c>
      <c r="D656" s="14" t="str">
        <f t="shared" si="65"/>
        <v>1ST-358-655</v>
      </c>
      <c r="E656" s="18" t="s">
        <v>1405</v>
      </c>
      <c r="F656" s="19">
        <f t="shared" si="64"/>
        <v>34.76</v>
      </c>
      <c r="G656" s="19" t="str">
        <f t="shared" si="63"/>
        <v>PC</v>
      </c>
      <c r="H656" s="14" t="s">
        <v>441</v>
      </c>
      <c r="I656" s="14" t="s">
        <v>441</v>
      </c>
    </row>
    <row r="657" spans="1:9" x14ac:dyDescent="0.25">
      <c r="A657" s="17" t="s">
        <v>320</v>
      </c>
      <c r="B657" s="14" t="s">
        <v>779</v>
      </c>
      <c r="C657" s="18" t="s">
        <v>1407</v>
      </c>
      <c r="D657" s="14" t="str">
        <f t="shared" si="65"/>
        <v>1ST-358-656</v>
      </c>
      <c r="E657" s="18" t="s">
        <v>1408</v>
      </c>
      <c r="F657" s="19">
        <f t="shared" si="64"/>
        <v>65.14</v>
      </c>
      <c r="G657" s="19" t="str">
        <f t="shared" si="63"/>
        <v>PC</v>
      </c>
      <c r="H657" s="14" t="s">
        <v>441</v>
      </c>
      <c r="I657" s="14" t="s">
        <v>441</v>
      </c>
    </row>
    <row r="658" spans="1:9" x14ac:dyDescent="0.25">
      <c r="A658" s="17" t="s">
        <v>320</v>
      </c>
      <c r="B658" s="14" t="s">
        <v>779</v>
      </c>
      <c r="C658" s="18" t="s">
        <v>1409</v>
      </c>
      <c r="D658" s="14" t="str">
        <f t="shared" si="65"/>
        <v>1ST-358-657</v>
      </c>
      <c r="E658" s="18" t="s">
        <v>1408</v>
      </c>
      <c r="F658" s="19">
        <f t="shared" si="64"/>
        <v>65.14</v>
      </c>
      <c r="G658" s="19" t="str">
        <f t="shared" si="63"/>
        <v>PC</v>
      </c>
      <c r="H658" s="14" t="s">
        <v>441</v>
      </c>
      <c r="I658" s="14" t="s">
        <v>441</v>
      </c>
    </row>
    <row r="659" spans="1:9" x14ac:dyDescent="0.25">
      <c r="A659" s="17" t="s">
        <v>320</v>
      </c>
      <c r="B659" s="14" t="s">
        <v>779</v>
      </c>
      <c r="C659" s="18" t="s">
        <v>1410</v>
      </c>
      <c r="D659" s="14" t="str">
        <f t="shared" si="65"/>
        <v>1ST-358-658</v>
      </c>
      <c r="E659" s="18" t="s">
        <v>1408</v>
      </c>
      <c r="F659" s="19">
        <f t="shared" si="64"/>
        <v>65.14</v>
      </c>
      <c r="G659" s="19" t="str">
        <f t="shared" si="63"/>
        <v>PC</v>
      </c>
      <c r="H659" s="14" t="s">
        <v>441</v>
      </c>
      <c r="I659" s="14" t="s">
        <v>441</v>
      </c>
    </row>
    <row r="660" spans="1:9" x14ac:dyDescent="0.25">
      <c r="A660" s="17" t="s">
        <v>320</v>
      </c>
      <c r="B660" s="14" t="s">
        <v>779</v>
      </c>
      <c r="C660" s="18" t="s">
        <v>1411</v>
      </c>
      <c r="D660" s="14" t="str">
        <f t="shared" si="65"/>
        <v>1ST-358-659</v>
      </c>
      <c r="E660" s="18" t="s">
        <v>1412</v>
      </c>
      <c r="F660" s="19">
        <f t="shared" si="64"/>
        <v>84.04</v>
      </c>
      <c r="G660" s="19" t="str">
        <f t="shared" si="63"/>
        <v>PC</v>
      </c>
      <c r="H660" s="14" t="s">
        <v>441</v>
      </c>
      <c r="I660" s="14" t="s">
        <v>441</v>
      </c>
    </row>
    <row r="661" spans="1:9" x14ac:dyDescent="0.25">
      <c r="A661" s="17" t="s">
        <v>320</v>
      </c>
      <c r="B661" s="14" t="s">
        <v>779</v>
      </c>
      <c r="C661" s="18" t="s">
        <v>1413</v>
      </c>
      <c r="D661" s="14" t="str">
        <f t="shared" si="65"/>
        <v>1ST-358-660</v>
      </c>
      <c r="E661" s="18" t="s">
        <v>1412</v>
      </c>
      <c r="F661" s="19">
        <f t="shared" si="64"/>
        <v>84.04</v>
      </c>
      <c r="G661" s="19" t="str">
        <f t="shared" si="63"/>
        <v>PC</v>
      </c>
      <c r="H661" s="14" t="s">
        <v>441</v>
      </c>
      <c r="I661" s="14" t="s">
        <v>441</v>
      </c>
    </row>
    <row r="662" spans="1:9" x14ac:dyDescent="0.25">
      <c r="A662" s="17" t="s">
        <v>320</v>
      </c>
      <c r="B662" s="14" t="s">
        <v>779</v>
      </c>
      <c r="C662" s="18" t="s">
        <v>1414</v>
      </c>
      <c r="D662" s="14" t="str">
        <f t="shared" si="65"/>
        <v>1ST-358-661</v>
      </c>
      <c r="E662" s="18" t="s">
        <v>1412</v>
      </c>
      <c r="F662" s="19">
        <f t="shared" si="64"/>
        <v>84.04</v>
      </c>
      <c r="G662" s="19" t="str">
        <f t="shared" si="63"/>
        <v>PC</v>
      </c>
      <c r="H662" s="14" t="s">
        <v>441</v>
      </c>
      <c r="I662" s="14" t="s">
        <v>441</v>
      </c>
    </row>
    <row r="663" spans="1:9" x14ac:dyDescent="0.25">
      <c r="A663" s="17" t="s">
        <v>320</v>
      </c>
      <c r="B663" s="14" t="s">
        <v>779</v>
      </c>
      <c r="C663" s="18" t="s">
        <v>1415</v>
      </c>
      <c r="D663" s="14" t="str">
        <f t="shared" si="65"/>
        <v>1ST-358-662</v>
      </c>
      <c r="E663" s="18" t="s">
        <v>1412</v>
      </c>
      <c r="F663" s="19">
        <f t="shared" si="64"/>
        <v>84.04</v>
      </c>
      <c r="G663" s="19" t="str">
        <f t="shared" si="63"/>
        <v>PC</v>
      </c>
      <c r="H663" s="14" t="s">
        <v>441</v>
      </c>
      <c r="I663" s="14" t="s">
        <v>441</v>
      </c>
    </row>
    <row r="664" spans="1:9" x14ac:dyDescent="0.25">
      <c r="A664" s="17" t="s">
        <v>320</v>
      </c>
      <c r="B664" s="14" t="s">
        <v>779</v>
      </c>
      <c r="C664" s="18" t="s">
        <v>1416</v>
      </c>
      <c r="D664" s="14" t="str">
        <f t="shared" si="65"/>
        <v>1ST-358-663</v>
      </c>
      <c r="E664" s="18" t="s">
        <v>1417</v>
      </c>
      <c r="F664" s="19">
        <f t="shared" si="64"/>
        <v>118.8</v>
      </c>
      <c r="G664" s="19" t="str">
        <f t="shared" si="63"/>
        <v>PC</v>
      </c>
      <c r="H664" s="14" t="s">
        <v>441</v>
      </c>
      <c r="I664" s="14" t="s">
        <v>441</v>
      </c>
    </row>
    <row r="665" spans="1:9" x14ac:dyDescent="0.25">
      <c r="A665" s="17" t="s">
        <v>320</v>
      </c>
      <c r="B665" s="14" t="s">
        <v>779</v>
      </c>
      <c r="C665" s="18" t="s">
        <v>1418</v>
      </c>
      <c r="D665" s="14" t="str">
        <f t="shared" si="65"/>
        <v>1ST-358-664</v>
      </c>
      <c r="E665" s="18" t="s">
        <v>1417</v>
      </c>
      <c r="F665" s="19">
        <f t="shared" si="64"/>
        <v>118.8</v>
      </c>
      <c r="G665" s="19" t="str">
        <f t="shared" si="63"/>
        <v>PC</v>
      </c>
      <c r="H665" s="14" t="s">
        <v>441</v>
      </c>
      <c r="I665" s="14" t="s">
        <v>441</v>
      </c>
    </row>
    <row r="666" spans="1:9" x14ac:dyDescent="0.25">
      <c r="A666" s="17" t="s">
        <v>320</v>
      </c>
      <c r="B666" s="14" t="s">
        <v>779</v>
      </c>
      <c r="C666" s="18" t="s">
        <v>1419</v>
      </c>
      <c r="D666" s="14" t="str">
        <f t="shared" si="65"/>
        <v>1ST-358-665</v>
      </c>
      <c r="E666" s="18" t="s">
        <v>1417</v>
      </c>
      <c r="F666" s="19">
        <f t="shared" si="64"/>
        <v>118.8</v>
      </c>
      <c r="G666" s="19" t="str">
        <f t="shared" si="63"/>
        <v>PC</v>
      </c>
      <c r="H666" s="14" t="s">
        <v>441</v>
      </c>
      <c r="I666" s="14" t="s">
        <v>441</v>
      </c>
    </row>
    <row r="667" spans="1:9" x14ac:dyDescent="0.25">
      <c r="A667" s="17" t="s">
        <v>320</v>
      </c>
      <c r="B667" s="14" t="s">
        <v>779</v>
      </c>
      <c r="C667" s="18" t="s">
        <v>1420</v>
      </c>
      <c r="D667" s="14" t="str">
        <f t="shared" si="65"/>
        <v>1ST-358-666</v>
      </c>
      <c r="E667" s="18" t="s">
        <v>1417</v>
      </c>
      <c r="F667" s="19">
        <f t="shared" si="64"/>
        <v>118.8</v>
      </c>
      <c r="G667" s="19" t="str">
        <f t="shared" si="63"/>
        <v>PC</v>
      </c>
      <c r="H667" s="14" t="s">
        <v>441</v>
      </c>
      <c r="I667" s="14" t="s">
        <v>441</v>
      </c>
    </row>
    <row r="668" spans="1:9" x14ac:dyDescent="0.25">
      <c r="A668" s="17" t="s">
        <v>320</v>
      </c>
      <c r="B668" s="14" t="s">
        <v>778</v>
      </c>
      <c r="C668" s="18" t="s">
        <v>1421</v>
      </c>
      <c r="D668" s="14" t="str">
        <f t="shared" si="65"/>
        <v>1ST-358-667</v>
      </c>
      <c r="E668" s="18" t="s">
        <v>1422</v>
      </c>
      <c r="F668" s="19">
        <f t="shared" si="64"/>
        <v>9.11</v>
      </c>
      <c r="G668" s="19" t="str">
        <f t="shared" ref="G668:G731" si="66">TRIM(MID(E668,FIND("/",E668)+1,LEN(E668)))</f>
        <v>PC</v>
      </c>
      <c r="H668" s="14" t="s">
        <v>441</v>
      </c>
      <c r="I668" s="14" t="s">
        <v>441</v>
      </c>
    </row>
    <row r="669" spans="1:9" x14ac:dyDescent="0.25">
      <c r="A669" s="17" t="s">
        <v>320</v>
      </c>
      <c r="B669" s="14" t="s">
        <v>778</v>
      </c>
      <c r="C669" s="18" t="s">
        <v>1423</v>
      </c>
      <c r="D669" s="14" t="str">
        <f t="shared" si="65"/>
        <v>1ST-358-668</v>
      </c>
      <c r="E669" s="18" t="s">
        <v>1424</v>
      </c>
      <c r="F669" s="19">
        <f t="shared" si="64"/>
        <v>11.36</v>
      </c>
      <c r="G669" s="19" t="str">
        <f t="shared" si="66"/>
        <v>PC</v>
      </c>
      <c r="H669" s="14" t="s">
        <v>441</v>
      </c>
      <c r="I669" s="14" t="s">
        <v>441</v>
      </c>
    </row>
    <row r="670" spans="1:9" x14ac:dyDescent="0.25">
      <c r="A670" s="17" t="s">
        <v>320</v>
      </c>
      <c r="B670" s="14" t="s">
        <v>778</v>
      </c>
      <c r="C670" s="18" t="s">
        <v>1425</v>
      </c>
      <c r="D670" s="14" t="str">
        <f t="shared" si="65"/>
        <v>1ST-358-669</v>
      </c>
      <c r="E670" s="18" t="s">
        <v>1076</v>
      </c>
      <c r="F670" s="19">
        <f t="shared" si="64"/>
        <v>15.75</v>
      </c>
      <c r="G670" s="19" t="str">
        <f t="shared" si="66"/>
        <v>PC</v>
      </c>
      <c r="H670" s="14" t="s">
        <v>441</v>
      </c>
      <c r="I670" s="14" t="s">
        <v>441</v>
      </c>
    </row>
    <row r="671" spans="1:9" x14ac:dyDescent="0.25">
      <c r="A671" s="17" t="s">
        <v>320</v>
      </c>
      <c r="B671" s="14" t="s">
        <v>778</v>
      </c>
      <c r="C671" s="18" t="s">
        <v>1426</v>
      </c>
      <c r="D671" s="14" t="str">
        <f t="shared" si="65"/>
        <v>1ST-358-670</v>
      </c>
      <c r="E671" s="18" t="s">
        <v>1427</v>
      </c>
      <c r="F671" s="19">
        <f t="shared" si="64"/>
        <v>23.85</v>
      </c>
      <c r="G671" s="19" t="str">
        <f t="shared" si="66"/>
        <v>PC</v>
      </c>
      <c r="H671" s="14" t="s">
        <v>441</v>
      </c>
      <c r="I671" s="14" t="s">
        <v>441</v>
      </c>
    </row>
    <row r="672" spans="1:9" x14ac:dyDescent="0.25">
      <c r="A672" s="17" t="s">
        <v>320</v>
      </c>
      <c r="B672" s="14" t="s">
        <v>778</v>
      </c>
      <c r="C672" s="18" t="s">
        <v>3796</v>
      </c>
      <c r="D672" s="14" t="str">
        <f t="shared" si="65"/>
        <v>1ST-358-671</v>
      </c>
      <c r="E672" s="18" t="s">
        <v>1428</v>
      </c>
      <c r="F672" s="19">
        <f t="shared" si="64"/>
        <v>28.35</v>
      </c>
      <c r="G672" s="19" t="str">
        <f t="shared" si="66"/>
        <v>PC</v>
      </c>
      <c r="H672" s="14" t="s">
        <v>441</v>
      </c>
      <c r="I672" s="14" t="s">
        <v>441</v>
      </c>
    </row>
    <row r="673" spans="1:9" x14ac:dyDescent="0.25">
      <c r="A673" s="17" t="s">
        <v>320</v>
      </c>
      <c r="B673" s="14" t="s">
        <v>778</v>
      </c>
      <c r="C673" s="18" t="s">
        <v>1429</v>
      </c>
      <c r="D673" s="14" t="str">
        <f t="shared" si="65"/>
        <v>1ST-358-672</v>
      </c>
      <c r="E673" s="18" t="s">
        <v>1373</v>
      </c>
      <c r="F673" s="19">
        <f t="shared" si="64"/>
        <v>39.15</v>
      </c>
      <c r="G673" s="19" t="str">
        <f t="shared" si="66"/>
        <v>PC</v>
      </c>
      <c r="H673" s="14" t="s">
        <v>441</v>
      </c>
      <c r="I673" s="14" t="s">
        <v>441</v>
      </c>
    </row>
    <row r="674" spans="1:9" x14ac:dyDescent="0.25">
      <c r="A674" s="17" t="s">
        <v>320</v>
      </c>
      <c r="B674" s="14" t="s">
        <v>777</v>
      </c>
      <c r="C674" s="18" t="s">
        <v>1430</v>
      </c>
      <c r="D674" s="14" t="str">
        <f t="shared" si="65"/>
        <v>1ST-358-673</v>
      </c>
      <c r="E674" s="18" t="s">
        <v>1355</v>
      </c>
      <c r="F674" s="19">
        <f t="shared" si="64"/>
        <v>15.19</v>
      </c>
      <c r="G674" s="19" t="str">
        <f t="shared" si="66"/>
        <v>PC</v>
      </c>
      <c r="H674" s="14" t="s">
        <v>441</v>
      </c>
      <c r="I674" s="14" t="s">
        <v>441</v>
      </c>
    </row>
    <row r="675" spans="1:9" x14ac:dyDescent="0.25">
      <c r="A675" s="17" t="s">
        <v>320</v>
      </c>
      <c r="B675" s="14" t="s">
        <v>777</v>
      </c>
      <c r="C675" s="18" t="s">
        <v>1431</v>
      </c>
      <c r="D675" s="14" t="str">
        <f t="shared" si="65"/>
        <v>1ST-358-674</v>
      </c>
      <c r="E675" s="18" t="s">
        <v>1357</v>
      </c>
      <c r="F675" s="19">
        <f t="shared" si="64"/>
        <v>21.83</v>
      </c>
      <c r="G675" s="19" t="str">
        <f t="shared" si="66"/>
        <v>PC</v>
      </c>
      <c r="H675" s="14" t="s">
        <v>441</v>
      </c>
      <c r="I675" s="14" t="s">
        <v>441</v>
      </c>
    </row>
    <row r="676" spans="1:9" x14ac:dyDescent="0.25">
      <c r="A676" s="17" t="s">
        <v>320</v>
      </c>
      <c r="B676" s="14" t="s">
        <v>777</v>
      </c>
      <c r="C676" s="18" t="s">
        <v>1432</v>
      </c>
      <c r="D676" s="14" t="str">
        <f t="shared" si="65"/>
        <v>1ST-358-675</v>
      </c>
      <c r="E676" s="18" t="s">
        <v>1405</v>
      </c>
      <c r="F676" s="19">
        <f t="shared" si="64"/>
        <v>34.76</v>
      </c>
      <c r="G676" s="19" t="str">
        <f t="shared" si="66"/>
        <v>PC</v>
      </c>
      <c r="H676" s="14" t="s">
        <v>441</v>
      </c>
      <c r="I676" s="14" t="s">
        <v>441</v>
      </c>
    </row>
    <row r="677" spans="1:9" x14ac:dyDescent="0.25">
      <c r="A677" s="17" t="s">
        <v>320</v>
      </c>
      <c r="B677" s="14" t="s">
        <v>777</v>
      </c>
      <c r="C677" s="18" t="s">
        <v>1433</v>
      </c>
      <c r="D677" s="14" t="str">
        <f t="shared" si="65"/>
        <v>1ST-358-676</v>
      </c>
      <c r="E677" s="18" t="s">
        <v>1434</v>
      </c>
      <c r="F677" s="19">
        <f t="shared" si="64"/>
        <v>64.13</v>
      </c>
      <c r="G677" s="19" t="str">
        <f t="shared" si="66"/>
        <v>PC</v>
      </c>
      <c r="H677" s="14" t="s">
        <v>441</v>
      </c>
      <c r="I677" s="14" t="s">
        <v>441</v>
      </c>
    </row>
    <row r="678" spans="1:9" x14ac:dyDescent="0.25">
      <c r="A678" s="17" t="s">
        <v>320</v>
      </c>
      <c r="B678" s="14" t="s">
        <v>777</v>
      </c>
      <c r="C678" s="18" t="s">
        <v>1435</v>
      </c>
      <c r="D678" s="14" t="str">
        <f t="shared" si="65"/>
        <v>1ST-358-677</v>
      </c>
      <c r="E678" s="18" t="s">
        <v>1436</v>
      </c>
      <c r="F678" s="19">
        <f t="shared" si="64"/>
        <v>74.25</v>
      </c>
      <c r="G678" s="19" t="str">
        <f t="shared" si="66"/>
        <v>PC</v>
      </c>
      <c r="H678" s="14" t="s">
        <v>441</v>
      </c>
      <c r="I678" s="14" t="s">
        <v>441</v>
      </c>
    </row>
    <row r="679" spans="1:9" x14ac:dyDescent="0.25">
      <c r="A679" s="17" t="s">
        <v>320</v>
      </c>
      <c r="B679" s="14" t="s">
        <v>777</v>
      </c>
      <c r="C679" s="18" t="s">
        <v>1437</v>
      </c>
      <c r="D679" s="14" t="str">
        <f t="shared" si="65"/>
        <v>1ST-358-678</v>
      </c>
      <c r="E679" s="18" t="s">
        <v>1438</v>
      </c>
      <c r="F679" s="19">
        <f t="shared" si="64"/>
        <v>112.5</v>
      </c>
      <c r="G679" s="19" t="str">
        <f t="shared" si="66"/>
        <v>PC</v>
      </c>
      <c r="H679" s="14" t="s">
        <v>441</v>
      </c>
      <c r="I679" s="14" t="s">
        <v>441</v>
      </c>
    </row>
    <row r="680" spans="1:9" x14ac:dyDescent="0.25">
      <c r="A680" s="17" t="s">
        <v>320</v>
      </c>
      <c r="B680" s="14" t="s">
        <v>776</v>
      </c>
      <c r="C680" s="18" t="s">
        <v>1439</v>
      </c>
      <c r="D680" s="14" t="str">
        <f t="shared" si="65"/>
        <v>1ST-358-679</v>
      </c>
      <c r="E680" s="18" t="s">
        <v>1440</v>
      </c>
      <c r="F680" s="19">
        <f t="shared" ref="F680:F743" si="67">VALUE(LEFT(E680,FIND("/",E680)-1))</f>
        <v>17.78</v>
      </c>
      <c r="G680" s="19" t="str">
        <f t="shared" si="66"/>
        <v>PC</v>
      </c>
      <c r="H680" s="14" t="s">
        <v>441</v>
      </c>
      <c r="I680" s="14" t="s">
        <v>441</v>
      </c>
    </row>
    <row r="681" spans="1:9" x14ac:dyDescent="0.25">
      <c r="A681" s="17" t="s">
        <v>320</v>
      </c>
      <c r="B681" s="14" t="s">
        <v>776</v>
      </c>
      <c r="C681" s="18" t="s">
        <v>1441</v>
      </c>
      <c r="D681" s="14" t="str">
        <f t="shared" si="65"/>
        <v>1ST-358-680</v>
      </c>
      <c r="E681" s="18" t="s">
        <v>1442</v>
      </c>
      <c r="F681" s="19">
        <f t="shared" si="67"/>
        <v>24.98</v>
      </c>
      <c r="G681" s="19" t="str">
        <f t="shared" si="66"/>
        <v>PC</v>
      </c>
      <c r="H681" s="14" t="s">
        <v>441</v>
      </c>
      <c r="I681" s="14" t="s">
        <v>441</v>
      </c>
    </row>
    <row r="682" spans="1:9" x14ac:dyDescent="0.25">
      <c r="A682" s="17" t="s">
        <v>320</v>
      </c>
      <c r="B682" s="14" t="s">
        <v>776</v>
      </c>
      <c r="C682" s="18" t="s">
        <v>1443</v>
      </c>
      <c r="D682" s="14" t="str">
        <f t="shared" si="65"/>
        <v>1ST-358-681</v>
      </c>
      <c r="E682" s="18" t="s">
        <v>1373</v>
      </c>
      <c r="F682" s="19">
        <f t="shared" si="67"/>
        <v>39.15</v>
      </c>
      <c r="G682" s="19" t="str">
        <f t="shared" si="66"/>
        <v>PC</v>
      </c>
      <c r="H682" s="14" t="s">
        <v>441</v>
      </c>
      <c r="I682" s="14" t="s">
        <v>441</v>
      </c>
    </row>
    <row r="683" spans="1:9" x14ac:dyDescent="0.25">
      <c r="A683" s="17" t="s">
        <v>320</v>
      </c>
      <c r="B683" s="14" t="s">
        <v>776</v>
      </c>
      <c r="C683" s="18" t="s">
        <v>1444</v>
      </c>
      <c r="D683" s="14" t="str">
        <f t="shared" si="65"/>
        <v>1ST-358-682</v>
      </c>
      <c r="E683" s="18" t="s">
        <v>1445</v>
      </c>
      <c r="F683" s="19">
        <f t="shared" si="67"/>
        <v>62.78</v>
      </c>
      <c r="G683" s="19" t="str">
        <f t="shared" si="66"/>
        <v>PC</v>
      </c>
      <c r="H683" s="14" t="s">
        <v>441</v>
      </c>
      <c r="I683" s="14" t="s">
        <v>441</v>
      </c>
    </row>
    <row r="684" spans="1:9" x14ac:dyDescent="0.25">
      <c r="A684" s="17" t="s">
        <v>320</v>
      </c>
      <c r="B684" s="14" t="s">
        <v>776</v>
      </c>
      <c r="C684" s="18" t="s">
        <v>3797</v>
      </c>
      <c r="D684" s="14" t="str">
        <f t="shared" si="65"/>
        <v>1ST-358-683</v>
      </c>
      <c r="E684" s="18" t="s">
        <v>1446</v>
      </c>
      <c r="F684" s="19">
        <f t="shared" si="67"/>
        <v>79.650000000000006</v>
      </c>
      <c r="G684" s="19" t="str">
        <f t="shared" si="66"/>
        <v>PC</v>
      </c>
      <c r="H684" s="14" t="s">
        <v>441</v>
      </c>
      <c r="I684" s="14" t="s">
        <v>441</v>
      </c>
    </row>
    <row r="685" spans="1:9" x14ac:dyDescent="0.25">
      <c r="A685" s="17" t="s">
        <v>320</v>
      </c>
      <c r="B685" s="14" t="s">
        <v>776</v>
      </c>
      <c r="C685" s="18" t="s">
        <v>1447</v>
      </c>
      <c r="D685" s="14" t="str">
        <f t="shared" si="65"/>
        <v>1ST-358-684</v>
      </c>
      <c r="E685" s="18" t="s">
        <v>1448</v>
      </c>
      <c r="F685" s="19">
        <f t="shared" si="67"/>
        <v>117.45</v>
      </c>
      <c r="G685" s="19" t="str">
        <f t="shared" si="66"/>
        <v>PC</v>
      </c>
      <c r="H685" s="14" t="s">
        <v>441</v>
      </c>
      <c r="I685" s="14" t="s">
        <v>441</v>
      </c>
    </row>
    <row r="686" spans="1:9" x14ac:dyDescent="0.25">
      <c r="A686" s="17" t="s">
        <v>320</v>
      </c>
      <c r="B686" s="14" t="s">
        <v>775</v>
      </c>
      <c r="C686" s="18" t="s">
        <v>1449</v>
      </c>
      <c r="D686" s="14" t="str">
        <f t="shared" si="65"/>
        <v>1ST-358-685</v>
      </c>
      <c r="E686" s="18" t="s">
        <v>1450</v>
      </c>
      <c r="F686" s="19">
        <f t="shared" si="67"/>
        <v>30.38</v>
      </c>
      <c r="G686" s="19" t="str">
        <f t="shared" si="66"/>
        <v>PC</v>
      </c>
      <c r="H686" s="14" t="s">
        <v>441</v>
      </c>
      <c r="I686" s="14" t="s">
        <v>441</v>
      </c>
    </row>
    <row r="687" spans="1:9" x14ac:dyDescent="0.25">
      <c r="A687" s="17" t="s">
        <v>320</v>
      </c>
      <c r="B687" s="14" t="s">
        <v>775</v>
      </c>
      <c r="C687" s="18" t="s">
        <v>1451</v>
      </c>
      <c r="D687" s="14" t="str">
        <f t="shared" si="65"/>
        <v>1ST-358-686</v>
      </c>
      <c r="E687" s="18" t="s">
        <v>1452</v>
      </c>
      <c r="F687" s="19">
        <f t="shared" si="67"/>
        <v>47.93</v>
      </c>
      <c r="G687" s="19" t="str">
        <f t="shared" si="66"/>
        <v>PC</v>
      </c>
      <c r="H687" s="14" t="s">
        <v>441</v>
      </c>
      <c r="I687" s="14" t="s">
        <v>441</v>
      </c>
    </row>
    <row r="688" spans="1:9" x14ac:dyDescent="0.25">
      <c r="A688" s="17" t="s">
        <v>320</v>
      </c>
      <c r="B688" s="14" t="s">
        <v>775</v>
      </c>
      <c r="C688" s="18" t="s">
        <v>1453</v>
      </c>
      <c r="D688" s="14" t="str">
        <f t="shared" si="65"/>
        <v>1ST-358-687</v>
      </c>
      <c r="E688" s="18" t="s">
        <v>1452</v>
      </c>
      <c r="F688" s="19">
        <f t="shared" si="67"/>
        <v>47.93</v>
      </c>
      <c r="G688" s="19" t="str">
        <f t="shared" si="66"/>
        <v>PC</v>
      </c>
      <c r="H688" s="14" t="s">
        <v>441</v>
      </c>
      <c r="I688" s="14" t="s">
        <v>441</v>
      </c>
    </row>
    <row r="689" spans="1:9" x14ac:dyDescent="0.25">
      <c r="A689" s="17" t="s">
        <v>320</v>
      </c>
      <c r="B689" s="14" t="s">
        <v>775</v>
      </c>
      <c r="C689" s="18" t="s">
        <v>1454</v>
      </c>
      <c r="D689" s="14" t="str">
        <f t="shared" si="65"/>
        <v>1ST-358-688</v>
      </c>
      <c r="E689" s="18" t="s">
        <v>1455</v>
      </c>
      <c r="F689" s="19">
        <f t="shared" si="67"/>
        <v>72.45</v>
      </c>
      <c r="G689" s="19" t="str">
        <f t="shared" si="66"/>
        <v>PC</v>
      </c>
      <c r="H689" s="14" t="s">
        <v>441</v>
      </c>
      <c r="I689" s="14" t="s">
        <v>441</v>
      </c>
    </row>
    <row r="690" spans="1:9" x14ac:dyDescent="0.25">
      <c r="A690" s="17" t="s">
        <v>320</v>
      </c>
      <c r="B690" s="14" t="s">
        <v>775</v>
      </c>
      <c r="C690" s="18" t="s">
        <v>1456</v>
      </c>
      <c r="D690" s="14" t="str">
        <f t="shared" si="65"/>
        <v>1ST-358-689</v>
      </c>
      <c r="E690" s="18" t="s">
        <v>1455</v>
      </c>
      <c r="F690" s="19">
        <f t="shared" si="67"/>
        <v>72.45</v>
      </c>
      <c r="G690" s="19" t="str">
        <f t="shared" si="66"/>
        <v>PC</v>
      </c>
      <c r="H690" s="14" t="s">
        <v>441</v>
      </c>
      <c r="I690" s="14" t="s">
        <v>441</v>
      </c>
    </row>
    <row r="691" spans="1:9" x14ac:dyDescent="0.25">
      <c r="A691" s="17" t="s">
        <v>320</v>
      </c>
      <c r="B691" s="14" t="s">
        <v>775</v>
      </c>
      <c r="C691" s="18" t="s">
        <v>1457</v>
      </c>
      <c r="D691" s="14" t="str">
        <f t="shared" si="65"/>
        <v>1ST-358-690</v>
      </c>
      <c r="E691" s="18" t="s">
        <v>1455</v>
      </c>
      <c r="F691" s="19">
        <f t="shared" si="67"/>
        <v>72.45</v>
      </c>
      <c r="G691" s="19" t="str">
        <f t="shared" si="66"/>
        <v>PC</v>
      </c>
      <c r="H691" s="14" t="s">
        <v>441</v>
      </c>
      <c r="I691" s="14" t="s">
        <v>441</v>
      </c>
    </row>
    <row r="692" spans="1:9" x14ac:dyDescent="0.25">
      <c r="A692" s="17" t="s">
        <v>320</v>
      </c>
      <c r="B692" s="14" t="s">
        <v>775</v>
      </c>
      <c r="C692" s="18" t="s">
        <v>1458</v>
      </c>
      <c r="D692" s="14" t="str">
        <f t="shared" si="65"/>
        <v>1ST-358-691</v>
      </c>
      <c r="E692" s="18" t="s">
        <v>1459</v>
      </c>
      <c r="F692" s="19">
        <f t="shared" si="67"/>
        <v>95.51</v>
      </c>
      <c r="G692" s="19" t="str">
        <f t="shared" si="66"/>
        <v>PC</v>
      </c>
      <c r="H692" s="14" t="s">
        <v>441</v>
      </c>
      <c r="I692" s="14" t="s">
        <v>441</v>
      </c>
    </row>
    <row r="693" spans="1:9" x14ac:dyDescent="0.25">
      <c r="A693" s="17" t="s">
        <v>320</v>
      </c>
      <c r="B693" s="14" t="s">
        <v>775</v>
      </c>
      <c r="C693" s="18" t="s">
        <v>1460</v>
      </c>
      <c r="D693" s="14" t="str">
        <f t="shared" si="65"/>
        <v>1ST-358-692</v>
      </c>
      <c r="E693" s="18" t="s">
        <v>1459</v>
      </c>
      <c r="F693" s="19">
        <f t="shared" si="67"/>
        <v>95.51</v>
      </c>
      <c r="G693" s="19" t="str">
        <f t="shared" si="66"/>
        <v>PC</v>
      </c>
      <c r="H693" s="14" t="s">
        <v>441</v>
      </c>
      <c r="I693" s="14" t="s">
        <v>441</v>
      </c>
    </row>
    <row r="694" spans="1:9" x14ac:dyDescent="0.25">
      <c r="A694" s="17" t="s">
        <v>320</v>
      </c>
      <c r="B694" s="14" t="s">
        <v>775</v>
      </c>
      <c r="C694" s="18" t="s">
        <v>1461</v>
      </c>
      <c r="D694" s="14" t="str">
        <f t="shared" si="65"/>
        <v>1ST-358-693</v>
      </c>
      <c r="E694" s="18" t="s">
        <v>1459</v>
      </c>
      <c r="F694" s="19">
        <f t="shared" si="67"/>
        <v>95.51</v>
      </c>
      <c r="G694" s="19" t="str">
        <f t="shared" si="66"/>
        <v>PC</v>
      </c>
      <c r="H694" s="14" t="s">
        <v>441</v>
      </c>
      <c r="I694" s="14" t="s">
        <v>441</v>
      </c>
    </row>
    <row r="695" spans="1:9" x14ac:dyDescent="0.25">
      <c r="A695" s="17" t="s">
        <v>320</v>
      </c>
      <c r="B695" s="14" t="s">
        <v>775</v>
      </c>
      <c r="C695" s="18" t="s">
        <v>1462</v>
      </c>
      <c r="D695" s="14" t="str">
        <f t="shared" si="65"/>
        <v>1ST-358-694</v>
      </c>
      <c r="E695" s="18" t="s">
        <v>1459</v>
      </c>
      <c r="F695" s="19">
        <f t="shared" si="67"/>
        <v>95.51</v>
      </c>
      <c r="G695" s="19" t="str">
        <f t="shared" si="66"/>
        <v>PC</v>
      </c>
      <c r="H695" s="14" t="s">
        <v>441</v>
      </c>
      <c r="I695" s="14" t="s">
        <v>441</v>
      </c>
    </row>
    <row r="696" spans="1:9" x14ac:dyDescent="0.25">
      <c r="A696" s="17" t="s">
        <v>320</v>
      </c>
      <c r="B696" s="14" t="s">
        <v>775</v>
      </c>
      <c r="C696" s="18" t="s">
        <v>1463</v>
      </c>
      <c r="D696" s="14" t="str">
        <f t="shared" si="65"/>
        <v>1ST-358-695</v>
      </c>
      <c r="E696" s="18" t="s">
        <v>1464</v>
      </c>
      <c r="F696" s="19">
        <f t="shared" si="67"/>
        <v>140.4</v>
      </c>
      <c r="G696" s="19" t="str">
        <f t="shared" si="66"/>
        <v>PC</v>
      </c>
      <c r="H696" s="14" t="s">
        <v>441</v>
      </c>
      <c r="I696" s="14" t="s">
        <v>441</v>
      </c>
    </row>
    <row r="697" spans="1:9" x14ac:dyDescent="0.25">
      <c r="A697" s="17" t="s">
        <v>320</v>
      </c>
      <c r="B697" s="14" t="s">
        <v>775</v>
      </c>
      <c r="C697" s="18" t="s">
        <v>1465</v>
      </c>
      <c r="D697" s="14" t="str">
        <f t="shared" si="65"/>
        <v>1ST-358-696</v>
      </c>
      <c r="E697" s="18" t="s">
        <v>1464</v>
      </c>
      <c r="F697" s="19">
        <f t="shared" si="67"/>
        <v>140.4</v>
      </c>
      <c r="G697" s="19" t="str">
        <f t="shared" si="66"/>
        <v>PC</v>
      </c>
      <c r="H697" s="14" t="s">
        <v>441</v>
      </c>
      <c r="I697" s="14" t="s">
        <v>441</v>
      </c>
    </row>
    <row r="698" spans="1:9" x14ac:dyDescent="0.25">
      <c r="A698" s="17" t="s">
        <v>320</v>
      </c>
      <c r="B698" s="14" t="s">
        <v>775</v>
      </c>
      <c r="C698" s="18" t="s">
        <v>1466</v>
      </c>
      <c r="D698" s="14" t="str">
        <f t="shared" si="65"/>
        <v>1ST-358-697</v>
      </c>
      <c r="E698" s="18" t="s">
        <v>1464</v>
      </c>
      <c r="F698" s="19">
        <f t="shared" si="67"/>
        <v>140.4</v>
      </c>
      <c r="G698" s="19" t="str">
        <f t="shared" si="66"/>
        <v>PC</v>
      </c>
      <c r="H698" s="14" t="s">
        <v>441</v>
      </c>
      <c r="I698" s="14" t="s">
        <v>441</v>
      </c>
    </row>
    <row r="699" spans="1:9" x14ac:dyDescent="0.25">
      <c r="A699" s="17" t="s">
        <v>320</v>
      </c>
      <c r="B699" s="14" t="s">
        <v>775</v>
      </c>
      <c r="C699" s="18" t="s">
        <v>1467</v>
      </c>
      <c r="D699" s="14" t="str">
        <f t="shared" si="65"/>
        <v>1ST-358-698</v>
      </c>
      <c r="E699" s="18" t="s">
        <v>1464</v>
      </c>
      <c r="F699" s="19">
        <f t="shared" si="67"/>
        <v>140.4</v>
      </c>
      <c r="G699" s="19" t="str">
        <f t="shared" si="66"/>
        <v>PC</v>
      </c>
      <c r="H699" s="14" t="s">
        <v>441</v>
      </c>
      <c r="I699" s="14" t="s">
        <v>441</v>
      </c>
    </row>
    <row r="700" spans="1:9" x14ac:dyDescent="0.25">
      <c r="A700" s="17" t="s">
        <v>320</v>
      </c>
      <c r="B700" s="14" t="s">
        <v>775</v>
      </c>
      <c r="C700" s="18" t="s">
        <v>1468</v>
      </c>
      <c r="D700" s="14" t="str">
        <f t="shared" si="65"/>
        <v>1ST-358-699</v>
      </c>
      <c r="E700" s="18" t="s">
        <v>1464</v>
      </c>
      <c r="F700" s="19">
        <f t="shared" si="67"/>
        <v>140.4</v>
      </c>
      <c r="G700" s="19" t="str">
        <f t="shared" si="66"/>
        <v>PC</v>
      </c>
      <c r="H700" s="14" t="s">
        <v>441</v>
      </c>
      <c r="I700" s="14" t="s">
        <v>441</v>
      </c>
    </row>
    <row r="701" spans="1:9" x14ac:dyDescent="0.25">
      <c r="A701" s="17" t="s">
        <v>320</v>
      </c>
      <c r="B701" s="14" t="s">
        <v>774</v>
      </c>
      <c r="C701" s="18" t="s">
        <v>1469</v>
      </c>
      <c r="D701" s="14" t="str">
        <f t="shared" si="65"/>
        <v>1ST-358-700</v>
      </c>
      <c r="E701" s="18" t="s">
        <v>1361</v>
      </c>
      <c r="F701" s="19">
        <f t="shared" si="67"/>
        <v>43.54</v>
      </c>
      <c r="G701" s="19" t="str">
        <f t="shared" si="66"/>
        <v>PC</v>
      </c>
      <c r="H701" s="14" t="s">
        <v>441</v>
      </c>
      <c r="I701" s="14" t="s">
        <v>441</v>
      </c>
    </row>
    <row r="702" spans="1:9" x14ac:dyDescent="0.25">
      <c r="A702" s="17" t="s">
        <v>320</v>
      </c>
      <c r="B702" s="14" t="s">
        <v>774</v>
      </c>
      <c r="C702" s="18" t="s">
        <v>1470</v>
      </c>
      <c r="D702" s="14" t="str">
        <f t="shared" si="65"/>
        <v>1ST-358-701</v>
      </c>
      <c r="E702" s="18" t="s">
        <v>1471</v>
      </c>
      <c r="F702" s="19">
        <f t="shared" si="67"/>
        <v>53.21</v>
      </c>
      <c r="G702" s="19" t="str">
        <f t="shared" si="66"/>
        <v>PC</v>
      </c>
      <c r="H702" s="14" t="s">
        <v>441</v>
      </c>
      <c r="I702" s="14" t="s">
        <v>441</v>
      </c>
    </row>
    <row r="703" spans="1:9" x14ac:dyDescent="0.25">
      <c r="A703" s="17" t="s">
        <v>320</v>
      </c>
      <c r="B703" s="14" t="s">
        <v>774</v>
      </c>
      <c r="C703" s="18" t="s">
        <v>1472</v>
      </c>
      <c r="D703" s="14" t="str">
        <f t="shared" si="65"/>
        <v>1ST-358-702</v>
      </c>
      <c r="E703" s="18" t="s">
        <v>1408</v>
      </c>
      <c r="F703" s="19">
        <f t="shared" si="67"/>
        <v>65.14</v>
      </c>
      <c r="G703" s="19" t="str">
        <f t="shared" si="66"/>
        <v>PC</v>
      </c>
      <c r="H703" s="14" t="s">
        <v>441</v>
      </c>
      <c r="I703" s="14" t="s">
        <v>441</v>
      </c>
    </row>
    <row r="704" spans="1:9" x14ac:dyDescent="0.25">
      <c r="A704" s="17" t="s">
        <v>320</v>
      </c>
      <c r="B704" s="14" t="s">
        <v>774</v>
      </c>
      <c r="C704" s="18" t="s">
        <v>1473</v>
      </c>
      <c r="D704" s="14" t="str">
        <f t="shared" si="65"/>
        <v>1ST-358-703</v>
      </c>
      <c r="E704" s="18" t="s">
        <v>1474</v>
      </c>
      <c r="F704" s="19">
        <f t="shared" si="67"/>
        <v>92.7</v>
      </c>
      <c r="G704" s="19" t="str">
        <f t="shared" si="66"/>
        <v>PC</v>
      </c>
      <c r="H704" s="14" t="s">
        <v>441</v>
      </c>
      <c r="I704" s="14" t="s">
        <v>441</v>
      </c>
    </row>
    <row r="705" spans="1:9" x14ac:dyDescent="0.25">
      <c r="A705" s="17" t="s">
        <v>320</v>
      </c>
      <c r="B705" s="14" t="s">
        <v>774</v>
      </c>
      <c r="C705" s="18" t="s">
        <v>1475</v>
      </c>
      <c r="D705" s="14" t="str">
        <f t="shared" si="65"/>
        <v>1ST-358-704</v>
      </c>
      <c r="E705" s="18" t="s">
        <v>1476</v>
      </c>
      <c r="F705" s="19">
        <f t="shared" si="67"/>
        <v>123.08</v>
      </c>
      <c r="G705" s="19" t="str">
        <f t="shared" si="66"/>
        <v>PC</v>
      </c>
      <c r="H705" s="14" t="s">
        <v>441</v>
      </c>
      <c r="I705" s="14" t="s">
        <v>441</v>
      </c>
    </row>
    <row r="706" spans="1:9" x14ac:dyDescent="0.25">
      <c r="A706" s="17" t="s">
        <v>320</v>
      </c>
      <c r="B706" s="14" t="s">
        <v>774</v>
      </c>
      <c r="C706" s="18" t="s">
        <v>1477</v>
      </c>
      <c r="D706" s="14" t="str">
        <f t="shared" si="65"/>
        <v>1ST-358-705</v>
      </c>
      <c r="E706" s="18" t="s">
        <v>1478</v>
      </c>
      <c r="F706" s="19">
        <f t="shared" si="67"/>
        <v>183.83</v>
      </c>
      <c r="G706" s="19" t="str">
        <f t="shared" si="66"/>
        <v>PC</v>
      </c>
      <c r="H706" s="14" t="s">
        <v>441</v>
      </c>
      <c r="I706" s="14" t="s">
        <v>441</v>
      </c>
    </row>
    <row r="707" spans="1:9" x14ac:dyDescent="0.25">
      <c r="A707" s="17" t="s">
        <v>320</v>
      </c>
      <c r="B707" s="14" t="s">
        <v>774</v>
      </c>
      <c r="C707" s="18" t="s">
        <v>1479</v>
      </c>
      <c r="D707" s="14" t="str">
        <f t="shared" si="65"/>
        <v>1ST-358-706</v>
      </c>
      <c r="E707" s="18" t="s">
        <v>1480</v>
      </c>
      <c r="F707" s="19">
        <f t="shared" si="67"/>
        <v>347.29</v>
      </c>
      <c r="G707" s="19" t="str">
        <f t="shared" si="66"/>
        <v>PC</v>
      </c>
      <c r="H707" s="14" t="s">
        <v>441</v>
      </c>
      <c r="I707" s="14" t="s">
        <v>441</v>
      </c>
    </row>
    <row r="708" spans="1:9" ht="26.4" x14ac:dyDescent="0.25">
      <c r="A708" s="17" t="s">
        <v>320</v>
      </c>
      <c r="B708" s="14" t="s">
        <v>198</v>
      </c>
      <c r="C708" s="18" t="s">
        <v>1481</v>
      </c>
      <c r="D708" s="14" t="str">
        <f t="shared" si="65"/>
        <v>1ST-358-707</v>
      </c>
      <c r="E708" s="18" t="s">
        <v>971</v>
      </c>
      <c r="F708" s="19">
        <f t="shared" si="67"/>
        <v>13.5</v>
      </c>
      <c r="G708" s="19" t="str">
        <f t="shared" si="66"/>
        <v>PC</v>
      </c>
      <c r="H708" s="18" t="s">
        <v>3083</v>
      </c>
      <c r="I708" s="14" t="s">
        <v>441</v>
      </c>
    </row>
    <row r="709" spans="1:9" ht="26.4" x14ac:dyDescent="0.25">
      <c r="A709" s="17" t="s">
        <v>320</v>
      </c>
      <c r="B709" s="14" t="s">
        <v>198</v>
      </c>
      <c r="C709" s="18" t="s">
        <v>1482</v>
      </c>
      <c r="D709" s="14" t="str">
        <f t="shared" ref="D709:D772" si="68">LEFT($D$2,FIND("-",$D$2,FIND("-",$D$2)+1)) &amp; TEXT(RIGHT($D$2,3)+ROW(D707),"000")</f>
        <v>1ST-358-708</v>
      </c>
      <c r="E709" s="18" t="s">
        <v>585</v>
      </c>
      <c r="F709" s="19">
        <f t="shared" si="67"/>
        <v>19.5</v>
      </c>
      <c r="G709" s="19" t="str">
        <f t="shared" si="66"/>
        <v>PC</v>
      </c>
      <c r="H709" s="18" t="s">
        <v>3084</v>
      </c>
      <c r="I709" s="14" t="s">
        <v>441</v>
      </c>
    </row>
    <row r="710" spans="1:9" ht="26.4" x14ac:dyDescent="0.25">
      <c r="A710" s="17" t="s">
        <v>320</v>
      </c>
      <c r="B710" s="14" t="s">
        <v>198</v>
      </c>
      <c r="C710" s="18" t="s">
        <v>1483</v>
      </c>
      <c r="D710" s="14" t="str">
        <f t="shared" si="68"/>
        <v>1ST-358-709</v>
      </c>
      <c r="E710" s="18" t="s">
        <v>1484</v>
      </c>
      <c r="F710" s="19">
        <f t="shared" si="67"/>
        <v>29</v>
      </c>
      <c r="G710" s="19" t="str">
        <f t="shared" si="66"/>
        <v>PC</v>
      </c>
      <c r="H710" s="18" t="s">
        <v>3085</v>
      </c>
      <c r="I710" s="14" t="s">
        <v>441</v>
      </c>
    </row>
    <row r="711" spans="1:9" ht="26.4" x14ac:dyDescent="0.25">
      <c r="A711" s="17" t="s">
        <v>320</v>
      </c>
      <c r="B711" s="14" t="s">
        <v>198</v>
      </c>
      <c r="C711" s="18" t="s">
        <v>1485</v>
      </c>
      <c r="D711" s="14" t="str">
        <f t="shared" si="68"/>
        <v>1ST-358-710</v>
      </c>
      <c r="E711" s="18" t="s">
        <v>1161</v>
      </c>
      <c r="F711" s="19">
        <f t="shared" si="67"/>
        <v>40</v>
      </c>
      <c r="G711" s="19" t="str">
        <f t="shared" si="66"/>
        <v>PC</v>
      </c>
      <c r="H711" s="18" t="s">
        <v>3086</v>
      </c>
      <c r="I711" s="14" t="s">
        <v>441</v>
      </c>
    </row>
    <row r="712" spans="1:9" ht="26.4" x14ac:dyDescent="0.25">
      <c r="A712" s="17" t="s">
        <v>320</v>
      </c>
      <c r="B712" s="14" t="s">
        <v>198</v>
      </c>
      <c r="C712" s="18" t="s">
        <v>1486</v>
      </c>
      <c r="D712" s="14" t="str">
        <f t="shared" si="68"/>
        <v>1ST-358-711</v>
      </c>
      <c r="E712" s="18" t="s">
        <v>696</v>
      </c>
      <c r="F712" s="19">
        <f t="shared" si="67"/>
        <v>48</v>
      </c>
      <c r="G712" s="19" t="str">
        <f t="shared" si="66"/>
        <v>PC</v>
      </c>
      <c r="H712" s="18" t="s">
        <v>3087</v>
      </c>
      <c r="I712" s="14" t="s">
        <v>441</v>
      </c>
    </row>
    <row r="713" spans="1:9" ht="26.4" x14ac:dyDescent="0.25">
      <c r="A713" s="17" t="s">
        <v>320</v>
      </c>
      <c r="B713" s="14" t="s">
        <v>198</v>
      </c>
      <c r="C713" s="18" t="s">
        <v>1487</v>
      </c>
      <c r="D713" s="14" t="str">
        <f t="shared" si="68"/>
        <v>1ST-358-712</v>
      </c>
      <c r="E713" s="18" t="s">
        <v>796</v>
      </c>
      <c r="F713" s="19">
        <f t="shared" si="67"/>
        <v>73</v>
      </c>
      <c r="G713" s="19" t="str">
        <f t="shared" si="66"/>
        <v>PC</v>
      </c>
      <c r="H713" s="18" t="s">
        <v>3088</v>
      </c>
      <c r="I713" s="14" t="s">
        <v>441</v>
      </c>
    </row>
    <row r="714" spans="1:9" ht="26.4" x14ac:dyDescent="0.25">
      <c r="A714" s="17" t="s">
        <v>320</v>
      </c>
      <c r="B714" s="14" t="s">
        <v>788</v>
      </c>
      <c r="C714" s="18" t="s">
        <v>1488</v>
      </c>
      <c r="D714" s="14" t="str">
        <f t="shared" si="68"/>
        <v>1ST-358-713</v>
      </c>
      <c r="E714" s="19" t="s">
        <v>961</v>
      </c>
      <c r="F714" s="19">
        <f t="shared" si="67"/>
        <v>25</v>
      </c>
      <c r="G714" s="19" t="str">
        <f t="shared" si="66"/>
        <v>PC</v>
      </c>
      <c r="H714" s="18" t="s">
        <v>3089</v>
      </c>
      <c r="I714" s="14" t="s">
        <v>441</v>
      </c>
    </row>
    <row r="715" spans="1:9" ht="26.4" x14ac:dyDescent="0.25">
      <c r="A715" s="17" t="s">
        <v>320</v>
      </c>
      <c r="B715" s="14" t="s">
        <v>788</v>
      </c>
      <c r="C715" s="18" t="s">
        <v>1489</v>
      </c>
      <c r="D715" s="14" t="str">
        <f t="shared" si="68"/>
        <v>1ST-358-714</v>
      </c>
      <c r="E715" s="19" t="s">
        <v>1490</v>
      </c>
      <c r="F715" s="19">
        <f t="shared" si="67"/>
        <v>35</v>
      </c>
      <c r="G715" s="19" t="str">
        <f t="shared" si="66"/>
        <v>PC</v>
      </c>
      <c r="H715" s="18" t="s">
        <v>3090</v>
      </c>
      <c r="I715" s="14" t="s">
        <v>441</v>
      </c>
    </row>
    <row r="716" spans="1:9" ht="26.4" x14ac:dyDescent="0.25">
      <c r="A716" s="17" t="s">
        <v>320</v>
      </c>
      <c r="B716" s="14" t="s">
        <v>788</v>
      </c>
      <c r="C716" s="18" t="s">
        <v>3798</v>
      </c>
      <c r="D716" s="14" t="str">
        <f t="shared" si="68"/>
        <v>1ST-358-715</v>
      </c>
      <c r="E716" s="19" t="s">
        <v>700</v>
      </c>
      <c r="F716" s="19">
        <f t="shared" si="67"/>
        <v>65</v>
      </c>
      <c r="G716" s="19" t="str">
        <f t="shared" si="66"/>
        <v>PC</v>
      </c>
      <c r="H716" s="18" t="s">
        <v>3091</v>
      </c>
      <c r="I716" s="14" t="s">
        <v>441</v>
      </c>
    </row>
    <row r="717" spans="1:9" ht="26.4" x14ac:dyDescent="0.25">
      <c r="A717" s="17" t="s">
        <v>320</v>
      </c>
      <c r="B717" s="14" t="s">
        <v>787</v>
      </c>
      <c r="C717" s="18" t="s">
        <v>1491</v>
      </c>
      <c r="D717" s="14" t="str">
        <f t="shared" si="68"/>
        <v>1ST-358-716</v>
      </c>
      <c r="E717" s="19" t="s">
        <v>975</v>
      </c>
      <c r="F717" s="19">
        <f t="shared" si="67"/>
        <v>58</v>
      </c>
      <c r="G717" s="19" t="str">
        <f t="shared" si="66"/>
        <v>PC</v>
      </c>
      <c r="H717" s="18" t="s">
        <v>3092</v>
      </c>
      <c r="I717" s="14" t="s">
        <v>441</v>
      </c>
    </row>
    <row r="718" spans="1:9" ht="26.4" x14ac:dyDescent="0.25">
      <c r="A718" s="17" t="s">
        <v>320</v>
      </c>
      <c r="B718" s="14" t="s">
        <v>787</v>
      </c>
      <c r="C718" s="18" t="s">
        <v>1492</v>
      </c>
      <c r="D718" s="14" t="str">
        <f t="shared" si="68"/>
        <v>1ST-358-717</v>
      </c>
      <c r="E718" s="18" t="s">
        <v>500</v>
      </c>
      <c r="F718" s="19">
        <f t="shared" si="67"/>
        <v>82</v>
      </c>
      <c r="G718" s="19" t="str">
        <f t="shared" si="66"/>
        <v>PC</v>
      </c>
      <c r="H718" s="18" t="s">
        <v>3013</v>
      </c>
      <c r="I718" s="14" t="s">
        <v>441</v>
      </c>
    </row>
    <row r="719" spans="1:9" x14ac:dyDescent="0.25">
      <c r="A719" s="17" t="s">
        <v>320</v>
      </c>
      <c r="B719" s="14" t="s">
        <v>787</v>
      </c>
      <c r="C719" s="18" t="s">
        <v>1493</v>
      </c>
      <c r="D719" s="14" t="str">
        <f t="shared" si="68"/>
        <v>1ST-358-718</v>
      </c>
      <c r="E719" s="18" t="s">
        <v>1020</v>
      </c>
      <c r="F719" s="19">
        <f t="shared" si="67"/>
        <v>143</v>
      </c>
      <c r="G719" s="19" t="str">
        <f t="shared" si="66"/>
        <v>PC</v>
      </c>
      <c r="H719" s="18" t="s">
        <v>2714</v>
      </c>
      <c r="I719" s="14" t="s">
        <v>441</v>
      </c>
    </row>
    <row r="720" spans="1:9" ht="26.4" x14ac:dyDescent="0.25">
      <c r="A720" s="17" t="s">
        <v>320</v>
      </c>
      <c r="B720" s="14" t="s">
        <v>786</v>
      </c>
      <c r="C720" s="18" t="s">
        <v>1494</v>
      </c>
      <c r="D720" s="14" t="str">
        <f t="shared" si="68"/>
        <v>1ST-358-719</v>
      </c>
      <c r="E720" s="19" t="s">
        <v>1495</v>
      </c>
      <c r="F720" s="19">
        <f t="shared" si="67"/>
        <v>37</v>
      </c>
      <c r="G720" s="19" t="str">
        <f t="shared" si="66"/>
        <v>PC</v>
      </c>
      <c r="H720" s="18" t="s">
        <v>3093</v>
      </c>
      <c r="I720" s="14" t="s">
        <v>441</v>
      </c>
    </row>
    <row r="721" spans="1:9" ht="26.4" x14ac:dyDescent="0.25">
      <c r="A721" s="17" t="s">
        <v>320</v>
      </c>
      <c r="B721" s="14" t="s">
        <v>786</v>
      </c>
      <c r="C721" s="18" t="s">
        <v>1496</v>
      </c>
      <c r="D721" s="14" t="str">
        <f t="shared" si="68"/>
        <v>1ST-358-720</v>
      </c>
      <c r="E721" s="19" t="s">
        <v>698</v>
      </c>
      <c r="F721" s="19">
        <f t="shared" si="67"/>
        <v>55</v>
      </c>
      <c r="G721" s="19" t="str">
        <f t="shared" si="66"/>
        <v>PC</v>
      </c>
      <c r="H721" s="18" t="s">
        <v>3094</v>
      </c>
      <c r="I721" s="14" t="s">
        <v>441</v>
      </c>
    </row>
    <row r="722" spans="1:9" ht="26.4" x14ac:dyDescent="0.25">
      <c r="A722" s="17" t="s">
        <v>320</v>
      </c>
      <c r="B722" s="14" t="s">
        <v>786</v>
      </c>
      <c r="C722" s="18" t="s">
        <v>1497</v>
      </c>
      <c r="D722" s="14" t="str">
        <f t="shared" si="68"/>
        <v>1ST-358-721</v>
      </c>
      <c r="E722" s="19" t="s">
        <v>655</v>
      </c>
      <c r="F722" s="19">
        <f t="shared" si="67"/>
        <v>95</v>
      </c>
      <c r="G722" s="19" t="str">
        <f t="shared" si="66"/>
        <v>PC</v>
      </c>
      <c r="H722" s="18" t="s">
        <v>3095</v>
      </c>
      <c r="I722" s="14" t="s">
        <v>441</v>
      </c>
    </row>
    <row r="723" spans="1:9" x14ac:dyDescent="0.25">
      <c r="A723" s="17" t="s">
        <v>320</v>
      </c>
      <c r="B723" s="14" t="s">
        <v>785</v>
      </c>
      <c r="C723" s="18" t="s">
        <v>1498</v>
      </c>
      <c r="D723" s="14" t="str">
        <f t="shared" si="68"/>
        <v>1ST-358-722</v>
      </c>
      <c r="E723" s="18" t="s">
        <v>1231</v>
      </c>
      <c r="F723" s="19">
        <f t="shared" si="67"/>
        <v>44</v>
      </c>
      <c r="G723" s="19" t="str">
        <f t="shared" si="66"/>
        <v>PC</v>
      </c>
      <c r="H723" s="14" t="s">
        <v>441</v>
      </c>
      <c r="I723" s="14" t="s">
        <v>441</v>
      </c>
    </row>
    <row r="724" spans="1:9" x14ac:dyDescent="0.25">
      <c r="A724" s="17" t="s">
        <v>320</v>
      </c>
      <c r="B724" s="14" t="s">
        <v>785</v>
      </c>
      <c r="C724" s="18" t="s">
        <v>1499</v>
      </c>
      <c r="D724" s="14" t="str">
        <f t="shared" si="68"/>
        <v>1ST-358-723</v>
      </c>
      <c r="E724" s="18" t="s">
        <v>698</v>
      </c>
      <c r="F724" s="19">
        <f t="shared" si="67"/>
        <v>55</v>
      </c>
      <c r="G724" s="19" t="str">
        <f t="shared" si="66"/>
        <v>PC</v>
      </c>
      <c r="H724" s="14" t="s">
        <v>441</v>
      </c>
      <c r="I724" s="14" t="s">
        <v>441</v>
      </c>
    </row>
    <row r="725" spans="1:9" x14ac:dyDescent="0.25">
      <c r="A725" s="17" t="s">
        <v>320</v>
      </c>
      <c r="B725" s="14" t="s">
        <v>785</v>
      </c>
      <c r="C725" s="18" t="s">
        <v>1500</v>
      </c>
      <c r="D725" s="14" t="str">
        <f t="shared" si="68"/>
        <v>1ST-358-724</v>
      </c>
      <c r="E725" s="18" t="s">
        <v>686</v>
      </c>
      <c r="F725" s="19">
        <f t="shared" si="67"/>
        <v>87</v>
      </c>
      <c r="G725" s="19" t="str">
        <f t="shared" si="66"/>
        <v>PC</v>
      </c>
      <c r="H725" s="14" t="s">
        <v>441</v>
      </c>
      <c r="I725" s="14" t="s">
        <v>441</v>
      </c>
    </row>
    <row r="726" spans="1:9" x14ac:dyDescent="0.25">
      <c r="A726" s="17" t="s">
        <v>320</v>
      </c>
      <c r="B726" s="14" t="s">
        <v>197</v>
      </c>
      <c r="C726" s="18" t="s">
        <v>1501</v>
      </c>
      <c r="D726" s="14" t="str">
        <f t="shared" si="68"/>
        <v>1ST-358-725</v>
      </c>
      <c r="E726" s="18" t="s">
        <v>692</v>
      </c>
      <c r="F726" s="19">
        <f t="shared" si="67"/>
        <v>60</v>
      </c>
      <c r="G726" s="19" t="str">
        <f t="shared" si="66"/>
        <v>PC</v>
      </c>
      <c r="H726" s="18" t="s">
        <v>2715</v>
      </c>
      <c r="I726" s="14" t="s">
        <v>441</v>
      </c>
    </row>
    <row r="727" spans="1:9" ht="26.4" x14ac:dyDescent="0.25">
      <c r="A727" s="17" t="s">
        <v>320</v>
      </c>
      <c r="B727" s="14" t="s">
        <v>196</v>
      </c>
      <c r="C727" s="18" t="s">
        <v>1502</v>
      </c>
      <c r="D727" s="14" t="str">
        <f t="shared" si="68"/>
        <v>1ST-358-726</v>
      </c>
      <c r="E727" s="18" t="s">
        <v>1503</v>
      </c>
      <c r="F727" s="19">
        <f t="shared" si="67"/>
        <v>51</v>
      </c>
      <c r="G727" s="19" t="str">
        <f t="shared" si="66"/>
        <v>PC</v>
      </c>
      <c r="H727" s="18" t="s">
        <v>3096</v>
      </c>
      <c r="I727" s="14" t="s">
        <v>441</v>
      </c>
    </row>
    <row r="728" spans="1:9" ht="26.4" x14ac:dyDescent="0.25">
      <c r="A728" s="17" t="s">
        <v>320</v>
      </c>
      <c r="B728" s="14" t="s">
        <v>196</v>
      </c>
      <c r="C728" s="18" t="s">
        <v>1504</v>
      </c>
      <c r="D728" s="14" t="str">
        <f t="shared" si="68"/>
        <v>1ST-358-727</v>
      </c>
      <c r="E728" s="18" t="s">
        <v>1505</v>
      </c>
      <c r="F728" s="19">
        <f t="shared" si="67"/>
        <v>62</v>
      </c>
      <c r="G728" s="19" t="str">
        <f t="shared" si="66"/>
        <v>PC</v>
      </c>
      <c r="H728" s="18" t="s">
        <v>3097</v>
      </c>
      <c r="I728" s="14" t="s">
        <v>441</v>
      </c>
    </row>
    <row r="729" spans="1:9" ht="26.4" x14ac:dyDescent="0.25">
      <c r="A729" s="17" t="s">
        <v>320</v>
      </c>
      <c r="B729" s="14" t="s">
        <v>196</v>
      </c>
      <c r="C729" s="18" t="s">
        <v>1506</v>
      </c>
      <c r="D729" s="14" t="str">
        <f t="shared" si="68"/>
        <v>1ST-358-728</v>
      </c>
      <c r="E729" s="18" t="s">
        <v>875</v>
      </c>
      <c r="F729" s="19">
        <f t="shared" si="67"/>
        <v>77</v>
      </c>
      <c r="G729" s="19" t="str">
        <f t="shared" si="66"/>
        <v>PC</v>
      </c>
      <c r="H729" s="18" t="s">
        <v>3098</v>
      </c>
      <c r="I729" s="14" t="s">
        <v>441</v>
      </c>
    </row>
    <row r="730" spans="1:9" x14ac:dyDescent="0.25">
      <c r="A730" s="17" t="s">
        <v>320</v>
      </c>
      <c r="B730" s="14" t="s">
        <v>196</v>
      </c>
      <c r="C730" s="18" t="s">
        <v>1507</v>
      </c>
      <c r="D730" s="14" t="str">
        <f t="shared" si="68"/>
        <v>1ST-358-729</v>
      </c>
      <c r="E730" s="18" t="s">
        <v>1100</v>
      </c>
      <c r="F730" s="19">
        <f t="shared" si="67"/>
        <v>105</v>
      </c>
      <c r="G730" s="19" t="str">
        <f t="shared" si="66"/>
        <v>PC</v>
      </c>
      <c r="H730" s="18" t="s">
        <v>2716</v>
      </c>
      <c r="I730" s="14" t="s">
        <v>441</v>
      </c>
    </row>
    <row r="731" spans="1:9" x14ac:dyDescent="0.25">
      <c r="A731" s="17" t="s">
        <v>320</v>
      </c>
      <c r="B731" s="14" t="s">
        <v>196</v>
      </c>
      <c r="C731" s="18" t="s">
        <v>1508</v>
      </c>
      <c r="D731" s="14" t="str">
        <f t="shared" si="68"/>
        <v>1ST-358-730</v>
      </c>
      <c r="E731" s="18" t="s">
        <v>1509</v>
      </c>
      <c r="F731" s="19">
        <f t="shared" si="67"/>
        <v>126</v>
      </c>
      <c r="G731" s="19" t="str">
        <f t="shared" si="66"/>
        <v>PC</v>
      </c>
      <c r="H731" s="18" t="s">
        <v>2717</v>
      </c>
      <c r="I731" s="14" t="s">
        <v>441</v>
      </c>
    </row>
    <row r="732" spans="1:9" ht="26.4" x14ac:dyDescent="0.25">
      <c r="A732" s="17" t="s">
        <v>320</v>
      </c>
      <c r="B732" s="14" t="s">
        <v>195</v>
      </c>
      <c r="C732" s="18" t="s">
        <v>1510</v>
      </c>
      <c r="D732" s="14" t="str">
        <f t="shared" si="68"/>
        <v>1ST-358-731</v>
      </c>
      <c r="E732" s="23" t="s">
        <v>1153</v>
      </c>
      <c r="F732" s="19">
        <f t="shared" si="67"/>
        <v>23</v>
      </c>
      <c r="G732" s="19" t="str">
        <f t="shared" ref="G732:G795" si="69">TRIM(MID(E732,FIND("/",E732)+1,LEN(E732)))</f>
        <v>PC</v>
      </c>
      <c r="H732" s="23" t="s">
        <v>3099</v>
      </c>
      <c r="I732" s="14" t="s">
        <v>441</v>
      </c>
    </row>
    <row r="733" spans="1:9" ht="26.4" x14ac:dyDescent="0.25">
      <c r="A733" s="17" t="s">
        <v>320</v>
      </c>
      <c r="B733" s="14" t="s">
        <v>195</v>
      </c>
      <c r="C733" s="18" t="s">
        <v>1511</v>
      </c>
      <c r="D733" s="14" t="str">
        <f t="shared" si="68"/>
        <v>1ST-358-732</v>
      </c>
      <c r="E733" s="23" t="s">
        <v>1512</v>
      </c>
      <c r="F733" s="19">
        <f t="shared" si="67"/>
        <v>24.5</v>
      </c>
      <c r="G733" s="19" t="str">
        <f t="shared" si="69"/>
        <v>PC</v>
      </c>
      <c r="H733" s="23" t="s">
        <v>3100</v>
      </c>
      <c r="I733" s="14" t="s">
        <v>441</v>
      </c>
    </row>
    <row r="734" spans="1:9" x14ac:dyDescent="0.25">
      <c r="A734" s="17" t="s">
        <v>320</v>
      </c>
      <c r="B734" s="14" t="s">
        <v>195</v>
      </c>
      <c r="C734" s="18" t="s">
        <v>1513</v>
      </c>
      <c r="D734" s="14" t="str">
        <f t="shared" si="68"/>
        <v>1ST-358-733</v>
      </c>
      <c r="E734" s="23" t="s">
        <v>943</v>
      </c>
      <c r="F734" s="19">
        <f t="shared" si="67"/>
        <v>27</v>
      </c>
      <c r="G734" s="19" t="str">
        <f t="shared" si="69"/>
        <v>PC</v>
      </c>
      <c r="H734" s="23" t="s">
        <v>2718</v>
      </c>
      <c r="I734" s="14" t="s">
        <v>441</v>
      </c>
    </row>
    <row r="735" spans="1:9" x14ac:dyDescent="0.25">
      <c r="A735" s="17" t="s">
        <v>320</v>
      </c>
      <c r="B735" s="14" t="s">
        <v>195</v>
      </c>
      <c r="C735" s="18" t="s">
        <v>1514</v>
      </c>
      <c r="D735" s="14" t="str">
        <f t="shared" si="68"/>
        <v>1ST-358-734</v>
      </c>
      <c r="E735" s="23" t="s">
        <v>498</v>
      </c>
      <c r="F735" s="19">
        <f t="shared" si="67"/>
        <v>28</v>
      </c>
      <c r="G735" s="19" t="str">
        <f t="shared" si="69"/>
        <v>PC</v>
      </c>
      <c r="H735" s="23" t="s">
        <v>2719</v>
      </c>
      <c r="I735" s="14" t="s">
        <v>441</v>
      </c>
    </row>
    <row r="736" spans="1:9" ht="26.4" x14ac:dyDescent="0.25">
      <c r="A736" s="17" t="s">
        <v>320</v>
      </c>
      <c r="B736" s="14" t="s">
        <v>194</v>
      </c>
      <c r="C736" s="19" t="s">
        <v>1515</v>
      </c>
      <c r="D736" s="14" t="str">
        <f t="shared" si="68"/>
        <v>1ST-358-735</v>
      </c>
      <c r="E736" s="19" t="s">
        <v>1516</v>
      </c>
      <c r="F736" s="19">
        <f t="shared" si="67"/>
        <v>17.5</v>
      </c>
      <c r="G736" s="19" t="str">
        <f t="shared" si="69"/>
        <v>PC</v>
      </c>
      <c r="H736" s="18" t="s">
        <v>3101</v>
      </c>
      <c r="I736" s="14" t="s">
        <v>441</v>
      </c>
    </row>
    <row r="737" spans="1:9" ht="26.4" x14ac:dyDescent="0.25">
      <c r="A737" s="17" t="s">
        <v>320</v>
      </c>
      <c r="B737" s="14" t="s">
        <v>194</v>
      </c>
      <c r="C737" s="19" t="s">
        <v>1517</v>
      </c>
      <c r="D737" s="14" t="str">
        <f t="shared" si="68"/>
        <v>1ST-358-736</v>
      </c>
      <c r="E737" s="19" t="s">
        <v>585</v>
      </c>
      <c r="F737" s="19">
        <f t="shared" si="67"/>
        <v>19.5</v>
      </c>
      <c r="G737" s="19" t="str">
        <f t="shared" si="69"/>
        <v>PC</v>
      </c>
      <c r="H737" s="18" t="s">
        <v>3102</v>
      </c>
      <c r="I737" s="14" t="s">
        <v>441</v>
      </c>
    </row>
    <row r="738" spans="1:9" ht="26.4" x14ac:dyDescent="0.25">
      <c r="A738" s="17" t="s">
        <v>320</v>
      </c>
      <c r="B738" s="14" t="s">
        <v>194</v>
      </c>
      <c r="C738" s="19" t="s">
        <v>1518</v>
      </c>
      <c r="D738" s="14" t="str">
        <f t="shared" si="68"/>
        <v>1ST-358-737</v>
      </c>
      <c r="E738" s="19" t="s">
        <v>914</v>
      </c>
      <c r="F738" s="19">
        <f t="shared" si="67"/>
        <v>22.5</v>
      </c>
      <c r="G738" s="19" t="str">
        <f t="shared" si="69"/>
        <v>PC</v>
      </c>
      <c r="H738" s="18" t="s">
        <v>3103</v>
      </c>
      <c r="I738" s="14" t="s">
        <v>441</v>
      </c>
    </row>
    <row r="739" spans="1:9" ht="26.4" x14ac:dyDescent="0.25">
      <c r="A739" s="17" t="s">
        <v>320</v>
      </c>
      <c r="B739" s="14" t="s">
        <v>194</v>
      </c>
      <c r="C739" s="19" t="s">
        <v>1519</v>
      </c>
      <c r="D739" s="14" t="str">
        <f t="shared" si="68"/>
        <v>1ST-358-738</v>
      </c>
      <c r="E739" s="19" t="s">
        <v>1512</v>
      </c>
      <c r="F739" s="19">
        <f t="shared" si="67"/>
        <v>24.5</v>
      </c>
      <c r="G739" s="19" t="str">
        <f t="shared" si="69"/>
        <v>PC</v>
      </c>
      <c r="H739" s="18" t="s">
        <v>3104</v>
      </c>
      <c r="I739" s="14" t="s">
        <v>441</v>
      </c>
    </row>
    <row r="740" spans="1:9" ht="26.4" x14ac:dyDescent="0.25">
      <c r="A740" s="17" t="s">
        <v>320</v>
      </c>
      <c r="B740" s="14" t="s">
        <v>194</v>
      </c>
      <c r="C740" s="19" t="s">
        <v>1520</v>
      </c>
      <c r="D740" s="14" t="str">
        <f t="shared" si="68"/>
        <v>1ST-358-739</v>
      </c>
      <c r="E740" s="19" t="s">
        <v>1521</v>
      </c>
      <c r="F740" s="19">
        <f t="shared" si="67"/>
        <v>26.5</v>
      </c>
      <c r="G740" s="19" t="str">
        <f t="shared" si="69"/>
        <v>PC</v>
      </c>
      <c r="H740" s="18" t="s">
        <v>3105</v>
      </c>
      <c r="I740" s="14" t="s">
        <v>441</v>
      </c>
    </row>
    <row r="741" spans="1:9" ht="26.4" x14ac:dyDescent="0.25">
      <c r="A741" s="17" t="s">
        <v>320</v>
      </c>
      <c r="B741" s="14" t="s">
        <v>193</v>
      </c>
      <c r="C741" s="18" t="s">
        <v>1522</v>
      </c>
      <c r="D741" s="14" t="str">
        <f t="shared" si="68"/>
        <v>1ST-358-740</v>
      </c>
      <c r="E741" s="19" t="s">
        <v>1236</v>
      </c>
      <c r="F741" s="19">
        <f t="shared" si="67"/>
        <v>88</v>
      </c>
      <c r="G741" s="19" t="str">
        <f t="shared" si="69"/>
        <v>PC</v>
      </c>
      <c r="H741" s="18" t="s">
        <v>3106</v>
      </c>
      <c r="I741" s="14" t="s">
        <v>441</v>
      </c>
    </row>
    <row r="742" spans="1:9" ht="26.4" x14ac:dyDescent="0.25">
      <c r="A742" s="17" t="s">
        <v>320</v>
      </c>
      <c r="B742" s="14" t="s">
        <v>193</v>
      </c>
      <c r="C742" s="18" t="s">
        <v>1523</v>
      </c>
      <c r="D742" s="14" t="str">
        <f t="shared" si="68"/>
        <v>1ST-358-741</v>
      </c>
      <c r="E742" s="19" t="s">
        <v>1132</v>
      </c>
      <c r="F742" s="19">
        <f t="shared" si="67"/>
        <v>98</v>
      </c>
      <c r="G742" s="19" t="str">
        <f t="shared" si="69"/>
        <v>PC</v>
      </c>
      <c r="H742" s="18" t="s">
        <v>3107</v>
      </c>
      <c r="I742" s="14" t="s">
        <v>441</v>
      </c>
    </row>
    <row r="743" spans="1:9" x14ac:dyDescent="0.25">
      <c r="A743" s="17" t="s">
        <v>320</v>
      </c>
      <c r="B743" s="14" t="s">
        <v>193</v>
      </c>
      <c r="C743" s="18" t="s">
        <v>1524</v>
      </c>
      <c r="D743" s="14" t="str">
        <f t="shared" si="68"/>
        <v>1ST-358-742</v>
      </c>
      <c r="E743" s="19" t="s">
        <v>1100</v>
      </c>
      <c r="F743" s="19">
        <f t="shared" si="67"/>
        <v>105</v>
      </c>
      <c r="G743" s="19" t="str">
        <f t="shared" si="69"/>
        <v>PC</v>
      </c>
      <c r="H743" s="18" t="s">
        <v>2720</v>
      </c>
      <c r="I743" s="14" t="s">
        <v>441</v>
      </c>
    </row>
    <row r="744" spans="1:9" x14ac:dyDescent="0.25">
      <c r="A744" s="17" t="s">
        <v>320</v>
      </c>
      <c r="B744" s="14" t="s">
        <v>193</v>
      </c>
      <c r="C744" s="18" t="s">
        <v>1525</v>
      </c>
      <c r="D744" s="14" t="str">
        <f t="shared" si="68"/>
        <v>1ST-358-743</v>
      </c>
      <c r="E744" s="19" t="s">
        <v>1526</v>
      </c>
      <c r="F744" s="19">
        <f t="shared" ref="F744:F807" si="70">VALUE(LEFT(E744,FIND("/",E744)-1))</f>
        <v>110</v>
      </c>
      <c r="G744" s="19" t="str">
        <f t="shared" si="69"/>
        <v>PC</v>
      </c>
      <c r="H744" s="18" t="s">
        <v>2721</v>
      </c>
      <c r="I744" s="14" t="s">
        <v>441</v>
      </c>
    </row>
    <row r="745" spans="1:9" x14ac:dyDescent="0.25">
      <c r="A745" s="17" t="s">
        <v>320</v>
      </c>
      <c r="B745" s="14" t="s">
        <v>192</v>
      </c>
      <c r="C745" s="19" t="s">
        <v>1527</v>
      </c>
      <c r="D745" s="14" t="str">
        <f t="shared" si="68"/>
        <v>1ST-358-744</v>
      </c>
      <c r="E745" s="19" t="s">
        <v>1528</v>
      </c>
      <c r="F745" s="19">
        <f t="shared" si="70"/>
        <v>133</v>
      </c>
      <c r="G745" s="19" t="str">
        <f t="shared" si="69"/>
        <v>PC</v>
      </c>
      <c r="H745" s="18" t="s">
        <v>2722</v>
      </c>
      <c r="I745" s="14" t="s">
        <v>441</v>
      </c>
    </row>
    <row r="746" spans="1:9" ht="26.4" x14ac:dyDescent="0.25">
      <c r="A746" s="17" t="s">
        <v>320</v>
      </c>
      <c r="B746" s="14" t="s">
        <v>192</v>
      </c>
      <c r="C746" s="19" t="s">
        <v>1529</v>
      </c>
      <c r="D746" s="14" t="str">
        <f t="shared" si="68"/>
        <v>1ST-358-745</v>
      </c>
      <c r="E746" s="19" t="s">
        <v>656</v>
      </c>
      <c r="F746" s="19">
        <f t="shared" si="70"/>
        <v>160</v>
      </c>
      <c r="G746" s="19" t="str">
        <f t="shared" si="69"/>
        <v>PC</v>
      </c>
      <c r="H746" s="18" t="s">
        <v>3108</v>
      </c>
      <c r="I746" s="14" t="s">
        <v>441</v>
      </c>
    </row>
    <row r="747" spans="1:9" ht="26.4" x14ac:dyDescent="0.25">
      <c r="A747" s="17" t="s">
        <v>320</v>
      </c>
      <c r="B747" s="14" t="s">
        <v>192</v>
      </c>
      <c r="C747" s="19" t="s">
        <v>1530</v>
      </c>
      <c r="D747" s="14" t="str">
        <f t="shared" si="68"/>
        <v>1ST-358-746</v>
      </c>
      <c r="E747" s="19" t="s">
        <v>1531</v>
      </c>
      <c r="F747" s="19">
        <f t="shared" si="70"/>
        <v>182</v>
      </c>
      <c r="G747" s="19" t="str">
        <f t="shared" si="69"/>
        <v>PC</v>
      </c>
      <c r="H747" s="18" t="s">
        <v>3109</v>
      </c>
      <c r="I747" s="14" t="s">
        <v>441</v>
      </c>
    </row>
    <row r="748" spans="1:9" ht="26.4" x14ac:dyDescent="0.25">
      <c r="A748" s="17" t="s">
        <v>320</v>
      </c>
      <c r="B748" s="14" t="s">
        <v>191</v>
      </c>
      <c r="C748" s="19" t="s">
        <v>1532</v>
      </c>
      <c r="D748" s="14" t="str">
        <f t="shared" si="68"/>
        <v>1ST-358-747</v>
      </c>
      <c r="E748" s="19" t="s">
        <v>1533</v>
      </c>
      <c r="F748" s="19">
        <f t="shared" si="70"/>
        <v>260</v>
      </c>
      <c r="G748" s="19" t="str">
        <f t="shared" si="69"/>
        <v>PC</v>
      </c>
      <c r="H748" s="18" t="s">
        <v>3110</v>
      </c>
      <c r="I748" s="14" t="s">
        <v>441</v>
      </c>
    </row>
    <row r="749" spans="1:9" ht="26.4" x14ac:dyDescent="0.25">
      <c r="A749" s="17" t="s">
        <v>320</v>
      </c>
      <c r="B749" s="14" t="s">
        <v>191</v>
      </c>
      <c r="C749" s="18" t="s">
        <v>1534</v>
      </c>
      <c r="D749" s="14" t="str">
        <f t="shared" si="68"/>
        <v>1ST-358-748</v>
      </c>
      <c r="E749" s="18" t="s">
        <v>1535</v>
      </c>
      <c r="F749" s="19">
        <f t="shared" si="70"/>
        <v>316</v>
      </c>
      <c r="G749" s="19" t="str">
        <f t="shared" si="69"/>
        <v>PC</v>
      </c>
      <c r="H749" s="18" t="s">
        <v>3111</v>
      </c>
      <c r="I749" s="14" t="s">
        <v>441</v>
      </c>
    </row>
    <row r="750" spans="1:9" ht="26.4" x14ac:dyDescent="0.25">
      <c r="A750" s="17" t="s">
        <v>320</v>
      </c>
      <c r="B750" s="14" t="s">
        <v>191</v>
      </c>
      <c r="C750" s="19" t="s">
        <v>1536</v>
      </c>
      <c r="D750" s="14" t="str">
        <f t="shared" si="68"/>
        <v>1ST-358-749</v>
      </c>
      <c r="E750" s="19" t="s">
        <v>675</v>
      </c>
      <c r="F750" s="19">
        <f t="shared" si="70"/>
        <v>370</v>
      </c>
      <c r="G750" s="19" t="str">
        <f t="shared" si="69"/>
        <v>PC</v>
      </c>
      <c r="H750" s="18" t="s">
        <v>3112</v>
      </c>
      <c r="I750" s="14" t="s">
        <v>441</v>
      </c>
    </row>
    <row r="751" spans="1:9" ht="26.4" x14ac:dyDescent="0.25">
      <c r="A751" s="17" t="s">
        <v>320</v>
      </c>
      <c r="B751" s="14" t="s">
        <v>190</v>
      </c>
      <c r="C751" s="18" t="s">
        <v>2723</v>
      </c>
      <c r="D751" s="14" t="str">
        <f t="shared" si="68"/>
        <v>1ST-358-750</v>
      </c>
      <c r="E751" s="19" t="s">
        <v>1537</v>
      </c>
      <c r="F751" s="19">
        <f t="shared" si="70"/>
        <v>91</v>
      </c>
      <c r="G751" s="19" t="str">
        <f t="shared" si="69"/>
        <v>PC</v>
      </c>
      <c r="H751" s="18" t="s">
        <v>3113</v>
      </c>
      <c r="I751" s="14" t="s">
        <v>441</v>
      </c>
    </row>
    <row r="752" spans="1:9" ht="26.4" x14ac:dyDescent="0.25">
      <c r="A752" s="17" t="s">
        <v>320</v>
      </c>
      <c r="B752" s="14" t="s">
        <v>190</v>
      </c>
      <c r="C752" s="18" t="s">
        <v>2724</v>
      </c>
      <c r="D752" s="14" t="str">
        <f t="shared" si="68"/>
        <v>1ST-358-751</v>
      </c>
      <c r="E752" s="19" t="s">
        <v>1538</v>
      </c>
      <c r="F752" s="19">
        <f t="shared" si="70"/>
        <v>93</v>
      </c>
      <c r="G752" s="19" t="str">
        <f t="shared" si="69"/>
        <v>PC</v>
      </c>
      <c r="H752" s="18" t="s">
        <v>3114</v>
      </c>
      <c r="I752" s="14" t="s">
        <v>441</v>
      </c>
    </row>
    <row r="753" spans="1:9" ht="26.4" x14ac:dyDescent="0.25">
      <c r="A753" s="17" t="s">
        <v>320</v>
      </c>
      <c r="B753" s="14" t="s">
        <v>190</v>
      </c>
      <c r="C753" s="18" t="s">
        <v>2725</v>
      </c>
      <c r="D753" s="14" t="str">
        <f t="shared" si="68"/>
        <v>1ST-358-752</v>
      </c>
      <c r="E753" s="19" t="s">
        <v>486</v>
      </c>
      <c r="F753" s="19">
        <f t="shared" si="70"/>
        <v>118</v>
      </c>
      <c r="G753" s="19" t="str">
        <f t="shared" si="69"/>
        <v>PC</v>
      </c>
      <c r="H753" s="18" t="s">
        <v>3115</v>
      </c>
      <c r="I753" s="14" t="s">
        <v>441</v>
      </c>
    </row>
    <row r="754" spans="1:9" ht="26.4" x14ac:dyDescent="0.25">
      <c r="A754" s="17" t="s">
        <v>320</v>
      </c>
      <c r="B754" s="14" t="s">
        <v>190</v>
      </c>
      <c r="C754" s="18" t="s">
        <v>2726</v>
      </c>
      <c r="D754" s="14" t="str">
        <f t="shared" si="68"/>
        <v>1ST-358-753</v>
      </c>
      <c r="E754" s="19" t="s">
        <v>486</v>
      </c>
      <c r="F754" s="19">
        <f t="shared" si="70"/>
        <v>118</v>
      </c>
      <c r="G754" s="19" t="str">
        <f t="shared" si="69"/>
        <v>PC</v>
      </c>
      <c r="H754" s="18" t="s">
        <v>3115</v>
      </c>
      <c r="I754" s="14" t="s">
        <v>441</v>
      </c>
    </row>
    <row r="755" spans="1:9" ht="26.4" x14ac:dyDescent="0.25">
      <c r="A755" s="17" t="s">
        <v>320</v>
      </c>
      <c r="B755" s="14" t="s">
        <v>190</v>
      </c>
      <c r="C755" s="19" t="s">
        <v>2727</v>
      </c>
      <c r="D755" s="14" t="str">
        <f t="shared" si="68"/>
        <v>1ST-358-754</v>
      </c>
      <c r="E755" s="19" t="s">
        <v>1539</v>
      </c>
      <c r="F755" s="19">
        <f t="shared" si="70"/>
        <v>178</v>
      </c>
      <c r="G755" s="19" t="str">
        <f t="shared" si="69"/>
        <v>PC</v>
      </c>
      <c r="H755" s="18" t="s">
        <v>3116</v>
      </c>
      <c r="I755" s="14" t="s">
        <v>441</v>
      </c>
    </row>
    <row r="756" spans="1:9" ht="26.4" x14ac:dyDescent="0.25">
      <c r="A756" s="17" t="s">
        <v>320</v>
      </c>
      <c r="B756" s="14" t="s">
        <v>190</v>
      </c>
      <c r="C756" s="18" t="s">
        <v>2728</v>
      </c>
      <c r="D756" s="14" t="str">
        <f t="shared" si="68"/>
        <v>1ST-358-755</v>
      </c>
      <c r="E756" s="19" t="s">
        <v>486</v>
      </c>
      <c r="F756" s="19">
        <f t="shared" si="70"/>
        <v>118</v>
      </c>
      <c r="G756" s="19" t="str">
        <f t="shared" si="69"/>
        <v>PC</v>
      </c>
      <c r="H756" s="18" t="s">
        <v>3115</v>
      </c>
      <c r="I756" s="14" t="s">
        <v>441</v>
      </c>
    </row>
    <row r="757" spans="1:9" ht="26.4" x14ac:dyDescent="0.25">
      <c r="A757" s="17" t="s">
        <v>320</v>
      </c>
      <c r="B757" s="14" t="s">
        <v>190</v>
      </c>
      <c r="C757" s="18" t="s">
        <v>1540</v>
      </c>
      <c r="D757" s="14" t="str">
        <f t="shared" si="68"/>
        <v>1ST-358-756</v>
      </c>
      <c r="E757" s="19" t="s">
        <v>1541</v>
      </c>
      <c r="F757" s="19">
        <f t="shared" si="70"/>
        <v>83</v>
      </c>
      <c r="G757" s="19" t="str">
        <f t="shared" si="69"/>
        <v>PC</v>
      </c>
      <c r="H757" s="18" t="s">
        <v>3117</v>
      </c>
      <c r="I757" s="14" t="s">
        <v>441</v>
      </c>
    </row>
    <row r="758" spans="1:9" ht="26.4" x14ac:dyDescent="0.25">
      <c r="A758" s="17" t="s">
        <v>320</v>
      </c>
      <c r="B758" s="14" t="s">
        <v>190</v>
      </c>
      <c r="C758" s="18" t="s">
        <v>3118</v>
      </c>
      <c r="D758" s="14" t="str">
        <f t="shared" si="68"/>
        <v>1ST-358-757</v>
      </c>
      <c r="E758" s="19" t="s">
        <v>1100</v>
      </c>
      <c r="F758" s="19">
        <f t="shared" si="70"/>
        <v>105</v>
      </c>
      <c r="G758" s="19" t="str">
        <f t="shared" si="69"/>
        <v>PC</v>
      </c>
      <c r="H758" s="18" t="s">
        <v>3119</v>
      </c>
      <c r="I758" s="14" t="s">
        <v>441</v>
      </c>
    </row>
    <row r="759" spans="1:9" ht="26.4" x14ac:dyDescent="0.25">
      <c r="A759" s="17" t="s">
        <v>320</v>
      </c>
      <c r="B759" s="14" t="s">
        <v>189</v>
      </c>
      <c r="C759" s="14" t="s">
        <v>789</v>
      </c>
      <c r="D759" s="14" t="str">
        <f t="shared" si="68"/>
        <v>1ST-358-758</v>
      </c>
      <c r="E759" s="14" t="s">
        <v>790</v>
      </c>
      <c r="F759" s="19">
        <f t="shared" si="70"/>
        <v>550</v>
      </c>
      <c r="G759" s="19" t="str">
        <f t="shared" si="69"/>
        <v>PC</v>
      </c>
      <c r="H759" s="20" t="s">
        <v>791</v>
      </c>
      <c r="I759" s="14" t="s">
        <v>441</v>
      </c>
    </row>
    <row r="760" spans="1:9" x14ac:dyDescent="0.25">
      <c r="A760" s="17" t="s">
        <v>320</v>
      </c>
      <c r="B760" s="14" t="s">
        <v>188</v>
      </c>
      <c r="C760" s="18" t="s">
        <v>1542</v>
      </c>
      <c r="D760" s="14" t="str">
        <f t="shared" si="68"/>
        <v>1ST-358-759</v>
      </c>
      <c r="E760" s="18" t="s">
        <v>1543</v>
      </c>
      <c r="F760" s="19">
        <f t="shared" si="70"/>
        <v>150</v>
      </c>
      <c r="G760" s="19" t="str">
        <f t="shared" si="69"/>
        <v>PC</v>
      </c>
      <c r="H760" s="14" t="s">
        <v>792</v>
      </c>
      <c r="I760" s="14" t="s">
        <v>441</v>
      </c>
    </row>
    <row r="761" spans="1:9" x14ac:dyDescent="0.25">
      <c r="A761" s="17" t="s">
        <v>320</v>
      </c>
      <c r="B761" s="14" t="s">
        <v>188</v>
      </c>
      <c r="C761" s="18" t="s">
        <v>1544</v>
      </c>
      <c r="D761" s="14" t="str">
        <f t="shared" si="68"/>
        <v>1ST-358-760</v>
      </c>
      <c r="E761" s="18" t="s">
        <v>977</v>
      </c>
      <c r="F761" s="19">
        <f t="shared" si="70"/>
        <v>100</v>
      </c>
      <c r="G761" s="19" t="str">
        <f t="shared" si="69"/>
        <v>PC</v>
      </c>
      <c r="H761" s="14" t="s">
        <v>441</v>
      </c>
      <c r="I761" s="14" t="s">
        <v>441</v>
      </c>
    </row>
    <row r="762" spans="1:9" x14ac:dyDescent="0.25">
      <c r="A762" s="17" t="s">
        <v>320</v>
      </c>
      <c r="B762" s="14" t="s">
        <v>187</v>
      </c>
      <c r="C762" s="19" t="s">
        <v>1545</v>
      </c>
      <c r="D762" s="14" t="str">
        <f t="shared" si="68"/>
        <v>1ST-358-761</v>
      </c>
      <c r="E762" s="14" t="s">
        <v>443</v>
      </c>
      <c r="F762" s="19">
        <f t="shared" si="70"/>
        <v>90</v>
      </c>
      <c r="G762" s="19" t="str">
        <f t="shared" si="69"/>
        <v>PC</v>
      </c>
      <c r="H762" s="14" t="s">
        <v>793</v>
      </c>
      <c r="I762" s="14" t="s">
        <v>441</v>
      </c>
    </row>
    <row r="763" spans="1:9" ht="26.4" x14ac:dyDescent="0.25">
      <c r="A763" s="17" t="s">
        <v>320</v>
      </c>
      <c r="B763" s="14" t="s">
        <v>187</v>
      </c>
      <c r="C763" s="19" t="s">
        <v>1546</v>
      </c>
      <c r="D763" s="14" t="str">
        <f t="shared" si="68"/>
        <v>1ST-358-762</v>
      </c>
      <c r="E763" s="19" t="s">
        <v>655</v>
      </c>
      <c r="F763" s="19">
        <f t="shared" si="70"/>
        <v>95</v>
      </c>
      <c r="G763" s="19" t="str">
        <f t="shared" si="69"/>
        <v>PC</v>
      </c>
      <c r="H763" s="20" t="s">
        <v>794</v>
      </c>
      <c r="I763" s="14" t="s">
        <v>441</v>
      </c>
    </row>
    <row r="764" spans="1:9" ht="26.4" x14ac:dyDescent="0.25">
      <c r="A764" s="17" t="s">
        <v>320</v>
      </c>
      <c r="B764" s="14" t="s">
        <v>187</v>
      </c>
      <c r="C764" s="18" t="s">
        <v>1547</v>
      </c>
      <c r="D764" s="14" t="str">
        <f t="shared" si="68"/>
        <v>1ST-358-763</v>
      </c>
      <c r="E764" s="19" t="s">
        <v>655</v>
      </c>
      <c r="F764" s="19">
        <f t="shared" si="70"/>
        <v>95</v>
      </c>
      <c r="G764" s="19" t="str">
        <f t="shared" si="69"/>
        <v>PC</v>
      </c>
      <c r="H764" s="20" t="s">
        <v>794</v>
      </c>
      <c r="I764" s="14" t="s">
        <v>441</v>
      </c>
    </row>
    <row r="765" spans="1:9" ht="26.4" x14ac:dyDescent="0.25">
      <c r="A765" s="17" t="s">
        <v>320</v>
      </c>
      <c r="B765" s="14" t="s">
        <v>187</v>
      </c>
      <c r="C765" s="19" t="s">
        <v>1548</v>
      </c>
      <c r="D765" s="14" t="str">
        <f t="shared" si="68"/>
        <v>1ST-358-764</v>
      </c>
      <c r="E765" s="19" t="s">
        <v>655</v>
      </c>
      <c r="F765" s="19">
        <f t="shared" si="70"/>
        <v>95</v>
      </c>
      <c r="G765" s="19" t="str">
        <f t="shared" si="69"/>
        <v>PC</v>
      </c>
      <c r="H765" s="20" t="s">
        <v>794</v>
      </c>
      <c r="I765" s="14" t="s">
        <v>441</v>
      </c>
    </row>
    <row r="766" spans="1:9" ht="26.4" x14ac:dyDescent="0.25">
      <c r="A766" s="17" t="s">
        <v>320</v>
      </c>
      <c r="B766" s="14" t="s">
        <v>186</v>
      </c>
      <c r="C766" s="18" t="s">
        <v>3799</v>
      </c>
      <c r="D766" s="14" t="str">
        <f t="shared" si="68"/>
        <v>1ST-358-765</v>
      </c>
      <c r="E766" s="18" t="s">
        <v>1549</v>
      </c>
      <c r="F766" s="19">
        <f t="shared" si="70"/>
        <v>15.5</v>
      </c>
      <c r="G766" s="19" t="str">
        <f t="shared" si="69"/>
        <v>PC</v>
      </c>
      <c r="H766" s="18" t="s">
        <v>3120</v>
      </c>
      <c r="I766" s="14" t="s">
        <v>441</v>
      </c>
    </row>
    <row r="767" spans="1:9" ht="26.4" x14ac:dyDescent="0.25">
      <c r="A767" s="17" t="s">
        <v>320</v>
      </c>
      <c r="B767" s="14" t="s">
        <v>186</v>
      </c>
      <c r="C767" s="18" t="s">
        <v>1550</v>
      </c>
      <c r="D767" s="14" t="str">
        <f t="shared" si="68"/>
        <v>1ST-358-766</v>
      </c>
      <c r="E767" s="18" t="s">
        <v>911</v>
      </c>
      <c r="F767" s="19">
        <f t="shared" si="70"/>
        <v>20</v>
      </c>
      <c r="G767" s="19" t="str">
        <f t="shared" si="69"/>
        <v>PC</v>
      </c>
      <c r="H767" s="18" t="s">
        <v>3121</v>
      </c>
      <c r="I767" s="14" t="s">
        <v>441</v>
      </c>
    </row>
    <row r="768" spans="1:9" x14ac:dyDescent="0.25">
      <c r="A768" s="17" t="s">
        <v>320</v>
      </c>
      <c r="B768" s="14" t="s">
        <v>186</v>
      </c>
      <c r="C768" s="18" t="s">
        <v>1551</v>
      </c>
      <c r="D768" s="14" t="str">
        <f t="shared" si="68"/>
        <v>1ST-358-767</v>
      </c>
      <c r="E768" s="18" t="s">
        <v>961</v>
      </c>
      <c r="F768" s="19">
        <f t="shared" si="70"/>
        <v>25</v>
      </c>
      <c r="G768" s="19" t="str">
        <f t="shared" si="69"/>
        <v>PC</v>
      </c>
      <c r="H768" s="18" t="s">
        <v>2729</v>
      </c>
      <c r="I768" s="14" t="s">
        <v>441</v>
      </c>
    </row>
    <row r="769" spans="1:9" ht="26.4" x14ac:dyDescent="0.25">
      <c r="A769" s="17" t="s">
        <v>320</v>
      </c>
      <c r="B769" s="14" t="s">
        <v>186</v>
      </c>
      <c r="C769" s="18" t="s">
        <v>1552</v>
      </c>
      <c r="D769" s="14" t="str">
        <f t="shared" si="68"/>
        <v>1ST-358-768</v>
      </c>
      <c r="E769" s="18" t="s">
        <v>963</v>
      </c>
      <c r="F769" s="19">
        <f t="shared" si="70"/>
        <v>8.5</v>
      </c>
      <c r="G769" s="19" t="str">
        <f t="shared" si="69"/>
        <v>PC</v>
      </c>
      <c r="H769" s="18" t="s">
        <v>3122</v>
      </c>
      <c r="I769" s="14" t="s">
        <v>441</v>
      </c>
    </row>
    <row r="770" spans="1:9" ht="26.4" x14ac:dyDescent="0.25">
      <c r="A770" s="17" t="s">
        <v>320</v>
      </c>
      <c r="B770" s="14" t="s">
        <v>186</v>
      </c>
      <c r="C770" s="18" t="s">
        <v>1553</v>
      </c>
      <c r="D770" s="14" t="str">
        <f t="shared" si="68"/>
        <v>1ST-358-769</v>
      </c>
      <c r="E770" s="18" t="s">
        <v>1554</v>
      </c>
      <c r="F770" s="19">
        <f t="shared" si="70"/>
        <v>10.5</v>
      </c>
      <c r="G770" s="19" t="str">
        <f t="shared" si="69"/>
        <v>PC</v>
      </c>
      <c r="H770" s="18" t="s">
        <v>3123</v>
      </c>
      <c r="I770" s="14" t="s">
        <v>441</v>
      </c>
    </row>
    <row r="771" spans="1:9" ht="26.4" x14ac:dyDescent="0.25">
      <c r="A771" s="17" t="s">
        <v>320</v>
      </c>
      <c r="B771" s="14" t="s">
        <v>186</v>
      </c>
      <c r="C771" s="18" t="s">
        <v>1555</v>
      </c>
      <c r="D771" s="14" t="str">
        <f t="shared" si="68"/>
        <v>1ST-358-770</v>
      </c>
      <c r="E771" s="18" t="s">
        <v>1556</v>
      </c>
      <c r="F771" s="19">
        <f t="shared" si="70"/>
        <v>19</v>
      </c>
      <c r="G771" s="19" t="str">
        <f t="shared" si="69"/>
        <v>PC</v>
      </c>
      <c r="H771" s="18" t="s">
        <v>3124</v>
      </c>
      <c r="I771" s="14" t="s">
        <v>441</v>
      </c>
    </row>
    <row r="772" spans="1:9" x14ac:dyDescent="0.25">
      <c r="A772" s="17" t="s">
        <v>320</v>
      </c>
      <c r="B772" s="14" t="s">
        <v>185</v>
      </c>
      <c r="C772" s="18" t="s">
        <v>1557</v>
      </c>
      <c r="D772" s="14" t="str">
        <f t="shared" si="68"/>
        <v>1ST-358-771</v>
      </c>
      <c r="E772" s="18" t="s">
        <v>666</v>
      </c>
      <c r="F772" s="19">
        <f t="shared" si="70"/>
        <v>147</v>
      </c>
      <c r="G772" s="19" t="str">
        <f t="shared" si="69"/>
        <v>PC</v>
      </c>
      <c r="H772" s="19" t="s">
        <v>2730</v>
      </c>
      <c r="I772" s="14" t="s">
        <v>441</v>
      </c>
    </row>
    <row r="773" spans="1:9" x14ac:dyDescent="0.25">
      <c r="A773" s="17" t="s">
        <v>320</v>
      </c>
      <c r="B773" s="14" t="s">
        <v>185</v>
      </c>
      <c r="C773" s="18" t="s">
        <v>1558</v>
      </c>
      <c r="D773" s="14" t="str">
        <f t="shared" ref="D773:D836" si="71">LEFT($D$2,FIND("-",$D$2,FIND("-",$D$2)+1)) &amp; TEXT(RIGHT($D$2,3)+ROW(D771),"000")</f>
        <v>1ST-358-772</v>
      </c>
      <c r="E773" s="19" t="s">
        <v>666</v>
      </c>
      <c r="F773" s="19">
        <f t="shared" si="70"/>
        <v>147</v>
      </c>
      <c r="G773" s="19" t="str">
        <f t="shared" si="69"/>
        <v>PC</v>
      </c>
      <c r="H773" s="19" t="s">
        <v>2730</v>
      </c>
      <c r="I773" s="14" t="s">
        <v>441</v>
      </c>
    </row>
    <row r="774" spans="1:9" x14ac:dyDescent="0.25">
      <c r="A774" s="17" t="s">
        <v>320</v>
      </c>
      <c r="B774" s="14" t="s">
        <v>184</v>
      </c>
      <c r="C774" s="18" t="s">
        <v>1559</v>
      </c>
      <c r="D774" s="14" t="str">
        <f t="shared" si="71"/>
        <v>1ST-358-773</v>
      </c>
      <c r="E774" s="14" t="s">
        <v>795</v>
      </c>
      <c r="F774" s="19">
        <f t="shared" si="70"/>
        <v>81</v>
      </c>
      <c r="G774" s="19" t="str">
        <f t="shared" si="69"/>
        <v>PC</v>
      </c>
      <c r="H774" s="14" t="s">
        <v>797</v>
      </c>
      <c r="I774" s="14" t="s">
        <v>441</v>
      </c>
    </row>
    <row r="775" spans="1:9" x14ac:dyDescent="0.25">
      <c r="A775" s="17" t="s">
        <v>320</v>
      </c>
      <c r="B775" s="14" t="s">
        <v>184</v>
      </c>
      <c r="C775" s="19" t="s">
        <v>1560</v>
      </c>
      <c r="D775" s="14" t="str">
        <f t="shared" si="71"/>
        <v>1ST-358-774</v>
      </c>
      <c r="E775" s="14" t="s">
        <v>795</v>
      </c>
      <c r="F775" s="19">
        <f t="shared" si="70"/>
        <v>81</v>
      </c>
      <c r="G775" s="19" t="str">
        <f t="shared" si="69"/>
        <v>PC</v>
      </c>
      <c r="H775" s="14" t="s">
        <v>797</v>
      </c>
      <c r="I775" s="14" t="s">
        <v>441</v>
      </c>
    </row>
    <row r="776" spans="1:9" x14ac:dyDescent="0.25">
      <c r="A776" s="17" t="s">
        <v>320</v>
      </c>
      <c r="B776" s="14" t="s">
        <v>184</v>
      </c>
      <c r="C776" s="18" t="s">
        <v>1561</v>
      </c>
      <c r="D776" s="14" t="str">
        <f t="shared" si="71"/>
        <v>1ST-358-775</v>
      </c>
      <c r="E776" s="14" t="s">
        <v>796</v>
      </c>
      <c r="F776" s="19">
        <f t="shared" si="70"/>
        <v>73</v>
      </c>
      <c r="G776" s="19" t="str">
        <f t="shared" si="69"/>
        <v>PC</v>
      </c>
      <c r="H776" s="14" t="s">
        <v>798</v>
      </c>
      <c r="I776" s="14" t="s">
        <v>441</v>
      </c>
    </row>
    <row r="777" spans="1:9" x14ac:dyDescent="0.25">
      <c r="A777" s="17" t="s">
        <v>320</v>
      </c>
      <c r="B777" s="14" t="s">
        <v>184</v>
      </c>
      <c r="C777" s="19" t="s">
        <v>1562</v>
      </c>
      <c r="D777" s="14" t="str">
        <f t="shared" si="71"/>
        <v>1ST-358-776</v>
      </c>
      <c r="E777" s="14" t="s">
        <v>796</v>
      </c>
      <c r="F777" s="19">
        <f t="shared" si="70"/>
        <v>73</v>
      </c>
      <c r="G777" s="19" t="str">
        <f t="shared" si="69"/>
        <v>PC</v>
      </c>
      <c r="H777" s="14" t="s">
        <v>798</v>
      </c>
      <c r="I777" s="14" t="s">
        <v>441</v>
      </c>
    </row>
    <row r="778" spans="1:9" ht="26.4" x14ac:dyDescent="0.25">
      <c r="A778" s="17" t="s">
        <v>320</v>
      </c>
      <c r="B778" s="14" t="s">
        <v>183</v>
      </c>
      <c r="C778" s="18" t="s">
        <v>1563</v>
      </c>
      <c r="D778" s="14" t="str">
        <f t="shared" si="71"/>
        <v>1ST-358-777</v>
      </c>
      <c r="E778" s="18" t="s">
        <v>498</v>
      </c>
      <c r="F778" s="19">
        <f t="shared" si="70"/>
        <v>28</v>
      </c>
      <c r="G778" s="19" t="str">
        <f t="shared" si="69"/>
        <v>PC</v>
      </c>
      <c r="H778" s="20" t="s">
        <v>800</v>
      </c>
      <c r="I778" s="14" t="s">
        <v>441</v>
      </c>
    </row>
    <row r="779" spans="1:9" ht="26.4" x14ac:dyDescent="0.25">
      <c r="A779" s="17" t="s">
        <v>320</v>
      </c>
      <c r="B779" s="14" t="s">
        <v>183</v>
      </c>
      <c r="C779" s="18" t="s">
        <v>1564</v>
      </c>
      <c r="D779" s="14" t="str">
        <f t="shared" si="71"/>
        <v>1ST-358-778</v>
      </c>
      <c r="E779" s="14" t="s">
        <v>694</v>
      </c>
      <c r="F779" s="19">
        <f t="shared" si="70"/>
        <v>70</v>
      </c>
      <c r="G779" s="19" t="str">
        <f t="shared" si="69"/>
        <v>PC</v>
      </c>
      <c r="H779" s="20" t="s">
        <v>801</v>
      </c>
      <c r="I779" s="14" t="s">
        <v>441</v>
      </c>
    </row>
    <row r="780" spans="1:9" ht="26.4" x14ac:dyDescent="0.25">
      <c r="A780" s="17" t="s">
        <v>320</v>
      </c>
      <c r="B780" s="14" t="s">
        <v>183</v>
      </c>
      <c r="C780" s="18" t="s">
        <v>1565</v>
      </c>
      <c r="D780" s="14" t="str">
        <f t="shared" si="71"/>
        <v>1ST-358-779</v>
      </c>
      <c r="E780" s="14" t="s">
        <v>694</v>
      </c>
      <c r="F780" s="19">
        <f t="shared" si="70"/>
        <v>70</v>
      </c>
      <c r="G780" s="19" t="str">
        <f t="shared" si="69"/>
        <v>PC</v>
      </c>
      <c r="H780" s="20" t="s">
        <v>801</v>
      </c>
      <c r="I780" s="14" t="s">
        <v>441</v>
      </c>
    </row>
    <row r="781" spans="1:9" ht="26.4" x14ac:dyDescent="0.25">
      <c r="A781" s="17" t="s">
        <v>320</v>
      </c>
      <c r="B781" s="14" t="s">
        <v>183</v>
      </c>
      <c r="C781" s="18" t="s">
        <v>1566</v>
      </c>
      <c r="D781" s="14" t="str">
        <f t="shared" si="71"/>
        <v>1ST-358-780</v>
      </c>
      <c r="E781" s="14" t="s">
        <v>799</v>
      </c>
      <c r="F781" s="19">
        <f t="shared" si="70"/>
        <v>86</v>
      </c>
      <c r="G781" s="19" t="str">
        <f t="shared" si="69"/>
        <v>PC</v>
      </c>
      <c r="H781" s="20" t="s">
        <v>802</v>
      </c>
      <c r="I781" s="14" t="s">
        <v>441</v>
      </c>
    </row>
    <row r="782" spans="1:9" ht="26.4" x14ac:dyDescent="0.25">
      <c r="A782" s="17" t="s">
        <v>320</v>
      </c>
      <c r="B782" s="14" t="s">
        <v>183</v>
      </c>
      <c r="C782" s="18" t="s">
        <v>3800</v>
      </c>
      <c r="D782" s="14" t="str">
        <f t="shared" si="71"/>
        <v>1ST-358-781</v>
      </c>
      <c r="E782" s="14" t="s">
        <v>799</v>
      </c>
      <c r="F782" s="19">
        <f t="shared" si="70"/>
        <v>86</v>
      </c>
      <c r="G782" s="19" t="str">
        <f t="shared" si="69"/>
        <v>PC</v>
      </c>
      <c r="H782" s="20" t="s">
        <v>802</v>
      </c>
      <c r="I782" s="14" t="s">
        <v>441</v>
      </c>
    </row>
    <row r="783" spans="1:9" x14ac:dyDescent="0.25">
      <c r="A783" s="17" t="s">
        <v>320</v>
      </c>
      <c r="B783" s="14" t="s">
        <v>182</v>
      </c>
      <c r="C783" s="18" t="s">
        <v>1567</v>
      </c>
      <c r="D783" s="14" t="str">
        <f t="shared" si="71"/>
        <v>1ST-358-782</v>
      </c>
      <c r="E783" s="19" t="s">
        <v>1191</v>
      </c>
      <c r="F783" s="19">
        <f t="shared" si="70"/>
        <v>29.5</v>
      </c>
      <c r="G783" s="19" t="str">
        <f t="shared" si="69"/>
        <v>PC</v>
      </c>
      <c r="H783" s="18" t="s">
        <v>2731</v>
      </c>
      <c r="I783" s="14" t="s">
        <v>441</v>
      </c>
    </row>
    <row r="784" spans="1:9" ht="26.4" x14ac:dyDescent="0.25">
      <c r="A784" s="17" t="s">
        <v>320</v>
      </c>
      <c r="B784" s="14" t="s">
        <v>182</v>
      </c>
      <c r="C784" s="18" t="s">
        <v>1568</v>
      </c>
      <c r="D784" s="14" t="str">
        <f t="shared" si="71"/>
        <v>1ST-358-783</v>
      </c>
      <c r="E784" s="19" t="s">
        <v>1569</v>
      </c>
      <c r="F784" s="19">
        <f t="shared" si="70"/>
        <v>31</v>
      </c>
      <c r="G784" s="19" t="str">
        <f t="shared" si="69"/>
        <v>PC</v>
      </c>
      <c r="H784" s="18" t="s">
        <v>3125</v>
      </c>
      <c r="I784" s="14" t="s">
        <v>441</v>
      </c>
    </row>
    <row r="785" spans="1:9" ht="26.4" x14ac:dyDescent="0.25">
      <c r="A785" s="17" t="s">
        <v>320</v>
      </c>
      <c r="B785" s="14" t="s">
        <v>182</v>
      </c>
      <c r="C785" s="18" t="s">
        <v>1570</v>
      </c>
      <c r="D785" s="14" t="str">
        <f t="shared" si="71"/>
        <v>1ST-358-784</v>
      </c>
      <c r="E785" s="19" t="s">
        <v>904</v>
      </c>
      <c r="F785" s="19">
        <f t="shared" si="70"/>
        <v>33</v>
      </c>
      <c r="G785" s="19" t="str">
        <f t="shared" si="69"/>
        <v>PC</v>
      </c>
      <c r="H785" s="18" t="s">
        <v>3126</v>
      </c>
      <c r="I785" s="14" t="s">
        <v>441</v>
      </c>
    </row>
    <row r="786" spans="1:9" x14ac:dyDescent="0.25">
      <c r="A786" s="17" t="s">
        <v>320</v>
      </c>
      <c r="B786" s="14" t="s">
        <v>182</v>
      </c>
      <c r="C786" s="18" t="s">
        <v>1571</v>
      </c>
      <c r="D786" s="14" t="str">
        <f t="shared" si="71"/>
        <v>1ST-358-785</v>
      </c>
      <c r="E786" s="19" t="s">
        <v>1572</v>
      </c>
      <c r="F786" s="19">
        <f t="shared" si="70"/>
        <v>35.5</v>
      </c>
      <c r="G786" s="19" t="str">
        <f t="shared" si="69"/>
        <v>PC</v>
      </c>
      <c r="H786" s="18" t="s">
        <v>2732</v>
      </c>
      <c r="I786" s="14" t="s">
        <v>441</v>
      </c>
    </row>
    <row r="787" spans="1:9" ht="26.4" x14ac:dyDescent="0.25">
      <c r="A787" s="17" t="s">
        <v>320</v>
      </c>
      <c r="B787" s="14" t="s">
        <v>181</v>
      </c>
      <c r="C787" s="18" t="s">
        <v>1573</v>
      </c>
      <c r="D787" s="14" t="str">
        <f t="shared" si="71"/>
        <v>1ST-358-786</v>
      </c>
      <c r="E787" s="18" t="s">
        <v>911</v>
      </c>
      <c r="F787" s="19">
        <f t="shared" si="70"/>
        <v>20</v>
      </c>
      <c r="G787" s="19" t="str">
        <f t="shared" si="69"/>
        <v>PC</v>
      </c>
      <c r="H787" s="18" t="s">
        <v>3127</v>
      </c>
      <c r="I787" s="14" t="s">
        <v>441</v>
      </c>
    </row>
    <row r="788" spans="1:9" ht="26.4" x14ac:dyDescent="0.25">
      <c r="A788" s="17" t="s">
        <v>320</v>
      </c>
      <c r="B788" s="14" t="s">
        <v>181</v>
      </c>
      <c r="C788" s="18" t="s">
        <v>1574</v>
      </c>
      <c r="D788" s="14" t="str">
        <f t="shared" si="71"/>
        <v>1ST-358-787</v>
      </c>
      <c r="E788" s="18" t="s">
        <v>1575</v>
      </c>
      <c r="F788" s="19">
        <f t="shared" si="70"/>
        <v>22</v>
      </c>
      <c r="G788" s="19" t="str">
        <f t="shared" si="69"/>
        <v>PC</v>
      </c>
      <c r="H788" s="18" t="s">
        <v>3103</v>
      </c>
      <c r="I788" s="14" t="s">
        <v>441</v>
      </c>
    </row>
    <row r="789" spans="1:9" ht="26.4" x14ac:dyDescent="0.25">
      <c r="A789" s="17" t="s">
        <v>320</v>
      </c>
      <c r="B789" s="14" t="s">
        <v>181</v>
      </c>
      <c r="C789" s="18" t="s">
        <v>1576</v>
      </c>
      <c r="D789" s="14" t="str">
        <f t="shared" si="71"/>
        <v>1ST-358-788</v>
      </c>
      <c r="E789" s="18" t="s">
        <v>1178</v>
      </c>
      <c r="F789" s="19">
        <f t="shared" si="70"/>
        <v>24</v>
      </c>
      <c r="G789" s="19" t="str">
        <f t="shared" si="69"/>
        <v>PC</v>
      </c>
      <c r="H789" s="18" t="s">
        <v>3128</v>
      </c>
      <c r="I789" s="14" t="s">
        <v>441</v>
      </c>
    </row>
    <row r="790" spans="1:9" ht="26.4" x14ac:dyDescent="0.25">
      <c r="A790" s="17" t="s">
        <v>320</v>
      </c>
      <c r="B790" s="14" t="s">
        <v>181</v>
      </c>
      <c r="C790" s="18" t="s">
        <v>1577</v>
      </c>
      <c r="D790" s="14" t="str">
        <f t="shared" si="71"/>
        <v>1ST-358-789</v>
      </c>
      <c r="E790" s="18" t="s">
        <v>961</v>
      </c>
      <c r="F790" s="19">
        <f t="shared" si="70"/>
        <v>25</v>
      </c>
      <c r="G790" s="19" t="str">
        <f t="shared" si="69"/>
        <v>PC</v>
      </c>
      <c r="H790" s="18" t="s">
        <v>3104</v>
      </c>
      <c r="I790" s="14" t="s">
        <v>441</v>
      </c>
    </row>
    <row r="791" spans="1:9" ht="26.4" x14ac:dyDescent="0.25">
      <c r="A791" s="17" t="s">
        <v>320</v>
      </c>
      <c r="B791" s="14" t="s">
        <v>181</v>
      </c>
      <c r="C791" s="18" t="s">
        <v>1578</v>
      </c>
      <c r="D791" s="14" t="str">
        <f t="shared" si="71"/>
        <v>1ST-358-790</v>
      </c>
      <c r="E791" s="18" t="s">
        <v>498</v>
      </c>
      <c r="F791" s="19">
        <f t="shared" si="70"/>
        <v>28</v>
      </c>
      <c r="G791" s="19" t="str">
        <f t="shared" si="69"/>
        <v>PC</v>
      </c>
      <c r="H791" s="18" t="s">
        <v>3085</v>
      </c>
      <c r="I791" s="14" t="s">
        <v>441</v>
      </c>
    </row>
    <row r="792" spans="1:9" x14ac:dyDescent="0.25">
      <c r="A792" s="17" t="s">
        <v>320</v>
      </c>
      <c r="B792" s="14" t="s">
        <v>180</v>
      </c>
      <c r="C792" s="19" t="s">
        <v>1579</v>
      </c>
      <c r="D792" s="14" t="str">
        <f t="shared" si="71"/>
        <v>1ST-358-791</v>
      </c>
      <c r="E792" s="19" t="s">
        <v>1580</v>
      </c>
      <c r="F792" s="19">
        <f t="shared" si="70"/>
        <v>40</v>
      </c>
      <c r="G792" s="19" t="str">
        <f t="shared" si="69"/>
        <v>DOZ</v>
      </c>
      <c r="H792" s="18" t="s">
        <v>2733</v>
      </c>
      <c r="I792" s="14" t="s">
        <v>441</v>
      </c>
    </row>
    <row r="793" spans="1:9" x14ac:dyDescent="0.25">
      <c r="A793" s="17" t="s">
        <v>320</v>
      </c>
      <c r="B793" s="14" t="s">
        <v>180</v>
      </c>
      <c r="C793" s="19" t="s">
        <v>1581</v>
      </c>
      <c r="D793" s="14" t="str">
        <f t="shared" si="71"/>
        <v>1ST-358-792</v>
      </c>
      <c r="E793" s="19" t="s">
        <v>1582</v>
      </c>
      <c r="F793" s="19">
        <f t="shared" si="70"/>
        <v>45</v>
      </c>
      <c r="G793" s="19" t="str">
        <f t="shared" si="69"/>
        <v>DOZ</v>
      </c>
      <c r="H793" s="18" t="s">
        <v>2734</v>
      </c>
      <c r="I793" s="14" t="s">
        <v>441</v>
      </c>
    </row>
    <row r="794" spans="1:9" ht="26.4" x14ac:dyDescent="0.25">
      <c r="A794" s="17" t="s">
        <v>320</v>
      </c>
      <c r="B794" s="14" t="s">
        <v>179</v>
      </c>
      <c r="C794" s="19" t="s">
        <v>1583</v>
      </c>
      <c r="D794" s="14" t="str">
        <f t="shared" si="71"/>
        <v>1ST-358-793</v>
      </c>
      <c r="E794" s="19" t="s">
        <v>615</v>
      </c>
      <c r="F794" s="19">
        <f t="shared" si="70"/>
        <v>125</v>
      </c>
      <c r="G794" s="19" t="str">
        <f t="shared" si="69"/>
        <v>PC</v>
      </c>
      <c r="H794" s="18" t="s">
        <v>3129</v>
      </c>
      <c r="I794" s="14" t="s">
        <v>441</v>
      </c>
    </row>
    <row r="795" spans="1:9" ht="26.4" x14ac:dyDescent="0.25">
      <c r="A795" s="17" t="s">
        <v>320</v>
      </c>
      <c r="B795" s="14" t="s">
        <v>179</v>
      </c>
      <c r="C795" s="19" t="s">
        <v>1584</v>
      </c>
      <c r="D795" s="14" t="str">
        <f t="shared" si="71"/>
        <v>1ST-358-794</v>
      </c>
      <c r="E795" s="19" t="s">
        <v>1543</v>
      </c>
      <c r="F795" s="19">
        <f t="shared" si="70"/>
        <v>150</v>
      </c>
      <c r="G795" s="19" t="str">
        <f t="shared" si="69"/>
        <v>PC</v>
      </c>
      <c r="H795" s="18" t="s">
        <v>3130</v>
      </c>
      <c r="I795" s="14" t="s">
        <v>441</v>
      </c>
    </row>
    <row r="796" spans="1:9" ht="26.4" x14ac:dyDescent="0.25">
      <c r="A796" s="17" t="s">
        <v>320</v>
      </c>
      <c r="B796" s="14" t="s">
        <v>179</v>
      </c>
      <c r="C796" s="19" t="s">
        <v>1585</v>
      </c>
      <c r="D796" s="14" t="str">
        <f t="shared" si="71"/>
        <v>1ST-358-795</v>
      </c>
      <c r="E796" s="19" t="s">
        <v>1543</v>
      </c>
      <c r="F796" s="19">
        <f t="shared" si="70"/>
        <v>150</v>
      </c>
      <c r="G796" s="19" t="str">
        <f t="shared" ref="G796:G859" si="72">TRIM(MID(E796,FIND("/",E796)+1,LEN(E796)))</f>
        <v>PC</v>
      </c>
      <c r="H796" s="18" t="s">
        <v>3131</v>
      </c>
      <c r="I796" s="14" t="s">
        <v>441</v>
      </c>
    </row>
    <row r="797" spans="1:9" ht="26.4" x14ac:dyDescent="0.25">
      <c r="A797" s="17" t="s">
        <v>320</v>
      </c>
      <c r="B797" s="14" t="s">
        <v>179</v>
      </c>
      <c r="C797" s="19" t="s">
        <v>1586</v>
      </c>
      <c r="D797" s="14" t="str">
        <f t="shared" si="71"/>
        <v>1ST-358-796</v>
      </c>
      <c r="E797" s="19" t="s">
        <v>683</v>
      </c>
      <c r="F797" s="19">
        <f t="shared" si="70"/>
        <v>235</v>
      </c>
      <c r="G797" s="19" t="str">
        <f t="shared" si="72"/>
        <v>PC</v>
      </c>
      <c r="H797" s="18" t="s">
        <v>3132</v>
      </c>
      <c r="I797" s="14" t="s">
        <v>441</v>
      </c>
    </row>
    <row r="798" spans="1:9" ht="26.4" x14ac:dyDescent="0.25">
      <c r="A798" s="17" t="s">
        <v>320</v>
      </c>
      <c r="B798" s="14" t="s">
        <v>178</v>
      </c>
      <c r="C798" s="18" t="s">
        <v>1587</v>
      </c>
      <c r="D798" s="14" t="str">
        <f t="shared" si="71"/>
        <v>1ST-358-797</v>
      </c>
      <c r="E798" s="18" t="s">
        <v>1588</v>
      </c>
      <c r="F798" s="19">
        <f t="shared" si="70"/>
        <v>69</v>
      </c>
      <c r="G798" s="19" t="str">
        <f t="shared" si="72"/>
        <v>PC</v>
      </c>
      <c r="H798" s="18" t="s">
        <v>3133</v>
      </c>
      <c r="I798" s="14" t="s">
        <v>441</v>
      </c>
    </row>
    <row r="799" spans="1:9" ht="26.4" x14ac:dyDescent="0.25">
      <c r="A799" s="17" t="s">
        <v>320</v>
      </c>
      <c r="B799" s="14" t="s">
        <v>178</v>
      </c>
      <c r="C799" s="18" t="s">
        <v>1589</v>
      </c>
      <c r="D799" s="14" t="str">
        <f t="shared" si="71"/>
        <v>1ST-358-798</v>
      </c>
      <c r="E799" s="18" t="s">
        <v>686</v>
      </c>
      <c r="F799" s="19">
        <f t="shared" si="70"/>
        <v>87</v>
      </c>
      <c r="G799" s="19" t="str">
        <f t="shared" si="72"/>
        <v>PC</v>
      </c>
      <c r="H799" s="18" t="s">
        <v>3134</v>
      </c>
      <c r="I799" s="14" t="s">
        <v>441</v>
      </c>
    </row>
    <row r="800" spans="1:9" x14ac:dyDescent="0.25">
      <c r="A800" s="17" t="s">
        <v>320</v>
      </c>
      <c r="B800" s="14" t="s">
        <v>178</v>
      </c>
      <c r="C800" s="18" t="s">
        <v>1590</v>
      </c>
      <c r="D800" s="14" t="str">
        <f t="shared" si="71"/>
        <v>1ST-358-799</v>
      </c>
      <c r="E800" s="18" t="s">
        <v>1047</v>
      </c>
      <c r="F800" s="19">
        <f t="shared" si="70"/>
        <v>84</v>
      </c>
      <c r="G800" s="19" t="str">
        <f t="shared" si="72"/>
        <v>PC</v>
      </c>
      <c r="H800" s="18" t="s">
        <v>2735</v>
      </c>
      <c r="I800" s="14" t="s">
        <v>441</v>
      </c>
    </row>
    <row r="801" spans="1:9" ht="26.4" x14ac:dyDescent="0.25">
      <c r="A801" s="17" t="s">
        <v>320</v>
      </c>
      <c r="B801" s="14" t="s">
        <v>178</v>
      </c>
      <c r="C801" s="18" t="s">
        <v>1591</v>
      </c>
      <c r="D801" s="14" t="str">
        <f t="shared" si="71"/>
        <v>1ST-358-800</v>
      </c>
      <c r="E801" s="18" t="s">
        <v>655</v>
      </c>
      <c r="F801" s="19">
        <f t="shared" si="70"/>
        <v>95</v>
      </c>
      <c r="G801" s="19" t="str">
        <f t="shared" si="72"/>
        <v>PC</v>
      </c>
      <c r="H801" s="18" t="s">
        <v>2736</v>
      </c>
      <c r="I801" s="14" t="s">
        <v>441</v>
      </c>
    </row>
    <row r="802" spans="1:9" x14ac:dyDescent="0.25">
      <c r="A802" s="17" t="s">
        <v>320</v>
      </c>
      <c r="B802" s="14" t="s">
        <v>178</v>
      </c>
      <c r="C802" s="18" t="s">
        <v>1592</v>
      </c>
      <c r="D802" s="14" t="str">
        <f t="shared" si="71"/>
        <v>1ST-358-801</v>
      </c>
      <c r="E802" s="18" t="s">
        <v>1593</v>
      </c>
      <c r="F802" s="19">
        <f t="shared" si="70"/>
        <v>67</v>
      </c>
      <c r="G802" s="19" t="str">
        <f t="shared" si="72"/>
        <v>PC</v>
      </c>
      <c r="H802" s="18" t="s">
        <v>2737</v>
      </c>
      <c r="I802" s="14" t="s">
        <v>441</v>
      </c>
    </row>
    <row r="803" spans="1:9" ht="26.4" x14ac:dyDescent="0.25">
      <c r="A803" s="17" t="s">
        <v>320</v>
      </c>
      <c r="B803" s="14" t="s">
        <v>178</v>
      </c>
      <c r="C803" s="18" t="s">
        <v>1594</v>
      </c>
      <c r="D803" s="14" t="str">
        <f t="shared" si="71"/>
        <v>1ST-358-802</v>
      </c>
      <c r="E803" s="18" t="s">
        <v>1541</v>
      </c>
      <c r="F803" s="19">
        <f t="shared" si="70"/>
        <v>83</v>
      </c>
      <c r="G803" s="19" t="str">
        <f t="shared" si="72"/>
        <v>PC</v>
      </c>
      <c r="H803" s="18" t="s">
        <v>3135</v>
      </c>
      <c r="I803" s="14" t="s">
        <v>441</v>
      </c>
    </row>
    <row r="804" spans="1:9" ht="26.4" x14ac:dyDescent="0.25">
      <c r="A804" s="17" t="s">
        <v>320</v>
      </c>
      <c r="B804" s="14" t="s">
        <v>177</v>
      </c>
      <c r="C804" s="19" t="s">
        <v>1595</v>
      </c>
      <c r="D804" s="14" t="str">
        <f t="shared" si="71"/>
        <v>1ST-358-803</v>
      </c>
      <c r="E804" s="19" t="s">
        <v>650</v>
      </c>
      <c r="F804" s="19">
        <f t="shared" si="70"/>
        <v>78</v>
      </c>
      <c r="G804" s="19" t="str">
        <f t="shared" si="72"/>
        <v>PC</v>
      </c>
      <c r="H804" s="18" t="s">
        <v>3136</v>
      </c>
      <c r="I804" s="14" t="s">
        <v>441</v>
      </c>
    </row>
    <row r="805" spans="1:9" ht="26.4" x14ac:dyDescent="0.25">
      <c r="A805" s="17" t="s">
        <v>320</v>
      </c>
      <c r="B805" s="14" t="s">
        <v>177</v>
      </c>
      <c r="C805" s="19" t="s">
        <v>1596</v>
      </c>
      <c r="D805" s="14" t="str">
        <f t="shared" si="71"/>
        <v>1ST-358-804</v>
      </c>
      <c r="E805" s="19" t="s">
        <v>1221</v>
      </c>
      <c r="F805" s="19">
        <f t="shared" si="70"/>
        <v>92</v>
      </c>
      <c r="G805" s="19" t="str">
        <f t="shared" si="72"/>
        <v>PC</v>
      </c>
      <c r="H805" s="18" t="s">
        <v>3137</v>
      </c>
      <c r="I805" s="14" t="s">
        <v>441</v>
      </c>
    </row>
    <row r="806" spans="1:9" ht="26.4" x14ac:dyDescent="0.25">
      <c r="A806" s="17" t="s">
        <v>320</v>
      </c>
      <c r="B806" s="14" t="s">
        <v>177</v>
      </c>
      <c r="C806" s="19" t="s">
        <v>1597</v>
      </c>
      <c r="D806" s="14" t="str">
        <f t="shared" si="71"/>
        <v>1ST-358-805</v>
      </c>
      <c r="E806" s="19" t="s">
        <v>1598</v>
      </c>
      <c r="F806" s="19">
        <f t="shared" si="70"/>
        <v>119</v>
      </c>
      <c r="G806" s="19" t="str">
        <f t="shared" si="72"/>
        <v>PC</v>
      </c>
      <c r="H806" s="18" t="s">
        <v>3138</v>
      </c>
      <c r="I806" s="14" t="s">
        <v>441</v>
      </c>
    </row>
    <row r="807" spans="1:9" ht="26.4" x14ac:dyDescent="0.25">
      <c r="A807" s="17" t="s">
        <v>320</v>
      </c>
      <c r="B807" s="14" t="s">
        <v>177</v>
      </c>
      <c r="C807" s="19" t="s">
        <v>1599</v>
      </c>
      <c r="D807" s="14" t="str">
        <f t="shared" si="71"/>
        <v>1ST-358-806</v>
      </c>
      <c r="E807" s="19" t="s">
        <v>1600</v>
      </c>
      <c r="F807" s="19">
        <f t="shared" si="70"/>
        <v>141</v>
      </c>
      <c r="G807" s="19" t="str">
        <f t="shared" si="72"/>
        <v>PC</v>
      </c>
      <c r="H807" s="18" t="s">
        <v>3139</v>
      </c>
      <c r="I807" s="14" t="s">
        <v>441</v>
      </c>
    </row>
    <row r="808" spans="1:9" ht="26.4" x14ac:dyDescent="0.25">
      <c r="A808" s="17" t="s">
        <v>320</v>
      </c>
      <c r="B808" s="14" t="s">
        <v>177</v>
      </c>
      <c r="C808" s="19" t="s">
        <v>1601</v>
      </c>
      <c r="D808" s="14" t="str">
        <f t="shared" si="71"/>
        <v>1ST-358-807</v>
      </c>
      <c r="E808" s="19" t="s">
        <v>1602</v>
      </c>
      <c r="F808" s="19">
        <f t="shared" ref="F808:F871" si="73">VALUE(LEFT(E808,FIND("/",E808)-1))</f>
        <v>198</v>
      </c>
      <c r="G808" s="19" t="str">
        <f t="shared" si="72"/>
        <v>PC</v>
      </c>
      <c r="H808" s="18" t="s">
        <v>3140</v>
      </c>
      <c r="I808" s="14" t="s">
        <v>441</v>
      </c>
    </row>
    <row r="809" spans="1:9" ht="39.6" x14ac:dyDescent="0.25">
      <c r="A809" s="17" t="s">
        <v>320</v>
      </c>
      <c r="B809" s="14" t="s">
        <v>177</v>
      </c>
      <c r="C809" s="18" t="s">
        <v>1603</v>
      </c>
      <c r="D809" s="14" t="str">
        <f t="shared" si="71"/>
        <v>1ST-358-808</v>
      </c>
      <c r="E809" s="18" t="s">
        <v>1604</v>
      </c>
      <c r="F809" s="19">
        <f t="shared" si="73"/>
        <v>287</v>
      </c>
      <c r="G809" s="19" t="str">
        <f t="shared" si="72"/>
        <v>PC</v>
      </c>
      <c r="H809" s="18" t="s">
        <v>3141</v>
      </c>
      <c r="I809" s="14" t="s">
        <v>441</v>
      </c>
    </row>
    <row r="810" spans="1:9" ht="26.4" x14ac:dyDescent="0.25">
      <c r="A810" s="17" t="s">
        <v>320</v>
      </c>
      <c r="B810" s="14" t="s">
        <v>177</v>
      </c>
      <c r="C810" s="19" t="s">
        <v>1605</v>
      </c>
      <c r="D810" s="14" t="str">
        <f t="shared" si="71"/>
        <v>1ST-358-809</v>
      </c>
      <c r="E810" s="19" t="s">
        <v>1606</v>
      </c>
      <c r="F810" s="19">
        <f t="shared" si="73"/>
        <v>547</v>
      </c>
      <c r="G810" s="19" t="str">
        <f t="shared" si="72"/>
        <v>PC</v>
      </c>
      <c r="H810" s="18" t="s">
        <v>3142</v>
      </c>
      <c r="I810" s="14" t="s">
        <v>441</v>
      </c>
    </row>
    <row r="811" spans="1:9" ht="26.4" x14ac:dyDescent="0.25">
      <c r="A811" s="17" t="s">
        <v>320</v>
      </c>
      <c r="B811" s="14" t="s">
        <v>176</v>
      </c>
      <c r="C811" s="18" t="s">
        <v>2738</v>
      </c>
      <c r="D811" s="14" t="str">
        <f t="shared" si="71"/>
        <v>1ST-358-810</v>
      </c>
      <c r="E811" s="19" t="s">
        <v>1607</v>
      </c>
      <c r="F811" s="19">
        <f t="shared" si="73"/>
        <v>26</v>
      </c>
      <c r="G811" s="19" t="str">
        <f t="shared" si="72"/>
        <v>SET</v>
      </c>
      <c r="H811" s="18" t="s">
        <v>3143</v>
      </c>
      <c r="I811" s="14" t="s">
        <v>441</v>
      </c>
    </row>
    <row r="812" spans="1:9" ht="26.4" x14ac:dyDescent="0.25">
      <c r="A812" s="17" t="s">
        <v>320</v>
      </c>
      <c r="B812" s="14" t="s">
        <v>176</v>
      </c>
      <c r="C812" s="18" t="s">
        <v>2739</v>
      </c>
      <c r="D812" s="14" t="str">
        <f t="shared" si="71"/>
        <v>1ST-358-811</v>
      </c>
      <c r="E812" s="19" t="s">
        <v>1608</v>
      </c>
      <c r="F812" s="19">
        <f t="shared" si="73"/>
        <v>48</v>
      </c>
      <c r="G812" s="19" t="str">
        <f t="shared" si="72"/>
        <v>SET</v>
      </c>
      <c r="H812" s="18" t="s">
        <v>3144</v>
      </c>
      <c r="I812" s="14" t="s">
        <v>441</v>
      </c>
    </row>
    <row r="813" spans="1:9" ht="26.4" x14ac:dyDescent="0.25">
      <c r="A813" s="17" t="s">
        <v>320</v>
      </c>
      <c r="B813" s="14" t="s">
        <v>176</v>
      </c>
      <c r="C813" s="18" t="s">
        <v>3801</v>
      </c>
      <c r="D813" s="14" t="str">
        <f t="shared" si="71"/>
        <v>1ST-358-812</v>
      </c>
      <c r="E813" s="19" t="s">
        <v>1607</v>
      </c>
      <c r="F813" s="19">
        <f t="shared" si="73"/>
        <v>26</v>
      </c>
      <c r="G813" s="19" t="str">
        <f t="shared" si="72"/>
        <v>SET</v>
      </c>
      <c r="H813" s="18" t="s">
        <v>3143</v>
      </c>
      <c r="I813" s="14" t="s">
        <v>441</v>
      </c>
    </row>
    <row r="814" spans="1:9" ht="26.4" x14ac:dyDescent="0.25">
      <c r="A814" s="17" t="s">
        <v>320</v>
      </c>
      <c r="B814" s="14" t="s">
        <v>176</v>
      </c>
      <c r="C814" s="18" t="s">
        <v>3802</v>
      </c>
      <c r="D814" s="14" t="str">
        <f t="shared" si="71"/>
        <v>1ST-358-813</v>
      </c>
      <c r="E814" s="19" t="s">
        <v>1609</v>
      </c>
      <c r="F814" s="19">
        <f t="shared" si="73"/>
        <v>32</v>
      </c>
      <c r="G814" s="19" t="str">
        <f t="shared" si="72"/>
        <v>SET</v>
      </c>
      <c r="H814" s="18" t="s">
        <v>3145</v>
      </c>
      <c r="I814" s="14" t="s">
        <v>441</v>
      </c>
    </row>
    <row r="815" spans="1:9" ht="26.4" x14ac:dyDescent="0.25">
      <c r="A815" s="17" t="s">
        <v>320</v>
      </c>
      <c r="B815" s="14" t="s">
        <v>176</v>
      </c>
      <c r="C815" s="18" t="s">
        <v>3803</v>
      </c>
      <c r="D815" s="14" t="str">
        <f t="shared" si="71"/>
        <v>1ST-358-814</v>
      </c>
      <c r="E815" s="19" t="s">
        <v>1610</v>
      </c>
      <c r="F815" s="19">
        <f t="shared" si="73"/>
        <v>46</v>
      </c>
      <c r="G815" s="19" t="str">
        <f t="shared" si="72"/>
        <v>SET</v>
      </c>
      <c r="H815" s="18" t="s">
        <v>3146</v>
      </c>
      <c r="I815" s="14" t="s">
        <v>441</v>
      </c>
    </row>
    <row r="816" spans="1:9" x14ac:dyDescent="0.25">
      <c r="A816" s="17" t="s">
        <v>320</v>
      </c>
      <c r="B816" s="14" t="s">
        <v>175</v>
      </c>
      <c r="C816" s="19" t="s">
        <v>1611</v>
      </c>
      <c r="D816" s="14" t="str">
        <f t="shared" si="71"/>
        <v>1ST-358-815</v>
      </c>
      <c r="E816" s="19" t="s">
        <v>877</v>
      </c>
      <c r="F816" s="19">
        <f t="shared" si="73"/>
        <v>101</v>
      </c>
      <c r="G816" s="19" t="str">
        <f t="shared" si="72"/>
        <v>PC</v>
      </c>
      <c r="H816" s="14" t="s">
        <v>441</v>
      </c>
      <c r="I816" s="14" t="s">
        <v>441</v>
      </c>
    </row>
    <row r="817" spans="1:9" x14ac:dyDescent="0.25">
      <c r="A817" s="17" t="s">
        <v>320</v>
      </c>
      <c r="B817" s="14" t="s">
        <v>175</v>
      </c>
      <c r="C817" s="19" t="s">
        <v>1612</v>
      </c>
      <c r="D817" s="14" t="str">
        <f t="shared" si="71"/>
        <v>1ST-358-816</v>
      </c>
      <c r="E817" s="19" t="s">
        <v>877</v>
      </c>
      <c r="F817" s="19">
        <f t="shared" si="73"/>
        <v>101</v>
      </c>
      <c r="G817" s="19" t="str">
        <f t="shared" si="72"/>
        <v>PC</v>
      </c>
      <c r="H817" s="14" t="s">
        <v>441</v>
      </c>
      <c r="I817" s="14" t="s">
        <v>441</v>
      </c>
    </row>
    <row r="818" spans="1:9" x14ac:dyDescent="0.25">
      <c r="A818" s="17" t="s">
        <v>320</v>
      </c>
      <c r="B818" s="14" t="s">
        <v>175</v>
      </c>
      <c r="C818" s="19" t="s">
        <v>1613</v>
      </c>
      <c r="D818" s="14" t="str">
        <f t="shared" si="71"/>
        <v>1ST-358-817</v>
      </c>
      <c r="E818" s="19" t="s">
        <v>877</v>
      </c>
      <c r="F818" s="19">
        <f t="shared" si="73"/>
        <v>101</v>
      </c>
      <c r="G818" s="19" t="str">
        <f t="shared" si="72"/>
        <v>PC</v>
      </c>
      <c r="H818" s="14" t="s">
        <v>441</v>
      </c>
      <c r="I818" s="14" t="s">
        <v>441</v>
      </c>
    </row>
    <row r="819" spans="1:9" ht="26.4" x14ac:dyDescent="0.25">
      <c r="A819" s="17" t="s">
        <v>320</v>
      </c>
      <c r="B819" s="14" t="s">
        <v>174</v>
      </c>
      <c r="C819" s="18" t="s">
        <v>1614</v>
      </c>
      <c r="D819" s="14" t="str">
        <f t="shared" si="71"/>
        <v>1ST-358-818</v>
      </c>
      <c r="E819" s="18" t="s">
        <v>1100</v>
      </c>
      <c r="F819" s="19">
        <f t="shared" si="73"/>
        <v>105</v>
      </c>
      <c r="G819" s="19" t="str">
        <f t="shared" si="72"/>
        <v>PC</v>
      </c>
      <c r="H819" s="18" t="s">
        <v>3147</v>
      </c>
      <c r="I819" s="14" t="s">
        <v>441</v>
      </c>
    </row>
    <row r="820" spans="1:9" ht="26.4" x14ac:dyDescent="0.25">
      <c r="A820" s="17" t="s">
        <v>320</v>
      </c>
      <c r="B820" s="14" t="s">
        <v>174</v>
      </c>
      <c r="C820" s="18" t="s">
        <v>1615</v>
      </c>
      <c r="D820" s="14" t="str">
        <f t="shared" si="71"/>
        <v>1ST-358-819</v>
      </c>
      <c r="E820" s="18" t="s">
        <v>1223</v>
      </c>
      <c r="F820" s="19">
        <f t="shared" si="73"/>
        <v>132</v>
      </c>
      <c r="G820" s="19" t="str">
        <f t="shared" si="72"/>
        <v>PC</v>
      </c>
      <c r="H820" s="18" t="s">
        <v>3001</v>
      </c>
      <c r="I820" s="14" t="s">
        <v>441</v>
      </c>
    </row>
    <row r="821" spans="1:9" ht="26.4" x14ac:dyDescent="0.25">
      <c r="A821" s="17" t="s">
        <v>320</v>
      </c>
      <c r="B821" s="14" t="s">
        <v>174</v>
      </c>
      <c r="C821" s="18" t="s">
        <v>1616</v>
      </c>
      <c r="D821" s="14" t="str">
        <f t="shared" si="71"/>
        <v>1ST-358-820</v>
      </c>
      <c r="E821" s="18" t="s">
        <v>681</v>
      </c>
      <c r="F821" s="19">
        <f t="shared" si="73"/>
        <v>162</v>
      </c>
      <c r="G821" s="19" t="str">
        <f t="shared" si="72"/>
        <v>PC</v>
      </c>
      <c r="H821" s="18" t="s">
        <v>3148</v>
      </c>
      <c r="I821" s="14" t="s">
        <v>441</v>
      </c>
    </row>
    <row r="822" spans="1:9" ht="26.4" x14ac:dyDescent="0.25">
      <c r="A822" s="17" t="s">
        <v>320</v>
      </c>
      <c r="B822" s="14" t="s">
        <v>174</v>
      </c>
      <c r="C822" s="18" t="s">
        <v>1617</v>
      </c>
      <c r="D822" s="14" t="str">
        <f t="shared" si="71"/>
        <v>1ST-358-821</v>
      </c>
      <c r="E822" s="18" t="s">
        <v>1618</v>
      </c>
      <c r="F822" s="19">
        <f t="shared" si="73"/>
        <v>199</v>
      </c>
      <c r="G822" s="19" t="str">
        <f t="shared" si="72"/>
        <v>PC</v>
      </c>
      <c r="H822" s="18" t="s">
        <v>3149</v>
      </c>
      <c r="I822" s="14" t="s">
        <v>441</v>
      </c>
    </row>
    <row r="823" spans="1:9" ht="26.4" x14ac:dyDescent="0.25">
      <c r="A823" s="17" t="s">
        <v>320</v>
      </c>
      <c r="B823" s="14" t="s">
        <v>174</v>
      </c>
      <c r="C823" s="18" t="s">
        <v>1619</v>
      </c>
      <c r="D823" s="14" t="str">
        <f t="shared" si="71"/>
        <v>1ST-358-822</v>
      </c>
      <c r="E823" s="18" t="s">
        <v>1620</v>
      </c>
      <c r="F823" s="19">
        <f t="shared" si="73"/>
        <v>595</v>
      </c>
      <c r="G823" s="19" t="str">
        <f t="shared" si="72"/>
        <v>PC</v>
      </c>
      <c r="H823" s="18" t="s">
        <v>3150</v>
      </c>
      <c r="I823" s="14" t="s">
        <v>441</v>
      </c>
    </row>
    <row r="824" spans="1:9" ht="39.6" x14ac:dyDescent="0.25">
      <c r="A824" s="17" t="s">
        <v>320</v>
      </c>
      <c r="B824" s="14" t="s">
        <v>173</v>
      </c>
      <c r="C824" s="18" t="s">
        <v>1621</v>
      </c>
      <c r="D824" s="14" t="str">
        <f t="shared" si="71"/>
        <v>1ST-358-823</v>
      </c>
      <c r="E824" s="18" t="s">
        <v>1622</v>
      </c>
      <c r="F824" s="19">
        <f t="shared" si="73"/>
        <v>65</v>
      </c>
      <c r="G824" s="19" t="str">
        <f t="shared" si="72"/>
        <v>DOZ</v>
      </c>
      <c r="H824" s="18" t="s">
        <v>3151</v>
      </c>
      <c r="I824" s="14" t="s">
        <v>441</v>
      </c>
    </row>
    <row r="825" spans="1:9" ht="26.4" x14ac:dyDescent="0.25">
      <c r="A825" s="17" t="s">
        <v>320</v>
      </c>
      <c r="B825" s="14" t="s">
        <v>173</v>
      </c>
      <c r="C825" s="18" t="s">
        <v>1623</v>
      </c>
      <c r="D825" s="14" t="str">
        <f t="shared" si="71"/>
        <v>1ST-358-824</v>
      </c>
      <c r="E825" s="18" t="s">
        <v>1624</v>
      </c>
      <c r="F825" s="19">
        <f t="shared" si="73"/>
        <v>68</v>
      </c>
      <c r="G825" s="19" t="str">
        <f t="shared" si="72"/>
        <v>DOZ</v>
      </c>
      <c r="H825" s="18" t="s">
        <v>3152</v>
      </c>
      <c r="I825" s="14" t="s">
        <v>441</v>
      </c>
    </row>
    <row r="826" spans="1:9" ht="26.4" x14ac:dyDescent="0.25">
      <c r="A826" s="17" t="s">
        <v>320</v>
      </c>
      <c r="B826" s="14" t="s">
        <v>173</v>
      </c>
      <c r="C826" s="18" t="s">
        <v>1625</v>
      </c>
      <c r="D826" s="14" t="str">
        <f t="shared" si="71"/>
        <v>1ST-358-825</v>
      </c>
      <c r="E826" s="18" t="s">
        <v>1626</v>
      </c>
      <c r="F826" s="19">
        <f t="shared" si="73"/>
        <v>75</v>
      </c>
      <c r="G826" s="19" t="str">
        <f t="shared" si="72"/>
        <v>DOZ</v>
      </c>
      <c r="H826" s="18" t="s">
        <v>3153</v>
      </c>
      <c r="I826" s="14" t="s">
        <v>441</v>
      </c>
    </row>
    <row r="827" spans="1:9" ht="26.4" x14ac:dyDescent="0.25">
      <c r="A827" s="17" t="s">
        <v>320</v>
      </c>
      <c r="B827" s="14" t="s">
        <v>173</v>
      </c>
      <c r="C827" s="18" t="s">
        <v>1627</v>
      </c>
      <c r="D827" s="14" t="str">
        <f t="shared" si="71"/>
        <v>1ST-358-826</v>
      </c>
      <c r="E827" s="18" t="s">
        <v>1628</v>
      </c>
      <c r="F827" s="19">
        <f t="shared" si="73"/>
        <v>126</v>
      </c>
      <c r="G827" s="19" t="str">
        <f t="shared" si="72"/>
        <v>DOZ</v>
      </c>
      <c r="H827" s="18" t="s">
        <v>3154</v>
      </c>
      <c r="I827" s="14" t="s">
        <v>441</v>
      </c>
    </row>
    <row r="828" spans="1:9" ht="26.4" x14ac:dyDescent="0.25">
      <c r="A828" s="17" t="s">
        <v>320</v>
      </c>
      <c r="B828" s="14" t="s">
        <v>173</v>
      </c>
      <c r="C828" s="18" t="s">
        <v>1629</v>
      </c>
      <c r="D828" s="14" t="str">
        <f t="shared" si="71"/>
        <v>1ST-358-827</v>
      </c>
      <c r="E828" s="18" t="s">
        <v>1630</v>
      </c>
      <c r="F828" s="19">
        <f t="shared" si="73"/>
        <v>160</v>
      </c>
      <c r="G828" s="19" t="str">
        <f t="shared" si="72"/>
        <v>DOZ</v>
      </c>
      <c r="H828" s="18" t="s">
        <v>3155</v>
      </c>
      <c r="I828" s="14" t="s">
        <v>441</v>
      </c>
    </row>
    <row r="829" spans="1:9" ht="39.6" x14ac:dyDescent="0.25">
      <c r="A829" s="17" t="s">
        <v>320</v>
      </c>
      <c r="B829" s="14" t="s">
        <v>173</v>
      </c>
      <c r="C829" s="18" t="s">
        <v>1631</v>
      </c>
      <c r="D829" s="14" t="str">
        <f t="shared" si="71"/>
        <v>1ST-358-828</v>
      </c>
      <c r="E829" s="18" t="s">
        <v>1632</v>
      </c>
      <c r="F829" s="19">
        <f t="shared" si="73"/>
        <v>199</v>
      </c>
      <c r="G829" s="19" t="str">
        <f t="shared" si="72"/>
        <v>DOZ</v>
      </c>
      <c r="H829" s="18" t="s">
        <v>3156</v>
      </c>
      <c r="I829" s="14" t="s">
        <v>441</v>
      </c>
    </row>
    <row r="830" spans="1:9" ht="26.4" x14ac:dyDescent="0.25">
      <c r="A830" s="17" t="s">
        <v>320</v>
      </c>
      <c r="B830" s="14" t="s">
        <v>173</v>
      </c>
      <c r="C830" s="18" t="s">
        <v>1633</v>
      </c>
      <c r="D830" s="14" t="str">
        <f t="shared" si="71"/>
        <v>1ST-358-829</v>
      </c>
      <c r="E830" s="18" t="s">
        <v>1634</v>
      </c>
      <c r="F830" s="19">
        <f t="shared" si="73"/>
        <v>281</v>
      </c>
      <c r="G830" s="19" t="str">
        <f t="shared" si="72"/>
        <v>DOZ</v>
      </c>
      <c r="H830" s="18" t="s">
        <v>3157</v>
      </c>
      <c r="I830" s="14" t="s">
        <v>441</v>
      </c>
    </row>
    <row r="831" spans="1:9" ht="26.4" x14ac:dyDescent="0.25">
      <c r="A831" s="17" t="s">
        <v>320</v>
      </c>
      <c r="B831" s="14" t="s">
        <v>173</v>
      </c>
      <c r="C831" s="18" t="s">
        <v>1635</v>
      </c>
      <c r="D831" s="14" t="str">
        <f t="shared" si="71"/>
        <v>1ST-358-830</v>
      </c>
      <c r="E831" s="18" t="s">
        <v>1636</v>
      </c>
      <c r="F831" s="19">
        <f t="shared" si="73"/>
        <v>380</v>
      </c>
      <c r="G831" s="19" t="str">
        <f t="shared" si="72"/>
        <v>DOZ</v>
      </c>
      <c r="H831" s="18" t="s">
        <v>3158</v>
      </c>
      <c r="I831" s="14" t="s">
        <v>441</v>
      </c>
    </row>
    <row r="832" spans="1:9" ht="66" x14ac:dyDescent="0.25">
      <c r="A832" s="17" t="s">
        <v>320</v>
      </c>
      <c r="B832" s="14" t="s">
        <v>172</v>
      </c>
      <c r="C832" s="18" t="s">
        <v>2740</v>
      </c>
      <c r="D832" s="14" t="str">
        <f t="shared" si="71"/>
        <v>1ST-358-831</v>
      </c>
      <c r="E832" s="18" t="s">
        <v>1637</v>
      </c>
      <c r="F832" s="19">
        <f t="shared" si="73"/>
        <v>36.5</v>
      </c>
      <c r="G832" s="19" t="str">
        <f t="shared" si="72"/>
        <v>PC</v>
      </c>
      <c r="H832" s="20" t="s">
        <v>804</v>
      </c>
      <c r="I832" s="14" t="s">
        <v>441</v>
      </c>
    </row>
    <row r="833" spans="1:9" ht="66" x14ac:dyDescent="0.25">
      <c r="A833" s="17" t="s">
        <v>320</v>
      </c>
      <c r="B833" s="14" t="s">
        <v>172</v>
      </c>
      <c r="C833" s="18" t="s">
        <v>3804</v>
      </c>
      <c r="D833" s="14" t="str">
        <f t="shared" si="71"/>
        <v>1ST-358-832</v>
      </c>
      <c r="E833" s="18" t="s">
        <v>1638</v>
      </c>
      <c r="F833" s="19">
        <f t="shared" si="73"/>
        <v>43.5</v>
      </c>
      <c r="G833" s="19" t="str">
        <f t="shared" si="72"/>
        <v>PC</v>
      </c>
      <c r="H833" s="20" t="s">
        <v>804</v>
      </c>
      <c r="I833" s="14" t="s">
        <v>441</v>
      </c>
    </row>
    <row r="834" spans="1:9" ht="66" x14ac:dyDescent="0.25">
      <c r="A834" s="17" t="s">
        <v>320</v>
      </c>
      <c r="B834" s="14" t="s">
        <v>172</v>
      </c>
      <c r="C834" s="19" t="s">
        <v>2741</v>
      </c>
      <c r="D834" s="14" t="str">
        <f t="shared" si="71"/>
        <v>1ST-358-833</v>
      </c>
      <c r="E834" s="19" t="s">
        <v>922</v>
      </c>
      <c r="F834" s="19">
        <f t="shared" si="73"/>
        <v>17</v>
      </c>
      <c r="G834" s="19" t="str">
        <f t="shared" si="72"/>
        <v>PC</v>
      </c>
      <c r="H834" s="20" t="s">
        <v>804</v>
      </c>
      <c r="I834" s="14" t="s">
        <v>441</v>
      </c>
    </row>
    <row r="835" spans="1:9" ht="66" x14ac:dyDescent="0.25">
      <c r="A835" s="17" t="s">
        <v>320</v>
      </c>
      <c r="B835" s="14" t="s">
        <v>172</v>
      </c>
      <c r="C835" s="19" t="s">
        <v>2742</v>
      </c>
      <c r="D835" s="14" t="str">
        <f t="shared" si="71"/>
        <v>1ST-358-834</v>
      </c>
      <c r="E835" s="19" t="s">
        <v>587</v>
      </c>
      <c r="F835" s="19">
        <f t="shared" si="73"/>
        <v>20.5</v>
      </c>
      <c r="G835" s="19" t="str">
        <f t="shared" si="72"/>
        <v>PC</v>
      </c>
      <c r="H835" s="20" t="s">
        <v>804</v>
      </c>
      <c r="I835" s="14" t="s">
        <v>441</v>
      </c>
    </row>
    <row r="836" spans="1:9" ht="66" x14ac:dyDescent="0.25">
      <c r="A836" s="17" t="s">
        <v>320</v>
      </c>
      <c r="B836" s="14" t="s">
        <v>172</v>
      </c>
      <c r="C836" s="18" t="s">
        <v>2743</v>
      </c>
      <c r="D836" s="14" t="str">
        <f t="shared" si="71"/>
        <v>1ST-358-835</v>
      </c>
      <c r="E836" s="19" t="s">
        <v>1639</v>
      </c>
      <c r="F836" s="19">
        <f t="shared" si="73"/>
        <v>14.5</v>
      </c>
      <c r="G836" s="19" t="str">
        <f t="shared" si="72"/>
        <v>PC</v>
      </c>
      <c r="H836" s="20" t="s">
        <v>804</v>
      </c>
      <c r="I836" s="14" t="s">
        <v>441</v>
      </c>
    </row>
    <row r="837" spans="1:9" ht="66" x14ac:dyDescent="0.25">
      <c r="A837" s="17" t="s">
        <v>320</v>
      </c>
      <c r="B837" s="14" t="s">
        <v>172</v>
      </c>
      <c r="C837" s="18" t="s">
        <v>2744</v>
      </c>
      <c r="D837" s="14" t="str">
        <f t="shared" ref="D837:D900" si="74">LEFT($D$2,FIND("-",$D$2,FIND("-",$D$2)+1)) &amp; TEXT(RIGHT($D$2,3)+ROW(D835),"000")</f>
        <v>1ST-358-836</v>
      </c>
      <c r="E837" s="19" t="s">
        <v>1639</v>
      </c>
      <c r="F837" s="19">
        <f t="shared" si="73"/>
        <v>14.5</v>
      </c>
      <c r="G837" s="19" t="str">
        <f t="shared" si="72"/>
        <v>PC</v>
      </c>
      <c r="H837" s="20" t="s">
        <v>804</v>
      </c>
      <c r="I837" s="14" t="s">
        <v>441</v>
      </c>
    </row>
    <row r="838" spans="1:9" ht="66" x14ac:dyDescent="0.25">
      <c r="A838" s="17" t="s">
        <v>320</v>
      </c>
      <c r="B838" s="14" t="s">
        <v>172</v>
      </c>
      <c r="C838" s="18" t="s">
        <v>2745</v>
      </c>
      <c r="D838" s="14" t="str">
        <f t="shared" si="74"/>
        <v>1ST-358-837</v>
      </c>
      <c r="E838" s="18" t="s">
        <v>1640</v>
      </c>
      <c r="F838" s="19">
        <f t="shared" si="73"/>
        <v>7</v>
      </c>
      <c r="G838" s="19" t="str">
        <f t="shared" si="72"/>
        <v>PC</v>
      </c>
      <c r="H838" s="20" t="s">
        <v>805</v>
      </c>
      <c r="I838" s="14" t="s">
        <v>441</v>
      </c>
    </row>
    <row r="839" spans="1:9" ht="66" x14ac:dyDescent="0.25">
      <c r="A839" s="17" t="s">
        <v>320</v>
      </c>
      <c r="B839" s="14" t="s">
        <v>172</v>
      </c>
      <c r="C839" s="18" t="s">
        <v>2746</v>
      </c>
      <c r="D839" s="14" t="str">
        <f t="shared" si="74"/>
        <v>1ST-358-838</v>
      </c>
      <c r="E839" s="18" t="s">
        <v>1640</v>
      </c>
      <c r="F839" s="19">
        <f t="shared" si="73"/>
        <v>7</v>
      </c>
      <c r="G839" s="19" t="str">
        <f t="shared" si="72"/>
        <v>PC</v>
      </c>
      <c r="H839" s="20" t="s">
        <v>805</v>
      </c>
      <c r="I839" s="14" t="s">
        <v>441</v>
      </c>
    </row>
    <row r="840" spans="1:9" ht="39.6" x14ac:dyDescent="0.25">
      <c r="A840" s="17" t="s">
        <v>320</v>
      </c>
      <c r="B840" s="14" t="s">
        <v>172</v>
      </c>
      <c r="C840" s="18" t="s">
        <v>1641</v>
      </c>
      <c r="D840" s="14" t="str">
        <f t="shared" si="74"/>
        <v>1ST-358-839</v>
      </c>
      <c r="E840" s="18" t="s">
        <v>1642</v>
      </c>
      <c r="F840" s="19">
        <f t="shared" si="73"/>
        <v>22</v>
      </c>
      <c r="G840" s="19" t="str">
        <f t="shared" si="72"/>
        <v>PACK</v>
      </c>
      <c r="H840" s="20" t="s">
        <v>806</v>
      </c>
      <c r="I840" s="14" t="s">
        <v>441</v>
      </c>
    </row>
    <row r="841" spans="1:9" ht="39.6" x14ac:dyDescent="0.25">
      <c r="A841" s="17" t="s">
        <v>320</v>
      </c>
      <c r="B841" s="14" t="s">
        <v>172</v>
      </c>
      <c r="C841" s="18" t="s">
        <v>1643</v>
      </c>
      <c r="D841" s="14" t="str">
        <f t="shared" si="74"/>
        <v>1ST-358-840</v>
      </c>
      <c r="E841" s="18" t="s">
        <v>1644</v>
      </c>
      <c r="F841" s="19">
        <f t="shared" si="73"/>
        <v>24</v>
      </c>
      <c r="G841" s="19" t="str">
        <f t="shared" si="72"/>
        <v>PACK</v>
      </c>
      <c r="H841" s="20" t="s">
        <v>806</v>
      </c>
      <c r="I841" s="14" t="s">
        <v>441</v>
      </c>
    </row>
    <row r="842" spans="1:9" ht="26.4" x14ac:dyDescent="0.25">
      <c r="A842" s="17" t="s">
        <v>320</v>
      </c>
      <c r="B842" s="14" t="s">
        <v>171</v>
      </c>
      <c r="C842" s="19" t="s">
        <v>1645</v>
      </c>
      <c r="D842" s="14" t="str">
        <f t="shared" si="74"/>
        <v>1ST-358-841</v>
      </c>
      <c r="E842" s="19" t="s">
        <v>1023</v>
      </c>
      <c r="F842" s="19">
        <f t="shared" si="73"/>
        <v>5.5</v>
      </c>
      <c r="G842" s="19" t="str">
        <f t="shared" si="72"/>
        <v>PC</v>
      </c>
      <c r="H842" s="18" t="s">
        <v>3159</v>
      </c>
      <c r="I842" s="14" t="s">
        <v>807</v>
      </c>
    </row>
    <row r="843" spans="1:9" ht="26.4" x14ac:dyDescent="0.25">
      <c r="A843" s="17" t="s">
        <v>320</v>
      </c>
      <c r="B843" s="14" t="s">
        <v>171</v>
      </c>
      <c r="C843" s="19" t="s">
        <v>1646</v>
      </c>
      <c r="D843" s="14" t="str">
        <f t="shared" si="74"/>
        <v>1ST-358-842</v>
      </c>
      <c r="E843" s="19" t="s">
        <v>900</v>
      </c>
      <c r="F843" s="19">
        <f t="shared" si="73"/>
        <v>9</v>
      </c>
      <c r="G843" s="19" t="str">
        <f t="shared" si="72"/>
        <v>PC</v>
      </c>
      <c r="H843" s="18" t="s">
        <v>3160</v>
      </c>
      <c r="I843" s="14" t="s">
        <v>807</v>
      </c>
    </row>
    <row r="844" spans="1:9" ht="26.4" x14ac:dyDescent="0.25">
      <c r="A844" s="17" t="s">
        <v>320</v>
      </c>
      <c r="B844" s="14" t="s">
        <v>171</v>
      </c>
      <c r="C844" s="19" t="s">
        <v>1647</v>
      </c>
      <c r="D844" s="14" t="str">
        <f t="shared" si="74"/>
        <v>1ST-358-843</v>
      </c>
      <c r="E844" s="19" t="s">
        <v>907</v>
      </c>
      <c r="F844" s="19">
        <f t="shared" si="73"/>
        <v>12</v>
      </c>
      <c r="G844" s="19" t="str">
        <f t="shared" si="72"/>
        <v>PC</v>
      </c>
      <c r="H844" s="18" t="s">
        <v>3161</v>
      </c>
      <c r="I844" s="14" t="s">
        <v>807</v>
      </c>
    </row>
    <row r="845" spans="1:9" ht="26.4" x14ac:dyDescent="0.25">
      <c r="A845" s="17" t="s">
        <v>320</v>
      </c>
      <c r="B845" s="14" t="s">
        <v>171</v>
      </c>
      <c r="C845" s="19" t="s">
        <v>1648</v>
      </c>
      <c r="D845" s="14" t="str">
        <f t="shared" si="74"/>
        <v>1ST-358-844</v>
      </c>
      <c r="E845" s="19" t="s">
        <v>973</v>
      </c>
      <c r="F845" s="19">
        <f t="shared" si="73"/>
        <v>16</v>
      </c>
      <c r="G845" s="19" t="str">
        <f t="shared" si="72"/>
        <v>PC</v>
      </c>
      <c r="H845" s="18" t="s">
        <v>3162</v>
      </c>
      <c r="I845" s="14" t="s">
        <v>807</v>
      </c>
    </row>
    <row r="846" spans="1:9" ht="26.4" x14ac:dyDescent="0.25">
      <c r="A846" s="17" t="s">
        <v>320</v>
      </c>
      <c r="B846" s="14" t="s">
        <v>171</v>
      </c>
      <c r="C846" s="19" t="s">
        <v>1649</v>
      </c>
      <c r="D846" s="14" t="str">
        <f t="shared" si="74"/>
        <v>1ST-358-845</v>
      </c>
      <c r="E846" s="19" t="s">
        <v>1484</v>
      </c>
      <c r="F846" s="19">
        <f t="shared" si="73"/>
        <v>29</v>
      </c>
      <c r="G846" s="19" t="str">
        <f t="shared" si="72"/>
        <v>PC</v>
      </c>
      <c r="H846" s="18" t="s">
        <v>3163</v>
      </c>
      <c r="I846" s="14" t="s">
        <v>807</v>
      </c>
    </row>
    <row r="847" spans="1:9" ht="26.4" x14ac:dyDescent="0.25">
      <c r="A847" s="17" t="s">
        <v>320</v>
      </c>
      <c r="B847" s="14" t="s">
        <v>171</v>
      </c>
      <c r="C847" s="19" t="s">
        <v>1650</v>
      </c>
      <c r="D847" s="14" t="str">
        <f t="shared" si="74"/>
        <v>1ST-358-846</v>
      </c>
      <c r="E847" s="19" t="s">
        <v>1145</v>
      </c>
      <c r="F847" s="19">
        <f t="shared" si="73"/>
        <v>46</v>
      </c>
      <c r="G847" s="19" t="str">
        <f t="shared" si="72"/>
        <v>PC</v>
      </c>
      <c r="H847" s="18" t="s">
        <v>3164</v>
      </c>
      <c r="I847" s="14" t="s">
        <v>807</v>
      </c>
    </row>
    <row r="848" spans="1:9" ht="26.4" x14ac:dyDescent="0.25">
      <c r="A848" s="17" t="s">
        <v>320</v>
      </c>
      <c r="B848" s="14" t="s">
        <v>171</v>
      </c>
      <c r="C848" s="19" t="s">
        <v>1651</v>
      </c>
      <c r="D848" s="14" t="str">
        <f t="shared" si="74"/>
        <v>1ST-358-847</v>
      </c>
      <c r="E848" s="19" t="s">
        <v>1652</v>
      </c>
      <c r="F848" s="19">
        <f t="shared" si="73"/>
        <v>68</v>
      </c>
      <c r="G848" s="19" t="str">
        <f t="shared" si="72"/>
        <v>PC</v>
      </c>
      <c r="H848" s="18" t="s">
        <v>3165</v>
      </c>
      <c r="I848" s="14" t="s">
        <v>807</v>
      </c>
    </row>
    <row r="849" spans="1:9" ht="26.4" x14ac:dyDescent="0.25">
      <c r="A849" s="17" t="s">
        <v>320</v>
      </c>
      <c r="B849" s="14" t="s">
        <v>171</v>
      </c>
      <c r="C849" s="19" t="s">
        <v>1653</v>
      </c>
      <c r="D849" s="14" t="str">
        <f t="shared" si="74"/>
        <v>1ST-358-848</v>
      </c>
      <c r="E849" s="19" t="s">
        <v>1654</v>
      </c>
      <c r="F849" s="19">
        <f t="shared" si="73"/>
        <v>131</v>
      </c>
      <c r="G849" s="19" t="str">
        <f t="shared" si="72"/>
        <v>PC</v>
      </c>
      <c r="H849" s="18" t="s">
        <v>3166</v>
      </c>
      <c r="I849" s="14" t="s">
        <v>807</v>
      </c>
    </row>
    <row r="850" spans="1:9" ht="26.4" x14ac:dyDescent="0.25">
      <c r="A850" s="17" t="s">
        <v>320</v>
      </c>
      <c r="B850" s="14" t="s">
        <v>170</v>
      </c>
      <c r="C850" s="18" t="s">
        <v>1655</v>
      </c>
      <c r="D850" s="14" t="str">
        <f t="shared" si="74"/>
        <v>1ST-358-849</v>
      </c>
      <c r="E850" s="18" t="s">
        <v>1656</v>
      </c>
      <c r="F850" s="19">
        <f t="shared" si="73"/>
        <v>9.1</v>
      </c>
      <c r="G850" s="19" t="str">
        <f t="shared" si="72"/>
        <v>PC</v>
      </c>
      <c r="H850" s="18" t="s">
        <v>3167</v>
      </c>
      <c r="I850" s="14" t="s">
        <v>808</v>
      </c>
    </row>
    <row r="851" spans="1:9" ht="26.4" x14ac:dyDescent="0.25">
      <c r="A851" s="17" t="s">
        <v>320</v>
      </c>
      <c r="B851" s="14" t="s">
        <v>170</v>
      </c>
      <c r="C851" s="18" t="s">
        <v>1657</v>
      </c>
      <c r="D851" s="14" t="str">
        <f t="shared" si="74"/>
        <v>1ST-358-850</v>
      </c>
      <c r="E851" s="18" t="s">
        <v>1658</v>
      </c>
      <c r="F851" s="19">
        <f t="shared" si="73"/>
        <v>9.3000000000000007</v>
      </c>
      <c r="G851" s="19" t="str">
        <f t="shared" si="72"/>
        <v>PC</v>
      </c>
      <c r="H851" s="18" t="s">
        <v>3167</v>
      </c>
      <c r="I851" s="14" t="s">
        <v>808</v>
      </c>
    </row>
    <row r="852" spans="1:9" ht="26.4" x14ac:dyDescent="0.25">
      <c r="A852" s="17" t="s">
        <v>320</v>
      </c>
      <c r="B852" s="14" t="s">
        <v>170</v>
      </c>
      <c r="C852" s="18" t="s">
        <v>1659</v>
      </c>
      <c r="D852" s="14" t="str">
        <f t="shared" si="74"/>
        <v>1ST-358-851</v>
      </c>
      <c r="E852" s="18" t="s">
        <v>1660</v>
      </c>
      <c r="F852" s="19">
        <f t="shared" si="73"/>
        <v>10</v>
      </c>
      <c r="G852" s="19" t="str">
        <f t="shared" si="72"/>
        <v>PC</v>
      </c>
      <c r="H852" s="18" t="s">
        <v>3168</v>
      </c>
      <c r="I852" s="14" t="s">
        <v>808</v>
      </c>
    </row>
    <row r="853" spans="1:9" ht="26.4" x14ac:dyDescent="0.25">
      <c r="A853" s="17" t="s">
        <v>320</v>
      </c>
      <c r="B853" s="14" t="s">
        <v>170</v>
      </c>
      <c r="C853" s="18" t="s">
        <v>1661</v>
      </c>
      <c r="D853" s="14" t="str">
        <f t="shared" si="74"/>
        <v>1ST-358-852</v>
      </c>
      <c r="E853" s="18" t="s">
        <v>965</v>
      </c>
      <c r="F853" s="19">
        <f t="shared" si="73"/>
        <v>15</v>
      </c>
      <c r="G853" s="19" t="str">
        <f t="shared" si="72"/>
        <v>PC</v>
      </c>
      <c r="H853" s="18" t="s">
        <v>3169</v>
      </c>
      <c r="I853" s="14" t="s">
        <v>808</v>
      </c>
    </row>
    <row r="854" spans="1:9" ht="26.4" x14ac:dyDescent="0.25">
      <c r="A854" s="17" t="s">
        <v>320</v>
      </c>
      <c r="B854" s="14" t="s">
        <v>170</v>
      </c>
      <c r="C854" s="18" t="s">
        <v>3805</v>
      </c>
      <c r="D854" s="14" t="str">
        <f t="shared" si="74"/>
        <v>1ST-358-853</v>
      </c>
      <c r="E854" s="18" t="s">
        <v>922</v>
      </c>
      <c r="F854" s="19">
        <f t="shared" si="73"/>
        <v>17</v>
      </c>
      <c r="G854" s="19" t="str">
        <f t="shared" si="72"/>
        <v>PC</v>
      </c>
      <c r="H854" s="18" t="s">
        <v>3170</v>
      </c>
      <c r="I854" s="14" t="s">
        <v>808</v>
      </c>
    </row>
    <row r="855" spans="1:9" ht="26.4" x14ac:dyDescent="0.25">
      <c r="A855" s="17" t="s">
        <v>320</v>
      </c>
      <c r="B855" s="14" t="s">
        <v>170</v>
      </c>
      <c r="C855" s="18" t="s">
        <v>1662</v>
      </c>
      <c r="D855" s="14" t="str">
        <f t="shared" si="74"/>
        <v>1ST-358-854</v>
      </c>
      <c r="E855" s="18" t="s">
        <v>911</v>
      </c>
      <c r="F855" s="19">
        <f t="shared" si="73"/>
        <v>20</v>
      </c>
      <c r="G855" s="19" t="str">
        <f t="shared" si="72"/>
        <v>PC</v>
      </c>
      <c r="H855" s="18" t="s">
        <v>3171</v>
      </c>
      <c r="I855" s="14" t="s">
        <v>808</v>
      </c>
    </row>
    <row r="856" spans="1:9" ht="26.4" x14ac:dyDescent="0.25">
      <c r="A856" s="17" t="s">
        <v>320</v>
      </c>
      <c r="B856" s="14" t="s">
        <v>170</v>
      </c>
      <c r="C856" s="18" t="s">
        <v>1663</v>
      </c>
      <c r="D856" s="14" t="str">
        <f t="shared" si="74"/>
        <v>1ST-358-855</v>
      </c>
      <c r="E856" s="18" t="s">
        <v>1569</v>
      </c>
      <c r="F856" s="19">
        <f t="shared" si="73"/>
        <v>31</v>
      </c>
      <c r="G856" s="19" t="str">
        <f t="shared" si="72"/>
        <v>PC</v>
      </c>
      <c r="H856" s="18" t="s">
        <v>3172</v>
      </c>
      <c r="I856" s="14" t="s">
        <v>808</v>
      </c>
    </row>
    <row r="857" spans="1:9" ht="26.4" x14ac:dyDescent="0.25">
      <c r="A857" s="17" t="s">
        <v>320</v>
      </c>
      <c r="B857" s="14" t="s">
        <v>170</v>
      </c>
      <c r="C857" s="18" t="s">
        <v>3806</v>
      </c>
      <c r="D857" s="14" t="str">
        <f t="shared" si="74"/>
        <v>1ST-358-856</v>
      </c>
      <c r="E857" s="18" t="s">
        <v>1145</v>
      </c>
      <c r="F857" s="19">
        <f t="shared" si="73"/>
        <v>46</v>
      </c>
      <c r="G857" s="19" t="str">
        <f t="shared" si="72"/>
        <v>PC</v>
      </c>
      <c r="H857" s="18" t="s">
        <v>3164</v>
      </c>
      <c r="I857" s="14" t="s">
        <v>808</v>
      </c>
    </row>
    <row r="858" spans="1:9" ht="26.4" x14ac:dyDescent="0.25">
      <c r="A858" s="17" t="s">
        <v>320</v>
      </c>
      <c r="B858" s="14" t="s">
        <v>170</v>
      </c>
      <c r="C858" s="18" t="s">
        <v>1664</v>
      </c>
      <c r="D858" s="14" t="str">
        <f t="shared" si="74"/>
        <v>1ST-358-857</v>
      </c>
      <c r="E858" s="18" t="s">
        <v>1505</v>
      </c>
      <c r="F858" s="19">
        <f t="shared" si="73"/>
        <v>62</v>
      </c>
      <c r="G858" s="19" t="str">
        <f t="shared" si="72"/>
        <v>PC</v>
      </c>
      <c r="H858" s="18" t="s">
        <v>3173</v>
      </c>
      <c r="I858" s="14" t="s">
        <v>808</v>
      </c>
    </row>
    <row r="859" spans="1:9" ht="26.4" x14ac:dyDescent="0.25">
      <c r="A859" s="17" t="s">
        <v>320</v>
      </c>
      <c r="B859" s="14" t="s">
        <v>170</v>
      </c>
      <c r="C859" s="18" t="s">
        <v>1665</v>
      </c>
      <c r="D859" s="14" t="str">
        <f t="shared" si="74"/>
        <v>1ST-358-858</v>
      </c>
      <c r="E859" s="18" t="s">
        <v>1666</v>
      </c>
      <c r="F859" s="19">
        <f t="shared" si="73"/>
        <v>97</v>
      </c>
      <c r="G859" s="19" t="str">
        <f t="shared" si="72"/>
        <v>PC</v>
      </c>
      <c r="H859" s="18" t="s">
        <v>3174</v>
      </c>
      <c r="I859" s="14" t="s">
        <v>808</v>
      </c>
    </row>
    <row r="860" spans="1:9" x14ac:dyDescent="0.25">
      <c r="A860" s="17" t="s">
        <v>320</v>
      </c>
      <c r="B860" s="14" t="s">
        <v>169</v>
      </c>
      <c r="C860" s="19" t="s">
        <v>1667</v>
      </c>
      <c r="D860" s="14" t="str">
        <f t="shared" si="74"/>
        <v>1ST-358-859</v>
      </c>
      <c r="E860" s="19" t="s">
        <v>1668</v>
      </c>
      <c r="F860" s="19">
        <f t="shared" si="73"/>
        <v>65</v>
      </c>
      <c r="G860" s="19" t="str">
        <f t="shared" ref="G860:G923" si="75">TRIM(MID(E860,FIND("/",E860)+1,LEN(E860)))</f>
        <v>CARD</v>
      </c>
      <c r="H860" s="18" t="s">
        <v>2747</v>
      </c>
      <c r="I860" s="14" t="s">
        <v>441</v>
      </c>
    </row>
    <row r="861" spans="1:9" x14ac:dyDescent="0.25">
      <c r="A861" s="17" t="s">
        <v>320</v>
      </c>
      <c r="B861" s="14" t="s">
        <v>169</v>
      </c>
      <c r="C861" s="19" t="s">
        <v>1669</v>
      </c>
      <c r="D861" s="14" t="str">
        <f t="shared" si="74"/>
        <v>1ST-358-860</v>
      </c>
      <c r="E861" s="19" t="s">
        <v>1670</v>
      </c>
      <c r="F861" s="19">
        <f t="shared" si="73"/>
        <v>70</v>
      </c>
      <c r="G861" s="19" t="str">
        <f t="shared" si="75"/>
        <v>CARD</v>
      </c>
      <c r="H861" s="18" t="s">
        <v>2748</v>
      </c>
      <c r="I861" s="14" t="s">
        <v>441</v>
      </c>
    </row>
    <row r="862" spans="1:9" x14ac:dyDescent="0.25">
      <c r="A862" s="17" t="s">
        <v>320</v>
      </c>
      <c r="B862" s="14" t="s">
        <v>168</v>
      </c>
      <c r="C862" s="18" t="s">
        <v>1671</v>
      </c>
      <c r="D862" s="14" t="str">
        <f t="shared" si="74"/>
        <v>1ST-358-861</v>
      </c>
      <c r="E862" s="19" t="s">
        <v>1672</v>
      </c>
      <c r="F862" s="19">
        <f t="shared" si="73"/>
        <v>45</v>
      </c>
      <c r="G862" s="19" t="str">
        <f t="shared" si="75"/>
        <v>CARD</v>
      </c>
      <c r="H862" s="18" t="s">
        <v>2749</v>
      </c>
      <c r="I862" s="14" t="s">
        <v>441</v>
      </c>
    </row>
    <row r="863" spans="1:9" x14ac:dyDescent="0.25">
      <c r="A863" s="17" t="s">
        <v>320</v>
      </c>
      <c r="B863" s="14" t="s">
        <v>168</v>
      </c>
      <c r="C863" s="18" t="s">
        <v>1673</v>
      </c>
      <c r="D863" s="14" t="str">
        <f t="shared" si="74"/>
        <v>1ST-358-862</v>
      </c>
      <c r="E863" s="19" t="s">
        <v>1674</v>
      </c>
      <c r="F863" s="19">
        <f t="shared" si="73"/>
        <v>50</v>
      </c>
      <c r="G863" s="19" t="str">
        <f t="shared" si="75"/>
        <v>CARD</v>
      </c>
      <c r="H863" s="18" t="s">
        <v>2750</v>
      </c>
      <c r="I863" s="14" t="s">
        <v>441</v>
      </c>
    </row>
    <row r="864" spans="1:9" ht="26.4" x14ac:dyDescent="0.25">
      <c r="A864" s="17" t="s">
        <v>320</v>
      </c>
      <c r="B864" s="14" t="s">
        <v>167</v>
      </c>
      <c r="C864" s="18" t="s">
        <v>1675</v>
      </c>
      <c r="D864" s="14" t="str">
        <f t="shared" si="74"/>
        <v>1ST-358-863</v>
      </c>
      <c r="E864" s="19" t="s">
        <v>583</v>
      </c>
      <c r="F864" s="19">
        <f t="shared" si="73"/>
        <v>18.5</v>
      </c>
      <c r="G864" s="19" t="str">
        <f t="shared" si="75"/>
        <v>PC</v>
      </c>
      <c r="H864" s="20" t="s">
        <v>809</v>
      </c>
      <c r="I864" s="14" t="s">
        <v>441</v>
      </c>
    </row>
    <row r="865" spans="1:9" ht="26.4" x14ac:dyDescent="0.25">
      <c r="A865" s="17" t="s">
        <v>320</v>
      </c>
      <c r="B865" s="14" t="s">
        <v>167</v>
      </c>
      <c r="C865" s="18" t="s">
        <v>1676</v>
      </c>
      <c r="D865" s="14" t="str">
        <f t="shared" si="74"/>
        <v>1ST-358-864</v>
      </c>
      <c r="E865" s="19" t="s">
        <v>583</v>
      </c>
      <c r="F865" s="19">
        <f t="shared" si="73"/>
        <v>18.5</v>
      </c>
      <c r="G865" s="19" t="str">
        <f t="shared" si="75"/>
        <v>PC</v>
      </c>
      <c r="H865" s="20" t="s">
        <v>809</v>
      </c>
      <c r="I865" s="14" t="s">
        <v>441</v>
      </c>
    </row>
    <row r="866" spans="1:9" x14ac:dyDescent="0.25">
      <c r="A866" s="17" t="s">
        <v>320</v>
      </c>
      <c r="B866" s="14" t="s">
        <v>166</v>
      </c>
      <c r="C866" s="19" t="s">
        <v>1677</v>
      </c>
      <c r="D866" s="14" t="str">
        <f t="shared" si="74"/>
        <v>1ST-358-865</v>
      </c>
      <c r="E866" s="19" t="s">
        <v>698</v>
      </c>
      <c r="F866" s="19">
        <f t="shared" si="73"/>
        <v>55</v>
      </c>
      <c r="G866" s="19" t="str">
        <f t="shared" si="75"/>
        <v>PC</v>
      </c>
      <c r="H866" s="18" t="s">
        <v>2751</v>
      </c>
      <c r="I866" s="14" t="s">
        <v>441</v>
      </c>
    </row>
    <row r="867" spans="1:9" x14ac:dyDescent="0.25">
      <c r="A867" s="17" t="s">
        <v>320</v>
      </c>
      <c r="B867" s="14" t="s">
        <v>166</v>
      </c>
      <c r="C867" s="19" t="s">
        <v>1678</v>
      </c>
      <c r="D867" s="14" t="str">
        <f t="shared" si="74"/>
        <v>1ST-358-866</v>
      </c>
      <c r="E867" s="19" t="s">
        <v>640</v>
      </c>
      <c r="F867" s="19">
        <f t="shared" si="73"/>
        <v>45</v>
      </c>
      <c r="G867" s="19" t="str">
        <f t="shared" si="75"/>
        <v>PC</v>
      </c>
      <c r="H867" s="18" t="s">
        <v>2752</v>
      </c>
      <c r="I867" s="14" t="s">
        <v>441</v>
      </c>
    </row>
    <row r="868" spans="1:9" ht="26.4" x14ac:dyDescent="0.25">
      <c r="A868" s="17" t="s">
        <v>320</v>
      </c>
      <c r="B868" s="14" t="s">
        <v>165</v>
      </c>
      <c r="C868" s="18" t="s">
        <v>1679</v>
      </c>
      <c r="D868" s="14" t="str">
        <f t="shared" si="74"/>
        <v>1ST-358-867</v>
      </c>
      <c r="E868" s="19" t="s">
        <v>696</v>
      </c>
      <c r="F868" s="19">
        <f t="shared" si="73"/>
        <v>48</v>
      </c>
      <c r="G868" s="19" t="str">
        <f t="shared" si="75"/>
        <v>PC</v>
      </c>
      <c r="H868" s="18" t="s">
        <v>3175</v>
      </c>
      <c r="I868" s="14" t="s">
        <v>441</v>
      </c>
    </row>
    <row r="869" spans="1:9" ht="26.4" x14ac:dyDescent="0.25">
      <c r="A869" s="17" t="s">
        <v>320</v>
      </c>
      <c r="B869" s="14" t="s">
        <v>165</v>
      </c>
      <c r="C869" s="18" t="s">
        <v>1680</v>
      </c>
      <c r="D869" s="14" t="str">
        <f t="shared" si="74"/>
        <v>1ST-358-868</v>
      </c>
      <c r="E869" s="18" t="s">
        <v>685</v>
      </c>
      <c r="F869" s="19">
        <f t="shared" si="73"/>
        <v>76</v>
      </c>
      <c r="G869" s="19" t="str">
        <f t="shared" si="75"/>
        <v>PC</v>
      </c>
      <c r="H869" s="18" t="s">
        <v>3176</v>
      </c>
      <c r="I869" s="14" t="s">
        <v>441</v>
      </c>
    </row>
    <row r="870" spans="1:9" ht="26.4" x14ac:dyDescent="0.25">
      <c r="A870" s="17" t="s">
        <v>320</v>
      </c>
      <c r="B870" s="14" t="s">
        <v>165</v>
      </c>
      <c r="C870" s="18" t="s">
        <v>1681</v>
      </c>
      <c r="D870" s="14" t="str">
        <f t="shared" si="74"/>
        <v>1ST-358-869</v>
      </c>
      <c r="E870" s="18" t="s">
        <v>652</v>
      </c>
      <c r="F870" s="19">
        <f t="shared" si="73"/>
        <v>80</v>
      </c>
      <c r="G870" s="19" t="str">
        <f t="shared" si="75"/>
        <v>PC</v>
      </c>
      <c r="H870" s="18" t="s">
        <v>3177</v>
      </c>
      <c r="I870" s="14" t="s">
        <v>441</v>
      </c>
    </row>
    <row r="871" spans="1:9" ht="26.4" x14ac:dyDescent="0.25">
      <c r="A871" s="17" t="s">
        <v>320</v>
      </c>
      <c r="B871" s="14" t="s">
        <v>165</v>
      </c>
      <c r="C871" s="18" t="s">
        <v>1682</v>
      </c>
      <c r="D871" s="14" t="str">
        <f t="shared" si="74"/>
        <v>1ST-358-870</v>
      </c>
      <c r="E871" s="18" t="s">
        <v>1196</v>
      </c>
      <c r="F871" s="19">
        <f t="shared" si="73"/>
        <v>72</v>
      </c>
      <c r="G871" s="19" t="str">
        <f t="shared" si="75"/>
        <v>PC</v>
      </c>
      <c r="H871" s="18" t="s">
        <v>3178</v>
      </c>
      <c r="I871" s="14" t="s">
        <v>441</v>
      </c>
    </row>
    <row r="872" spans="1:9" ht="26.4" x14ac:dyDescent="0.25">
      <c r="A872" s="17" t="s">
        <v>320</v>
      </c>
      <c r="B872" s="14" t="s">
        <v>165</v>
      </c>
      <c r="C872" s="18" t="s">
        <v>1683</v>
      </c>
      <c r="D872" s="14" t="str">
        <f t="shared" si="74"/>
        <v>1ST-358-871</v>
      </c>
      <c r="E872" s="18" t="s">
        <v>1652</v>
      </c>
      <c r="F872" s="19">
        <f t="shared" ref="F872:F935" si="76">VALUE(LEFT(E872,FIND("/",E872)-1))</f>
        <v>68</v>
      </c>
      <c r="G872" s="19" t="str">
        <f t="shared" si="75"/>
        <v>PC</v>
      </c>
      <c r="H872" s="18" t="s">
        <v>3133</v>
      </c>
      <c r="I872" s="14" t="s">
        <v>441</v>
      </c>
    </row>
    <row r="873" spans="1:9" ht="26.4" x14ac:dyDescent="0.25">
      <c r="A873" s="17" t="s">
        <v>320</v>
      </c>
      <c r="B873" s="14" t="s">
        <v>164</v>
      </c>
      <c r="C873" s="18" t="s">
        <v>810</v>
      </c>
      <c r="D873" s="14" t="str">
        <f t="shared" si="74"/>
        <v>1ST-358-872</v>
      </c>
      <c r="E873" s="14" t="s">
        <v>811</v>
      </c>
      <c r="F873" s="19">
        <f t="shared" si="76"/>
        <v>64</v>
      </c>
      <c r="G873" s="19" t="str">
        <f t="shared" si="75"/>
        <v>PC</v>
      </c>
      <c r="H873" s="20" t="s">
        <v>812</v>
      </c>
      <c r="I873" s="14" t="s">
        <v>441</v>
      </c>
    </row>
    <row r="874" spans="1:9" x14ac:dyDescent="0.25">
      <c r="A874" s="17" t="s">
        <v>320</v>
      </c>
      <c r="B874" s="14" t="s">
        <v>163</v>
      </c>
      <c r="C874" s="14" t="s">
        <v>813</v>
      </c>
      <c r="D874" s="14" t="str">
        <f t="shared" si="74"/>
        <v>1ST-358-873</v>
      </c>
      <c r="E874" s="14" t="s">
        <v>814</v>
      </c>
      <c r="F874" s="19">
        <f t="shared" si="76"/>
        <v>125</v>
      </c>
      <c r="G874" s="19" t="str">
        <f t="shared" si="75"/>
        <v>SET</v>
      </c>
      <c r="H874" s="14" t="s">
        <v>815</v>
      </c>
      <c r="I874" s="14" t="s">
        <v>441</v>
      </c>
    </row>
    <row r="875" spans="1:9" x14ac:dyDescent="0.25">
      <c r="A875" s="17" t="s">
        <v>320</v>
      </c>
      <c r="B875" s="14" t="s">
        <v>162</v>
      </c>
      <c r="C875" s="14" t="s">
        <v>816</v>
      </c>
      <c r="D875" s="14" t="str">
        <f t="shared" si="74"/>
        <v>1ST-358-874</v>
      </c>
      <c r="E875" s="14" t="s">
        <v>694</v>
      </c>
      <c r="F875" s="19">
        <f t="shared" si="76"/>
        <v>70</v>
      </c>
      <c r="G875" s="19" t="str">
        <f t="shared" si="75"/>
        <v>PC</v>
      </c>
      <c r="H875" s="14" t="s">
        <v>441</v>
      </c>
      <c r="I875" s="14" t="s">
        <v>441</v>
      </c>
    </row>
    <row r="876" spans="1:9" ht="26.4" x14ac:dyDescent="0.25">
      <c r="A876" s="17" t="s">
        <v>320</v>
      </c>
      <c r="B876" s="14" t="s">
        <v>161</v>
      </c>
      <c r="C876" s="19" t="s">
        <v>3807</v>
      </c>
      <c r="D876" s="14" t="str">
        <f t="shared" si="74"/>
        <v>1ST-358-875</v>
      </c>
      <c r="E876" s="19" t="s">
        <v>1684</v>
      </c>
      <c r="F876" s="19">
        <f t="shared" si="76"/>
        <v>55</v>
      </c>
      <c r="G876" s="19" t="str">
        <f t="shared" si="75"/>
        <v>SET</v>
      </c>
      <c r="H876" s="18" t="s">
        <v>3179</v>
      </c>
      <c r="I876" s="14" t="s">
        <v>441</v>
      </c>
    </row>
    <row r="877" spans="1:9" ht="26.4" x14ac:dyDescent="0.25">
      <c r="A877" s="17" t="s">
        <v>320</v>
      </c>
      <c r="B877" s="14" t="s">
        <v>161</v>
      </c>
      <c r="C877" s="19" t="s">
        <v>3808</v>
      </c>
      <c r="D877" s="14" t="str">
        <f t="shared" si="74"/>
        <v>1ST-358-876</v>
      </c>
      <c r="E877" s="19" t="s">
        <v>1685</v>
      </c>
      <c r="F877" s="19">
        <f t="shared" si="76"/>
        <v>66</v>
      </c>
      <c r="G877" s="19" t="str">
        <f t="shared" si="75"/>
        <v>SET</v>
      </c>
      <c r="H877" s="18" t="s">
        <v>3180</v>
      </c>
      <c r="I877" s="14" t="s">
        <v>441</v>
      </c>
    </row>
    <row r="878" spans="1:9" ht="26.4" x14ac:dyDescent="0.25">
      <c r="A878" s="17" t="s">
        <v>320</v>
      </c>
      <c r="B878" s="14" t="s">
        <v>160</v>
      </c>
      <c r="C878" s="19" t="s">
        <v>1686</v>
      </c>
      <c r="D878" s="14" t="str">
        <f t="shared" si="74"/>
        <v>1ST-358-877</v>
      </c>
      <c r="E878" s="19" t="s">
        <v>640</v>
      </c>
      <c r="F878" s="19">
        <f t="shared" si="76"/>
        <v>45</v>
      </c>
      <c r="G878" s="19" t="str">
        <f t="shared" si="75"/>
        <v>PC</v>
      </c>
      <c r="H878" s="20" t="s">
        <v>817</v>
      </c>
      <c r="I878" s="20" t="s">
        <v>818</v>
      </c>
    </row>
    <row r="879" spans="1:9" ht="26.4" x14ac:dyDescent="0.25">
      <c r="A879" s="17" t="s">
        <v>320</v>
      </c>
      <c r="B879" s="14" t="s">
        <v>160</v>
      </c>
      <c r="C879" s="19" t="s">
        <v>1687</v>
      </c>
      <c r="D879" s="14" t="str">
        <f t="shared" si="74"/>
        <v>1ST-358-878</v>
      </c>
      <c r="E879" s="19" t="s">
        <v>975</v>
      </c>
      <c r="F879" s="19">
        <f t="shared" si="76"/>
        <v>58</v>
      </c>
      <c r="G879" s="19" t="str">
        <f t="shared" si="75"/>
        <v>PC</v>
      </c>
      <c r="H879" s="20" t="s">
        <v>817</v>
      </c>
      <c r="I879" s="20" t="s">
        <v>818</v>
      </c>
    </row>
    <row r="880" spans="1:9" x14ac:dyDescent="0.25">
      <c r="A880" s="17" t="s">
        <v>320</v>
      </c>
      <c r="B880" s="14" t="s">
        <v>159</v>
      </c>
      <c r="C880" s="14" t="s">
        <v>819</v>
      </c>
      <c r="D880" s="14" t="str">
        <f t="shared" si="74"/>
        <v>1ST-358-879</v>
      </c>
      <c r="E880" s="14" t="s">
        <v>820</v>
      </c>
      <c r="F880" s="19">
        <f t="shared" si="76"/>
        <v>1000</v>
      </c>
      <c r="G880" s="19" t="str">
        <f t="shared" si="75"/>
        <v>SET</v>
      </c>
      <c r="H880" s="14" t="s">
        <v>441</v>
      </c>
      <c r="I880" s="14" t="s">
        <v>441</v>
      </c>
    </row>
    <row r="881" spans="1:9" ht="26.4" x14ac:dyDescent="0.25">
      <c r="A881" s="17" t="s">
        <v>320</v>
      </c>
      <c r="B881" s="14" t="s">
        <v>158</v>
      </c>
      <c r="C881" s="18" t="s">
        <v>1688</v>
      </c>
      <c r="D881" s="14" t="str">
        <f t="shared" si="74"/>
        <v>1ST-358-880</v>
      </c>
      <c r="E881" s="19" t="s">
        <v>1689</v>
      </c>
      <c r="F881" s="19">
        <f t="shared" si="76"/>
        <v>84</v>
      </c>
      <c r="G881" s="19" t="str">
        <f t="shared" si="75"/>
        <v>SET</v>
      </c>
      <c r="H881" s="18" t="s">
        <v>3181</v>
      </c>
      <c r="I881" s="14" t="s">
        <v>441</v>
      </c>
    </row>
    <row r="882" spans="1:9" ht="26.4" x14ac:dyDescent="0.25">
      <c r="A882" s="17" t="s">
        <v>320</v>
      </c>
      <c r="B882" s="14" t="s">
        <v>158</v>
      </c>
      <c r="C882" s="18" t="s">
        <v>1690</v>
      </c>
      <c r="D882" s="14" t="str">
        <f t="shared" si="74"/>
        <v>1ST-358-881</v>
      </c>
      <c r="E882" s="19" t="s">
        <v>1689</v>
      </c>
      <c r="F882" s="19">
        <f t="shared" si="76"/>
        <v>84</v>
      </c>
      <c r="G882" s="19" t="str">
        <f t="shared" si="75"/>
        <v>SET</v>
      </c>
      <c r="H882" s="18" t="s">
        <v>3181</v>
      </c>
      <c r="I882" s="14" t="s">
        <v>441</v>
      </c>
    </row>
    <row r="883" spans="1:9" ht="26.4" x14ac:dyDescent="0.25">
      <c r="A883" s="17" t="s">
        <v>320</v>
      </c>
      <c r="B883" s="14" t="s">
        <v>158</v>
      </c>
      <c r="C883" s="18" t="s">
        <v>1691</v>
      </c>
      <c r="D883" s="14" t="str">
        <f t="shared" si="74"/>
        <v>1ST-358-882</v>
      </c>
      <c r="E883" s="19" t="s">
        <v>1692</v>
      </c>
      <c r="F883" s="19">
        <f t="shared" si="76"/>
        <v>75</v>
      </c>
      <c r="G883" s="19" t="str">
        <f t="shared" si="75"/>
        <v>SET</v>
      </c>
      <c r="H883" s="18" t="s">
        <v>3182</v>
      </c>
      <c r="I883" s="14" t="s">
        <v>441</v>
      </c>
    </row>
    <row r="884" spans="1:9" ht="26.4" x14ac:dyDescent="0.25">
      <c r="A884" s="17" t="s">
        <v>320</v>
      </c>
      <c r="B884" s="14" t="s">
        <v>158</v>
      </c>
      <c r="C884" s="18" t="s">
        <v>1693</v>
      </c>
      <c r="D884" s="14" t="str">
        <f t="shared" si="74"/>
        <v>1ST-358-883</v>
      </c>
      <c r="E884" s="19" t="s">
        <v>1694</v>
      </c>
      <c r="F884" s="19">
        <f t="shared" si="76"/>
        <v>80</v>
      </c>
      <c r="G884" s="19" t="str">
        <f t="shared" si="75"/>
        <v>SET</v>
      </c>
      <c r="H884" s="18" t="s">
        <v>3183</v>
      </c>
      <c r="I884" s="14" t="s">
        <v>441</v>
      </c>
    </row>
    <row r="885" spans="1:9" ht="26.4" x14ac:dyDescent="0.25">
      <c r="A885" s="17" t="s">
        <v>320</v>
      </c>
      <c r="B885" s="14" t="s">
        <v>158</v>
      </c>
      <c r="C885" s="18" t="s">
        <v>1695</v>
      </c>
      <c r="D885" s="14" t="str">
        <f t="shared" si="74"/>
        <v>1ST-358-884</v>
      </c>
      <c r="E885" s="19" t="s">
        <v>1696</v>
      </c>
      <c r="F885" s="19">
        <f t="shared" si="76"/>
        <v>130</v>
      </c>
      <c r="G885" s="19" t="str">
        <f t="shared" si="75"/>
        <v>SET</v>
      </c>
      <c r="H885" s="18" t="s">
        <v>3184</v>
      </c>
      <c r="I885" s="14" t="s">
        <v>441</v>
      </c>
    </row>
    <row r="886" spans="1:9" ht="26.4" x14ac:dyDescent="0.25">
      <c r="A886" s="17" t="s">
        <v>320</v>
      </c>
      <c r="B886" s="14" t="s">
        <v>158</v>
      </c>
      <c r="C886" s="18" t="s">
        <v>1697</v>
      </c>
      <c r="D886" s="14" t="str">
        <f t="shared" si="74"/>
        <v>1ST-358-885</v>
      </c>
      <c r="E886" s="19" t="s">
        <v>1698</v>
      </c>
      <c r="F886" s="19">
        <f t="shared" si="76"/>
        <v>163</v>
      </c>
      <c r="G886" s="19" t="str">
        <f t="shared" si="75"/>
        <v>SET</v>
      </c>
      <c r="H886" s="18" t="s">
        <v>3185</v>
      </c>
      <c r="I886" s="14" t="s">
        <v>441</v>
      </c>
    </row>
    <row r="887" spans="1:9" ht="26.4" x14ac:dyDescent="0.25">
      <c r="A887" s="17" t="s">
        <v>320</v>
      </c>
      <c r="B887" s="14" t="s">
        <v>158</v>
      </c>
      <c r="C887" s="18" t="s">
        <v>3809</v>
      </c>
      <c r="D887" s="14" t="str">
        <f t="shared" si="74"/>
        <v>1ST-358-886</v>
      </c>
      <c r="E887" s="19" t="s">
        <v>1699</v>
      </c>
      <c r="F887" s="19">
        <f t="shared" si="76"/>
        <v>198</v>
      </c>
      <c r="G887" s="19" t="str">
        <f t="shared" si="75"/>
        <v>SET</v>
      </c>
      <c r="H887" s="18" t="s">
        <v>3186</v>
      </c>
      <c r="I887" s="14" t="s">
        <v>441</v>
      </c>
    </row>
    <row r="888" spans="1:9" ht="26.4" x14ac:dyDescent="0.25">
      <c r="A888" s="17" t="s">
        <v>320</v>
      </c>
      <c r="B888" s="14" t="s">
        <v>158</v>
      </c>
      <c r="C888" s="18" t="s">
        <v>1700</v>
      </c>
      <c r="D888" s="14" t="str">
        <f t="shared" si="74"/>
        <v>1ST-358-887</v>
      </c>
      <c r="E888" s="19" t="s">
        <v>1701</v>
      </c>
      <c r="F888" s="19">
        <f t="shared" si="76"/>
        <v>348</v>
      </c>
      <c r="G888" s="19" t="str">
        <f t="shared" si="75"/>
        <v>SET</v>
      </c>
      <c r="H888" s="18" t="s">
        <v>3187</v>
      </c>
      <c r="I888" s="14" t="s">
        <v>441</v>
      </c>
    </row>
    <row r="889" spans="1:9" ht="26.4" x14ac:dyDescent="0.25">
      <c r="A889" s="17" t="s">
        <v>320</v>
      </c>
      <c r="B889" s="14" t="s">
        <v>158</v>
      </c>
      <c r="C889" s="18" t="s">
        <v>1702</v>
      </c>
      <c r="D889" s="14" t="str">
        <f t="shared" si="74"/>
        <v>1ST-358-888</v>
      </c>
      <c r="E889" s="19" t="s">
        <v>1703</v>
      </c>
      <c r="F889" s="19">
        <f t="shared" si="76"/>
        <v>220</v>
      </c>
      <c r="G889" s="19" t="str">
        <f t="shared" si="75"/>
        <v>SET</v>
      </c>
      <c r="H889" s="18" t="s">
        <v>3188</v>
      </c>
      <c r="I889" s="14" t="s">
        <v>441</v>
      </c>
    </row>
    <row r="890" spans="1:9" ht="26.4" x14ac:dyDescent="0.25">
      <c r="A890" s="17" t="s">
        <v>320</v>
      </c>
      <c r="B890" s="14" t="s">
        <v>157</v>
      </c>
      <c r="C890" s="18" t="s">
        <v>1704</v>
      </c>
      <c r="D890" s="14" t="str">
        <f t="shared" si="74"/>
        <v>1ST-358-889</v>
      </c>
      <c r="E890" s="18" t="s">
        <v>1705</v>
      </c>
      <c r="F890" s="19">
        <f t="shared" si="76"/>
        <v>6.2</v>
      </c>
      <c r="G890" s="19" t="str">
        <f t="shared" si="75"/>
        <v>PC</v>
      </c>
      <c r="H890" s="20" t="s">
        <v>821</v>
      </c>
      <c r="I890" s="14" t="s">
        <v>441</v>
      </c>
    </row>
    <row r="891" spans="1:9" ht="26.4" x14ac:dyDescent="0.25">
      <c r="A891" s="17" t="s">
        <v>320</v>
      </c>
      <c r="B891" s="14" t="s">
        <v>157</v>
      </c>
      <c r="C891" s="18" t="s">
        <v>1706</v>
      </c>
      <c r="D891" s="14" t="str">
        <f t="shared" si="74"/>
        <v>1ST-358-890</v>
      </c>
      <c r="E891" s="18" t="s">
        <v>1707</v>
      </c>
      <c r="F891" s="19">
        <f t="shared" si="76"/>
        <v>10.199999999999999</v>
      </c>
      <c r="G891" s="19" t="str">
        <f t="shared" si="75"/>
        <v>PC</v>
      </c>
      <c r="H891" s="20" t="s">
        <v>821</v>
      </c>
      <c r="I891" s="14" t="s">
        <v>441</v>
      </c>
    </row>
    <row r="892" spans="1:9" ht="26.4" x14ac:dyDescent="0.25">
      <c r="A892" s="17" t="s">
        <v>320</v>
      </c>
      <c r="B892" s="14" t="s">
        <v>157</v>
      </c>
      <c r="C892" s="18" t="s">
        <v>1708</v>
      </c>
      <c r="D892" s="14" t="str">
        <f t="shared" si="74"/>
        <v>1ST-358-891</v>
      </c>
      <c r="E892" s="18" t="s">
        <v>913</v>
      </c>
      <c r="F892" s="19">
        <f t="shared" si="76"/>
        <v>12.5</v>
      </c>
      <c r="G892" s="19" t="str">
        <f t="shared" si="75"/>
        <v>PC</v>
      </c>
      <c r="H892" s="20" t="s">
        <v>821</v>
      </c>
      <c r="I892" s="14" t="s">
        <v>441</v>
      </c>
    </row>
    <row r="893" spans="1:9" ht="26.4" x14ac:dyDescent="0.25">
      <c r="A893" s="17" t="s">
        <v>320</v>
      </c>
      <c r="B893" s="14" t="s">
        <v>157</v>
      </c>
      <c r="C893" s="18" t="s">
        <v>1709</v>
      </c>
      <c r="D893" s="14" t="str">
        <f t="shared" si="74"/>
        <v>1ST-358-892</v>
      </c>
      <c r="E893" s="18" t="s">
        <v>498</v>
      </c>
      <c r="F893" s="19">
        <f t="shared" si="76"/>
        <v>28</v>
      </c>
      <c r="G893" s="19" t="str">
        <f t="shared" si="75"/>
        <v>PC</v>
      </c>
      <c r="H893" s="20" t="s">
        <v>821</v>
      </c>
      <c r="I893" s="14" t="s">
        <v>441</v>
      </c>
    </row>
    <row r="894" spans="1:9" ht="26.4" x14ac:dyDescent="0.25">
      <c r="A894" s="17" t="s">
        <v>320</v>
      </c>
      <c r="B894" s="14" t="s">
        <v>157</v>
      </c>
      <c r="C894" s="18" t="s">
        <v>1710</v>
      </c>
      <c r="D894" s="14" t="str">
        <f t="shared" si="74"/>
        <v>1ST-358-893</v>
      </c>
      <c r="E894" s="18" t="s">
        <v>1711</v>
      </c>
      <c r="F894" s="19">
        <f t="shared" si="76"/>
        <v>49.5</v>
      </c>
      <c r="G894" s="19" t="str">
        <f t="shared" si="75"/>
        <v>PC</v>
      </c>
      <c r="H894" s="20" t="s">
        <v>821</v>
      </c>
      <c r="I894" s="14" t="s">
        <v>441</v>
      </c>
    </row>
    <row r="895" spans="1:9" ht="26.4" x14ac:dyDescent="0.25">
      <c r="A895" s="17" t="s">
        <v>320</v>
      </c>
      <c r="B895" s="14" t="s">
        <v>157</v>
      </c>
      <c r="C895" s="18" t="s">
        <v>1712</v>
      </c>
      <c r="D895" s="14" t="str">
        <f t="shared" si="74"/>
        <v>1ST-358-894</v>
      </c>
      <c r="E895" s="18" t="s">
        <v>1541</v>
      </c>
      <c r="F895" s="19">
        <f t="shared" si="76"/>
        <v>83</v>
      </c>
      <c r="G895" s="19" t="str">
        <f t="shared" si="75"/>
        <v>PC</v>
      </c>
      <c r="H895" s="20" t="s">
        <v>821</v>
      </c>
      <c r="I895" s="14" t="s">
        <v>441</v>
      </c>
    </row>
    <row r="896" spans="1:9" ht="26.4" x14ac:dyDescent="0.25">
      <c r="A896" s="17" t="s">
        <v>320</v>
      </c>
      <c r="B896" s="14" t="s">
        <v>157</v>
      </c>
      <c r="C896" s="18" t="s">
        <v>1713</v>
      </c>
      <c r="D896" s="14" t="str">
        <f t="shared" si="74"/>
        <v>1ST-358-895</v>
      </c>
      <c r="E896" s="18" t="s">
        <v>1140</v>
      </c>
      <c r="F896" s="19">
        <f t="shared" si="76"/>
        <v>136</v>
      </c>
      <c r="G896" s="19" t="str">
        <f t="shared" si="75"/>
        <v>PC</v>
      </c>
      <c r="H896" s="20" t="s">
        <v>821</v>
      </c>
      <c r="I896" s="14" t="s">
        <v>441</v>
      </c>
    </row>
    <row r="897" spans="1:9" ht="26.4" x14ac:dyDescent="0.25">
      <c r="A897" s="17" t="s">
        <v>320</v>
      </c>
      <c r="B897" s="14" t="s">
        <v>157</v>
      </c>
      <c r="C897" s="18" t="s">
        <v>1714</v>
      </c>
      <c r="D897" s="14" t="str">
        <f t="shared" si="74"/>
        <v>1ST-358-896</v>
      </c>
      <c r="E897" s="18" t="s">
        <v>681</v>
      </c>
      <c r="F897" s="19">
        <f t="shared" si="76"/>
        <v>162</v>
      </c>
      <c r="G897" s="19" t="str">
        <f t="shared" si="75"/>
        <v>PC</v>
      </c>
      <c r="H897" s="20" t="s">
        <v>821</v>
      </c>
      <c r="I897" s="14" t="s">
        <v>441</v>
      </c>
    </row>
    <row r="898" spans="1:9" ht="26.4" x14ac:dyDescent="0.25">
      <c r="A898" s="17" t="s">
        <v>320</v>
      </c>
      <c r="B898" s="14" t="s">
        <v>156</v>
      </c>
      <c r="C898" s="18" t="s">
        <v>3810</v>
      </c>
      <c r="D898" s="14" t="str">
        <f t="shared" si="74"/>
        <v>1ST-358-897</v>
      </c>
      <c r="E898" s="19" t="s">
        <v>740</v>
      </c>
      <c r="F898" s="19">
        <f t="shared" si="76"/>
        <v>165</v>
      </c>
      <c r="G898" s="19" t="str">
        <f t="shared" si="75"/>
        <v>PC</v>
      </c>
      <c r="H898" s="18" t="s">
        <v>3189</v>
      </c>
      <c r="I898" s="14" t="s">
        <v>441</v>
      </c>
    </row>
    <row r="899" spans="1:9" ht="26.4" x14ac:dyDescent="0.25">
      <c r="A899" s="17" t="s">
        <v>320</v>
      </c>
      <c r="B899" s="14" t="s">
        <v>156</v>
      </c>
      <c r="C899" s="18" t="s">
        <v>1715</v>
      </c>
      <c r="D899" s="14" t="str">
        <f t="shared" si="74"/>
        <v>1ST-358-898</v>
      </c>
      <c r="E899" s="19" t="s">
        <v>1716</v>
      </c>
      <c r="F899" s="19">
        <f t="shared" si="76"/>
        <v>270</v>
      </c>
      <c r="G899" s="19" t="str">
        <f t="shared" si="75"/>
        <v>PC</v>
      </c>
      <c r="H899" s="18" t="s">
        <v>3190</v>
      </c>
      <c r="I899" s="14" t="s">
        <v>441</v>
      </c>
    </row>
    <row r="900" spans="1:9" ht="26.4" x14ac:dyDescent="0.25">
      <c r="A900" s="17" t="s">
        <v>320</v>
      </c>
      <c r="B900" s="14" t="s">
        <v>156</v>
      </c>
      <c r="C900" s="18" t="s">
        <v>1717</v>
      </c>
      <c r="D900" s="14" t="str">
        <f t="shared" si="74"/>
        <v>1ST-358-899</v>
      </c>
      <c r="E900" s="19" t="s">
        <v>1718</v>
      </c>
      <c r="F900" s="19">
        <f t="shared" si="76"/>
        <v>540</v>
      </c>
      <c r="G900" s="19" t="str">
        <f t="shared" si="75"/>
        <v>PC</v>
      </c>
      <c r="H900" s="18" t="s">
        <v>3191</v>
      </c>
      <c r="I900" s="14" t="s">
        <v>441</v>
      </c>
    </row>
    <row r="901" spans="1:9" ht="26.4" x14ac:dyDescent="0.25">
      <c r="A901" s="17" t="s">
        <v>320</v>
      </c>
      <c r="B901" s="14" t="s">
        <v>156</v>
      </c>
      <c r="C901" s="18" t="s">
        <v>1719</v>
      </c>
      <c r="D901" s="14" t="str">
        <f t="shared" ref="D901:D964" si="77">LEFT($D$2,FIND("-",$D$2,FIND("-",$D$2)+1)) &amp; TEXT(RIGHT($D$2,3)+ROW(D899),"000")</f>
        <v>1ST-358-900</v>
      </c>
      <c r="E901" s="19" t="s">
        <v>1720</v>
      </c>
      <c r="F901" s="19">
        <f t="shared" si="76"/>
        <v>820</v>
      </c>
      <c r="G901" s="19" t="str">
        <f t="shared" si="75"/>
        <v>PC</v>
      </c>
      <c r="H901" s="18" t="s">
        <v>3192</v>
      </c>
      <c r="I901" s="14" t="s">
        <v>441</v>
      </c>
    </row>
    <row r="902" spans="1:9" ht="26.4" x14ac:dyDescent="0.25">
      <c r="A902" s="17" t="s">
        <v>320</v>
      </c>
      <c r="B902" s="14" t="s">
        <v>155</v>
      </c>
      <c r="C902" s="18" t="s">
        <v>1721</v>
      </c>
      <c r="D902" s="14" t="str">
        <f t="shared" si="77"/>
        <v>1ST-358-901</v>
      </c>
      <c r="E902" s="18" t="s">
        <v>1722</v>
      </c>
      <c r="F902" s="19">
        <f t="shared" si="76"/>
        <v>8.1</v>
      </c>
      <c r="G902" s="19" t="str">
        <f t="shared" si="75"/>
        <v>PC</v>
      </c>
      <c r="H902" s="18" t="s">
        <v>3193</v>
      </c>
      <c r="I902" s="14" t="s">
        <v>441</v>
      </c>
    </row>
    <row r="903" spans="1:9" ht="26.4" x14ac:dyDescent="0.25">
      <c r="A903" s="17" t="s">
        <v>320</v>
      </c>
      <c r="B903" s="14" t="s">
        <v>155</v>
      </c>
      <c r="C903" s="18" t="s">
        <v>1723</v>
      </c>
      <c r="D903" s="14" t="str">
        <f t="shared" si="77"/>
        <v>1ST-358-902</v>
      </c>
      <c r="E903" s="18" t="s">
        <v>1724</v>
      </c>
      <c r="F903" s="19">
        <f t="shared" si="76"/>
        <v>8.6999999999999993</v>
      </c>
      <c r="G903" s="19" t="str">
        <f t="shared" si="75"/>
        <v>PC</v>
      </c>
      <c r="H903" s="18" t="s">
        <v>3194</v>
      </c>
      <c r="I903" s="14" t="s">
        <v>441</v>
      </c>
    </row>
    <row r="904" spans="1:9" ht="26.4" x14ac:dyDescent="0.25">
      <c r="A904" s="17" t="s">
        <v>320</v>
      </c>
      <c r="B904" s="14" t="s">
        <v>155</v>
      </c>
      <c r="C904" s="18" t="s">
        <v>1725</v>
      </c>
      <c r="D904" s="14" t="str">
        <f t="shared" si="77"/>
        <v>1ST-358-903</v>
      </c>
      <c r="E904" s="18" t="s">
        <v>1726</v>
      </c>
      <c r="F904" s="19">
        <f t="shared" si="76"/>
        <v>10.9</v>
      </c>
      <c r="G904" s="19" t="str">
        <f t="shared" si="75"/>
        <v>PC</v>
      </c>
      <c r="H904" s="18" t="s">
        <v>3195</v>
      </c>
      <c r="I904" s="14" t="s">
        <v>441</v>
      </c>
    </row>
    <row r="905" spans="1:9" ht="26.4" x14ac:dyDescent="0.25">
      <c r="A905" s="17" t="s">
        <v>320</v>
      </c>
      <c r="B905" s="14" t="s">
        <v>155</v>
      </c>
      <c r="C905" s="18" t="s">
        <v>1727</v>
      </c>
      <c r="D905" s="14" t="str">
        <f t="shared" si="77"/>
        <v>1ST-358-904</v>
      </c>
      <c r="E905" s="18" t="s">
        <v>1728</v>
      </c>
      <c r="F905" s="19">
        <f t="shared" si="76"/>
        <v>15.8</v>
      </c>
      <c r="G905" s="19" t="str">
        <f t="shared" si="75"/>
        <v>PC</v>
      </c>
      <c r="H905" s="18" t="s">
        <v>3196</v>
      </c>
      <c r="I905" s="14" t="s">
        <v>441</v>
      </c>
    </row>
    <row r="906" spans="1:9" ht="26.4" x14ac:dyDescent="0.25">
      <c r="A906" s="17" t="s">
        <v>320</v>
      </c>
      <c r="B906" s="14" t="s">
        <v>155</v>
      </c>
      <c r="C906" s="18" t="s">
        <v>1729</v>
      </c>
      <c r="D906" s="14" t="str">
        <f t="shared" si="77"/>
        <v>1ST-358-905</v>
      </c>
      <c r="E906" s="18" t="s">
        <v>961</v>
      </c>
      <c r="F906" s="19">
        <f t="shared" si="76"/>
        <v>25</v>
      </c>
      <c r="G906" s="19" t="str">
        <f t="shared" si="75"/>
        <v>PC</v>
      </c>
      <c r="H906" s="18" t="s">
        <v>3197</v>
      </c>
      <c r="I906" s="14" t="s">
        <v>441</v>
      </c>
    </row>
    <row r="907" spans="1:9" ht="26.4" x14ac:dyDescent="0.25">
      <c r="A907" s="17" t="s">
        <v>320</v>
      </c>
      <c r="B907" s="14" t="s">
        <v>155</v>
      </c>
      <c r="C907" s="18" t="s">
        <v>1730</v>
      </c>
      <c r="D907" s="14" t="str">
        <f t="shared" si="77"/>
        <v>1ST-358-906</v>
      </c>
      <c r="E907" s="18" t="s">
        <v>1731</v>
      </c>
      <c r="F907" s="19">
        <f t="shared" si="76"/>
        <v>37.5</v>
      </c>
      <c r="G907" s="19" t="str">
        <f t="shared" si="75"/>
        <v>PC</v>
      </c>
      <c r="H907" s="18" t="s">
        <v>3198</v>
      </c>
      <c r="I907" s="14" t="s">
        <v>441</v>
      </c>
    </row>
    <row r="908" spans="1:9" ht="26.4" x14ac:dyDescent="0.25">
      <c r="A908" s="17" t="s">
        <v>320</v>
      </c>
      <c r="B908" s="14" t="s">
        <v>155</v>
      </c>
      <c r="C908" s="18" t="s">
        <v>1732</v>
      </c>
      <c r="D908" s="14" t="str">
        <f t="shared" si="77"/>
        <v>1ST-358-907</v>
      </c>
      <c r="E908" s="18" t="s">
        <v>1505</v>
      </c>
      <c r="F908" s="19">
        <f t="shared" si="76"/>
        <v>62</v>
      </c>
      <c r="G908" s="19" t="str">
        <f t="shared" si="75"/>
        <v>PC</v>
      </c>
      <c r="H908" s="18" t="s">
        <v>3199</v>
      </c>
      <c r="I908" s="14" t="s">
        <v>441</v>
      </c>
    </row>
    <row r="909" spans="1:9" ht="26.4" x14ac:dyDescent="0.25">
      <c r="A909" s="17" t="s">
        <v>320</v>
      </c>
      <c r="B909" s="14" t="s">
        <v>155</v>
      </c>
      <c r="C909" s="18" t="s">
        <v>1733</v>
      </c>
      <c r="D909" s="14" t="str">
        <f t="shared" si="77"/>
        <v>1ST-358-908</v>
      </c>
      <c r="E909" s="18" t="s">
        <v>685</v>
      </c>
      <c r="F909" s="19">
        <f t="shared" si="76"/>
        <v>76</v>
      </c>
      <c r="G909" s="19" t="str">
        <f t="shared" si="75"/>
        <v>PC</v>
      </c>
      <c r="H909" s="18" t="s">
        <v>3200</v>
      </c>
      <c r="I909" s="14" t="s">
        <v>441</v>
      </c>
    </row>
    <row r="910" spans="1:9" ht="26.4" x14ac:dyDescent="0.25">
      <c r="A910" s="17" t="s">
        <v>320</v>
      </c>
      <c r="B910" s="14" t="s">
        <v>154</v>
      </c>
      <c r="C910" s="18" t="s">
        <v>1734</v>
      </c>
      <c r="D910" s="14" t="str">
        <f t="shared" si="77"/>
        <v>1ST-358-909</v>
      </c>
      <c r="E910" s="18" t="s">
        <v>922</v>
      </c>
      <c r="F910" s="19">
        <f t="shared" si="76"/>
        <v>17</v>
      </c>
      <c r="G910" s="19" t="str">
        <f t="shared" si="75"/>
        <v>PC</v>
      </c>
      <c r="H910" s="18" t="s">
        <v>3201</v>
      </c>
      <c r="I910" s="14" t="s">
        <v>441</v>
      </c>
    </row>
    <row r="911" spans="1:9" ht="26.4" x14ac:dyDescent="0.25">
      <c r="A911" s="17" t="s">
        <v>320</v>
      </c>
      <c r="B911" s="14" t="s">
        <v>154</v>
      </c>
      <c r="C911" s="18" t="s">
        <v>1735</v>
      </c>
      <c r="D911" s="14" t="str">
        <f t="shared" si="77"/>
        <v>1ST-358-910</v>
      </c>
      <c r="E911" s="18" t="s">
        <v>911</v>
      </c>
      <c r="F911" s="19">
        <f t="shared" si="76"/>
        <v>20</v>
      </c>
      <c r="G911" s="19" t="str">
        <f t="shared" si="75"/>
        <v>PC</v>
      </c>
      <c r="H911" s="18" t="s">
        <v>3202</v>
      </c>
      <c r="I911" s="14" t="s">
        <v>441</v>
      </c>
    </row>
    <row r="912" spans="1:9" ht="26.4" x14ac:dyDescent="0.25">
      <c r="A912" s="17" t="s">
        <v>320</v>
      </c>
      <c r="B912" s="14" t="s">
        <v>154</v>
      </c>
      <c r="C912" s="18" t="s">
        <v>1736</v>
      </c>
      <c r="D912" s="14" t="str">
        <f t="shared" si="77"/>
        <v>1ST-358-911</v>
      </c>
      <c r="E912" s="18" t="s">
        <v>498</v>
      </c>
      <c r="F912" s="19">
        <f t="shared" si="76"/>
        <v>28</v>
      </c>
      <c r="G912" s="19" t="str">
        <f t="shared" si="75"/>
        <v>PC</v>
      </c>
      <c r="H912" s="18" t="s">
        <v>3203</v>
      </c>
      <c r="I912" s="14" t="s">
        <v>441</v>
      </c>
    </row>
    <row r="913" spans="1:9" ht="26.4" x14ac:dyDescent="0.25">
      <c r="A913" s="17" t="s">
        <v>320</v>
      </c>
      <c r="B913" s="14" t="s">
        <v>154</v>
      </c>
      <c r="C913" s="18" t="s">
        <v>1737</v>
      </c>
      <c r="D913" s="14" t="str">
        <f t="shared" si="77"/>
        <v>1ST-358-912</v>
      </c>
      <c r="E913" s="18" t="s">
        <v>644</v>
      </c>
      <c r="F913" s="19">
        <f t="shared" si="76"/>
        <v>49</v>
      </c>
      <c r="G913" s="19" t="str">
        <f t="shared" si="75"/>
        <v>PC</v>
      </c>
      <c r="H913" s="18" t="s">
        <v>3204</v>
      </c>
      <c r="I913" s="14" t="s">
        <v>441</v>
      </c>
    </row>
    <row r="914" spans="1:9" ht="26.4" x14ac:dyDescent="0.25">
      <c r="A914" s="17" t="s">
        <v>320</v>
      </c>
      <c r="B914" s="14" t="s">
        <v>154</v>
      </c>
      <c r="C914" s="18" t="s">
        <v>1738</v>
      </c>
      <c r="D914" s="14" t="str">
        <f t="shared" si="77"/>
        <v>1ST-358-913</v>
      </c>
      <c r="E914" s="18" t="s">
        <v>1196</v>
      </c>
      <c r="F914" s="19">
        <f t="shared" si="76"/>
        <v>72</v>
      </c>
      <c r="G914" s="19" t="str">
        <f t="shared" si="75"/>
        <v>PC</v>
      </c>
      <c r="H914" s="18" t="s">
        <v>3205</v>
      </c>
      <c r="I914" s="14" t="s">
        <v>441</v>
      </c>
    </row>
    <row r="915" spans="1:9" ht="26.4" x14ac:dyDescent="0.25">
      <c r="A915" s="17" t="s">
        <v>320</v>
      </c>
      <c r="B915" s="14" t="s">
        <v>154</v>
      </c>
      <c r="C915" s="18" t="s">
        <v>1739</v>
      </c>
      <c r="D915" s="14" t="str">
        <f t="shared" si="77"/>
        <v>1ST-358-914</v>
      </c>
      <c r="E915" s="18" t="s">
        <v>1074</v>
      </c>
      <c r="F915" s="19">
        <f t="shared" si="76"/>
        <v>116</v>
      </c>
      <c r="G915" s="19" t="str">
        <f t="shared" si="75"/>
        <v>PC</v>
      </c>
      <c r="H915" s="18" t="s">
        <v>3206</v>
      </c>
      <c r="I915" s="14" t="s">
        <v>441</v>
      </c>
    </row>
    <row r="916" spans="1:9" ht="26.4" x14ac:dyDescent="0.25">
      <c r="A916" s="17" t="s">
        <v>320</v>
      </c>
      <c r="B916" s="14" t="s">
        <v>154</v>
      </c>
      <c r="C916" s="18" t="s">
        <v>1740</v>
      </c>
      <c r="D916" s="14" t="str">
        <f t="shared" si="77"/>
        <v>1ST-358-915</v>
      </c>
      <c r="E916" s="18" t="s">
        <v>1741</v>
      </c>
      <c r="F916" s="19">
        <f t="shared" si="76"/>
        <v>138</v>
      </c>
      <c r="G916" s="19" t="str">
        <f t="shared" si="75"/>
        <v>PC</v>
      </c>
      <c r="H916" s="18" t="s">
        <v>3207</v>
      </c>
      <c r="I916" s="14" t="s">
        <v>441</v>
      </c>
    </row>
    <row r="917" spans="1:9" ht="26.4" x14ac:dyDescent="0.25">
      <c r="A917" s="17" t="s">
        <v>320</v>
      </c>
      <c r="B917" s="14" t="s">
        <v>153</v>
      </c>
      <c r="C917" s="19" t="s">
        <v>1742</v>
      </c>
      <c r="D917" s="14" t="str">
        <f t="shared" si="77"/>
        <v>1ST-358-916</v>
      </c>
      <c r="E917" s="19" t="s">
        <v>966</v>
      </c>
      <c r="F917" s="19">
        <f t="shared" si="76"/>
        <v>5</v>
      </c>
      <c r="G917" s="19" t="str">
        <f t="shared" si="75"/>
        <v>PC</v>
      </c>
      <c r="H917" s="18" t="s">
        <v>3208</v>
      </c>
      <c r="I917" s="14" t="s">
        <v>441</v>
      </c>
    </row>
    <row r="918" spans="1:9" ht="26.4" x14ac:dyDescent="0.25">
      <c r="A918" s="17" t="s">
        <v>320</v>
      </c>
      <c r="B918" s="14" t="s">
        <v>153</v>
      </c>
      <c r="C918" s="19" t="s">
        <v>1743</v>
      </c>
      <c r="D918" s="14" t="str">
        <f t="shared" si="77"/>
        <v>1ST-358-917</v>
      </c>
      <c r="E918" s="19" t="s">
        <v>1640</v>
      </c>
      <c r="F918" s="19">
        <f t="shared" si="76"/>
        <v>7</v>
      </c>
      <c r="G918" s="19" t="str">
        <f t="shared" si="75"/>
        <v>PC</v>
      </c>
      <c r="H918" s="18" t="s">
        <v>3209</v>
      </c>
      <c r="I918" s="14" t="s">
        <v>441</v>
      </c>
    </row>
    <row r="919" spans="1:9" ht="26.4" x14ac:dyDescent="0.25">
      <c r="A919" s="17" t="s">
        <v>320</v>
      </c>
      <c r="B919" s="14" t="s">
        <v>153</v>
      </c>
      <c r="C919" s="19" t="s">
        <v>1744</v>
      </c>
      <c r="D919" s="14" t="str">
        <f t="shared" si="77"/>
        <v>1ST-358-918</v>
      </c>
      <c r="E919" s="19" t="s">
        <v>487</v>
      </c>
      <c r="F919" s="19">
        <f t="shared" si="76"/>
        <v>9.5</v>
      </c>
      <c r="G919" s="19" t="str">
        <f t="shared" si="75"/>
        <v>PC</v>
      </c>
      <c r="H919" s="18" t="s">
        <v>3210</v>
      </c>
      <c r="I919" s="14" t="s">
        <v>441</v>
      </c>
    </row>
    <row r="920" spans="1:9" x14ac:dyDescent="0.25">
      <c r="A920" s="17" t="s">
        <v>320</v>
      </c>
      <c r="B920" s="14" t="s">
        <v>153</v>
      </c>
      <c r="C920" s="18" t="s">
        <v>1745</v>
      </c>
      <c r="D920" s="14" t="str">
        <f t="shared" si="77"/>
        <v>1ST-358-919</v>
      </c>
      <c r="E920" s="18" t="s">
        <v>965</v>
      </c>
      <c r="F920" s="19">
        <f t="shared" si="76"/>
        <v>15</v>
      </c>
      <c r="G920" s="19" t="str">
        <f t="shared" si="75"/>
        <v>PC</v>
      </c>
      <c r="H920" s="18" t="s">
        <v>2753</v>
      </c>
      <c r="I920" s="14" t="s">
        <v>441</v>
      </c>
    </row>
    <row r="921" spans="1:9" ht="26.4" x14ac:dyDescent="0.25">
      <c r="A921" s="17" t="s">
        <v>320</v>
      </c>
      <c r="B921" s="14" t="s">
        <v>153</v>
      </c>
      <c r="C921" s="19" t="s">
        <v>1746</v>
      </c>
      <c r="D921" s="14" t="str">
        <f t="shared" si="77"/>
        <v>1ST-358-920</v>
      </c>
      <c r="E921" s="19" t="s">
        <v>1484</v>
      </c>
      <c r="F921" s="19">
        <f t="shared" si="76"/>
        <v>29</v>
      </c>
      <c r="G921" s="19" t="str">
        <f t="shared" si="75"/>
        <v>PC</v>
      </c>
      <c r="H921" s="18" t="s">
        <v>3211</v>
      </c>
      <c r="I921" s="14" t="s">
        <v>441</v>
      </c>
    </row>
    <row r="922" spans="1:9" ht="26.4" x14ac:dyDescent="0.25">
      <c r="A922" s="17" t="s">
        <v>320</v>
      </c>
      <c r="B922" s="14" t="s">
        <v>153</v>
      </c>
      <c r="C922" s="19" t="s">
        <v>1747</v>
      </c>
      <c r="D922" s="14" t="str">
        <f t="shared" si="77"/>
        <v>1ST-358-921</v>
      </c>
      <c r="E922" s="19" t="s">
        <v>1503</v>
      </c>
      <c r="F922" s="19">
        <f t="shared" si="76"/>
        <v>51</v>
      </c>
      <c r="G922" s="19" t="str">
        <f t="shared" si="75"/>
        <v>PC</v>
      </c>
      <c r="H922" s="18" t="s">
        <v>3212</v>
      </c>
      <c r="I922" s="14" t="s">
        <v>441</v>
      </c>
    </row>
    <row r="923" spans="1:9" x14ac:dyDescent="0.25">
      <c r="A923" s="17" t="s">
        <v>320</v>
      </c>
      <c r="B923" s="14" t="s">
        <v>153</v>
      </c>
      <c r="C923" s="19" t="s">
        <v>1748</v>
      </c>
      <c r="D923" s="14" t="str">
        <f t="shared" si="77"/>
        <v>1ST-358-922</v>
      </c>
      <c r="E923" s="19" t="s">
        <v>708</v>
      </c>
      <c r="F923" s="19">
        <f t="shared" si="76"/>
        <v>85</v>
      </c>
      <c r="G923" s="19" t="str">
        <f t="shared" si="75"/>
        <v>PC</v>
      </c>
      <c r="H923" s="18" t="s">
        <v>2754</v>
      </c>
      <c r="I923" s="14" t="s">
        <v>441</v>
      </c>
    </row>
    <row r="924" spans="1:9" ht="26.4" x14ac:dyDescent="0.25">
      <c r="A924" s="17" t="s">
        <v>320</v>
      </c>
      <c r="B924" s="14" t="s">
        <v>153</v>
      </c>
      <c r="C924" s="18" t="s">
        <v>1749</v>
      </c>
      <c r="D924" s="14" t="str">
        <f t="shared" si="77"/>
        <v>1ST-358-923</v>
      </c>
      <c r="E924" s="18" t="s">
        <v>1526</v>
      </c>
      <c r="F924" s="19">
        <f t="shared" si="76"/>
        <v>110</v>
      </c>
      <c r="G924" s="19" t="str">
        <f t="shared" ref="G924:G987" si="78">TRIM(MID(E924,FIND("/",E924)+1,LEN(E924)))</f>
        <v>PC</v>
      </c>
      <c r="H924" s="18" t="s">
        <v>3213</v>
      </c>
      <c r="I924" s="14" t="s">
        <v>441</v>
      </c>
    </row>
    <row r="925" spans="1:9" ht="26.4" x14ac:dyDescent="0.25">
      <c r="A925" s="17" t="s">
        <v>320</v>
      </c>
      <c r="B925" s="14" t="s">
        <v>153</v>
      </c>
      <c r="C925" s="19" t="s">
        <v>1750</v>
      </c>
      <c r="D925" s="14" t="str">
        <f t="shared" si="77"/>
        <v>1ST-358-924</v>
      </c>
      <c r="E925" s="19" t="s">
        <v>1751</v>
      </c>
      <c r="F925" s="19">
        <f t="shared" si="76"/>
        <v>240</v>
      </c>
      <c r="G925" s="19" t="str">
        <f t="shared" si="78"/>
        <v>PC</v>
      </c>
      <c r="H925" s="18" t="s">
        <v>3214</v>
      </c>
      <c r="I925" s="14" t="s">
        <v>441</v>
      </c>
    </row>
    <row r="926" spans="1:9" ht="26.4" x14ac:dyDescent="0.25">
      <c r="A926" s="17" t="s">
        <v>320</v>
      </c>
      <c r="B926" s="14" t="s">
        <v>153</v>
      </c>
      <c r="C926" s="19" t="s">
        <v>1752</v>
      </c>
      <c r="D926" s="14" t="str">
        <f t="shared" si="77"/>
        <v>1ST-358-925</v>
      </c>
      <c r="E926" s="19" t="s">
        <v>1753</v>
      </c>
      <c r="F926" s="19">
        <f t="shared" si="76"/>
        <v>365</v>
      </c>
      <c r="G926" s="19" t="str">
        <f t="shared" si="78"/>
        <v>PC</v>
      </c>
      <c r="H926" s="18" t="s">
        <v>3215</v>
      </c>
      <c r="I926" s="14" t="s">
        <v>441</v>
      </c>
    </row>
    <row r="927" spans="1:9" ht="26.4" x14ac:dyDescent="0.25">
      <c r="A927" s="17" t="s">
        <v>320</v>
      </c>
      <c r="B927" s="14" t="s">
        <v>152</v>
      </c>
      <c r="C927" s="18" t="s">
        <v>1754</v>
      </c>
      <c r="D927" s="14" t="str">
        <f t="shared" si="77"/>
        <v>1ST-358-926</v>
      </c>
      <c r="E927" s="18" t="s">
        <v>1755</v>
      </c>
      <c r="F927" s="19">
        <f t="shared" si="76"/>
        <v>2.1</v>
      </c>
      <c r="G927" s="19" t="str">
        <f t="shared" si="78"/>
        <v>PC</v>
      </c>
      <c r="H927" s="18" t="s">
        <v>3216</v>
      </c>
      <c r="I927" s="14" t="s">
        <v>441</v>
      </c>
    </row>
    <row r="928" spans="1:9" ht="26.4" x14ac:dyDescent="0.25">
      <c r="A928" s="17" t="s">
        <v>320</v>
      </c>
      <c r="B928" s="14" t="s">
        <v>152</v>
      </c>
      <c r="C928" s="18" t="s">
        <v>1756</v>
      </c>
      <c r="D928" s="14" t="str">
        <f t="shared" si="77"/>
        <v>1ST-358-927</v>
      </c>
      <c r="E928" s="18" t="s">
        <v>1757</v>
      </c>
      <c r="F928" s="19">
        <f t="shared" si="76"/>
        <v>2.2000000000000002</v>
      </c>
      <c r="G928" s="19" t="str">
        <f t="shared" si="78"/>
        <v>PC</v>
      </c>
      <c r="H928" s="18" t="s">
        <v>3217</v>
      </c>
      <c r="I928" s="14" t="s">
        <v>441</v>
      </c>
    </row>
    <row r="929" spans="1:9" ht="26.4" x14ac:dyDescent="0.25">
      <c r="A929" s="17" t="s">
        <v>320</v>
      </c>
      <c r="B929" s="14" t="s">
        <v>152</v>
      </c>
      <c r="C929" s="18" t="s">
        <v>1758</v>
      </c>
      <c r="D929" s="14" t="str">
        <f t="shared" si="77"/>
        <v>1ST-358-928</v>
      </c>
      <c r="E929" s="18" t="s">
        <v>1759</v>
      </c>
      <c r="F929" s="19">
        <f t="shared" si="76"/>
        <v>2.9</v>
      </c>
      <c r="G929" s="19" t="str">
        <f t="shared" si="78"/>
        <v>PC</v>
      </c>
      <c r="H929" s="18" t="s">
        <v>3218</v>
      </c>
      <c r="I929" s="14" t="s">
        <v>441</v>
      </c>
    </row>
    <row r="930" spans="1:9" ht="26.4" x14ac:dyDescent="0.25">
      <c r="A930" s="17" t="s">
        <v>320</v>
      </c>
      <c r="B930" s="14" t="s">
        <v>152</v>
      </c>
      <c r="C930" s="18" t="s">
        <v>1760</v>
      </c>
      <c r="D930" s="14" t="str">
        <f t="shared" si="77"/>
        <v>1ST-358-929</v>
      </c>
      <c r="E930" s="18" t="s">
        <v>1761</v>
      </c>
      <c r="F930" s="19">
        <f t="shared" si="76"/>
        <v>5.0999999999999996</v>
      </c>
      <c r="G930" s="19" t="str">
        <f t="shared" si="78"/>
        <v>PC</v>
      </c>
      <c r="H930" s="18" t="s">
        <v>3219</v>
      </c>
      <c r="I930" s="14" t="s">
        <v>441</v>
      </c>
    </row>
    <row r="931" spans="1:9" ht="26.4" x14ac:dyDescent="0.25">
      <c r="A931" s="17" t="s">
        <v>320</v>
      </c>
      <c r="B931" s="14" t="s">
        <v>152</v>
      </c>
      <c r="C931" s="18" t="s">
        <v>1762</v>
      </c>
      <c r="D931" s="14" t="str">
        <f t="shared" si="77"/>
        <v>1ST-358-930</v>
      </c>
      <c r="E931" s="18" t="s">
        <v>1763</v>
      </c>
      <c r="F931" s="19">
        <f t="shared" si="76"/>
        <v>9.8000000000000007</v>
      </c>
      <c r="G931" s="19" t="str">
        <f t="shared" si="78"/>
        <v>PC</v>
      </c>
      <c r="H931" s="18" t="s">
        <v>3220</v>
      </c>
      <c r="I931" s="14" t="s">
        <v>441</v>
      </c>
    </row>
    <row r="932" spans="1:9" x14ac:dyDescent="0.25">
      <c r="A932" s="17" t="s">
        <v>320</v>
      </c>
      <c r="B932" s="14" t="s">
        <v>152</v>
      </c>
      <c r="C932" s="18" t="s">
        <v>1764</v>
      </c>
      <c r="D932" s="14" t="str">
        <f t="shared" si="77"/>
        <v>1ST-358-931</v>
      </c>
      <c r="E932" s="18" t="s">
        <v>973</v>
      </c>
      <c r="F932" s="19">
        <f t="shared" si="76"/>
        <v>16</v>
      </c>
      <c r="G932" s="19" t="str">
        <f t="shared" si="78"/>
        <v>PC</v>
      </c>
      <c r="H932" s="18" t="s">
        <v>2755</v>
      </c>
      <c r="I932" s="14" t="s">
        <v>441</v>
      </c>
    </row>
    <row r="933" spans="1:9" ht="26.4" x14ac:dyDescent="0.25">
      <c r="A933" s="17" t="s">
        <v>320</v>
      </c>
      <c r="B933" s="14" t="s">
        <v>152</v>
      </c>
      <c r="C933" s="18" t="s">
        <v>1765</v>
      </c>
      <c r="D933" s="14" t="str">
        <f t="shared" si="77"/>
        <v>1ST-358-932</v>
      </c>
      <c r="E933" s="18" t="s">
        <v>1158</v>
      </c>
      <c r="F933" s="19">
        <f t="shared" si="76"/>
        <v>21</v>
      </c>
      <c r="G933" s="19" t="str">
        <f t="shared" si="78"/>
        <v>PC</v>
      </c>
      <c r="H933" s="18" t="s">
        <v>3221</v>
      </c>
      <c r="I933" s="14" t="s">
        <v>441</v>
      </c>
    </row>
    <row r="934" spans="1:9" ht="26.4" x14ac:dyDescent="0.25">
      <c r="A934" s="17" t="s">
        <v>320</v>
      </c>
      <c r="B934" s="14" t="s">
        <v>152</v>
      </c>
      <c r="C934" s="18" t="s">
        <v>1766</v>
      </c>
      <c r="D934" s="14" t="str">
        <f t="shared" si="77"/>
        <v>1ST-358-933</v>
      </c>
      <c r="E934" s="18" t="s">
        <v>1495</v>
      </c>
      <c r="F934" s="19">
        <f t="shared" si="76"/>
        <v>37</v>
      </c>
      <c r="G934" s="19" t="str">
        <f t="shared" si="78"/>
        <v>PC</v>
      </c>
      <c r="H934" s="18" t="s">
        <v>3222</v>
      </c>
      <c r="I934" s="14" t="s">
        <v>441</v>
      </c>
    </row>
    <row r="935" spans="1:9" ht="26.4" x14ac:dyDescent="0.25">
      <c r="A935" s="17" t="s">
        <v>320</v>
      </c>
      <c r="B935" s="14" t="s">
        <v>152</v>
      </c>
      <c r="C935" s="18" t="s">
        <v>1767</v>
      </c>
      <c r="D935" s="14" t="str">
        <f t="shared" si="77"/>
        <v>1ST-358-934</v>
      </c>
      <c r="E935" s="18" t="s">
        <v>1169</v>
      </c>
      <c r="F935" s="19">
        <f t="shared" si="76"/>
        <v>41</v>
      </c>
      <c r="G935" s="19" t="str">
        <f t="shared" si="78"/>
        <v>PC</v>
      </c>
      <c r="H935" s="18" t="s">
        <v>3223</v>
      </c>
      <c r="I935" s="14" t="s">
        <v>441</v>
      </c>
    </row>
    <row r="936" spans="1:9" ht="26.4" x14ac:dyDescent="0.25">
      <c r="A936" s="17" t="s">
        <v>320</v>
      </c>
      <c r="B936" s="14" t="s">
        <v>152</v>
      </c>
      <c r="C936" s="18" t="s">
        <v>3811</v>
      </c>
      <c r="D936" s="14" t="str">
        <f t="shared" si="77"/>
        <v>1ST-358-935</v>
      </c>
      <c r="E936" s="18" t="s">
        <v>884</v>
      </c>
      <c r="F936" s="19">
        <f t="shared" ref="F936:F999" si="79">VALUE(LEFT(E936,FIND("/",E936)-1))</f>
        <v>63</v>
      </c>
      <c r="G936" s="19" t="str">
        <f t="shared" si="78"/>
        <v>PC</v>
      </c>
      <c r="H936" s="18" t="s">
        <v>3224</v>
      </c>
      <c r="I936" s="14" t="s">
        <v>441</v>
      </c>
    </row>
    <row r="937" spans="1:9" ht="26.4" x14ac:dyDescent="0.25">
      <c r="A937" s="17" t="s">
        <v>320</v>
      </c>
      <c r="B937" s="14" t="s">
        <v>152</v>
      </c>
      <c r="C937" s="18" t="s">
        <v>3812</v>
      </c>
      <c r="D937" s="14" t="str">
        <f t="shared" si="77"/>
        <v>1ST-358-936</v>
      </c>
      <c r="E937" s="18" t="s">
        <v>655</v>
      </c>
      <c r="F937" s="19">
        <f t="shared" si="79"/>
        <v>95</v>
      </c>
      <c r="G937" s="19" t="str">
        <f t="shared" si="78"/>
        <v>PC</v>
      </c>
      <c r="H937" s="18" t="s">
        <v>3225</v>
      </c>
      <c r="I937" s="14" t="s">
        <v>441</v>
      </c>
    </row>
    <row r="938" spans="1:9" x14ac:dyDescent="0.25">
      <c r="A938" s="17" t="s">
        <v>320</v>
      </c>
      <c r="B938" s="14" t="s">
        <v>151</v>
      </c>
      <c r="C938" s="19" t="s">
        <v>1768</v>
      </c>
      <c r="D938" s="14" t="str">
        <f t="shared" si="77"/>
        <v>1ST-358-937</v>
      </c>
      <c r="E938" s="19" t="s">
        <v>1624</v>
      </c>
      <c r="F938" s="19">
        <f t="shared" si="79"/>
        <v>68</v>
      </c>
      <c r="G938" s="19" t="str">
        <f t="shared" si="78"/>
        <v>DOZ</v>
      </c>
      <c r="H938" s="18" t="s">
        <v>2756</v>
      </c>
      <c r="I938" s="14" t="s">
        <v>441</v>
      </c>
    </row>
    <row r="939" spans="1:9" x14ac:dyDescent="0.25">
      <c r="A939" s="17" t="s">
        <v>320</v>
      </c>
      <c r="B939" s="14" t="s">
        <v>151</v>
      </c>
      <c r="C939" s="19" t="s">
        <v>3813</v>
      </c>
      <c r="D939" s="14" t="str">
        <f t="shared" si="77"/>
        <v>1ST-358-938</v>
      </c>
      <c r="E939" s="19" t="s">
        <v>1769</v>
      </c>
      <c r="F939" s="19">
        <f t="shared" si="79"/>
        <v>88</v>
      </c>
      <c r="G939" s="19" t="str">
        <f t="shared" si="78"/>
        <v>DOZ</v>
      </c>
      <c r="H939" s="18" t="s">
        <v>2757</v>
      </c>
      <c r="I939" s="14" t="s">
        <v>441</v>
      </c>
    </row>
    <row r="940" spans="1:9" x14ac:dyDescent="0.25">
      <c r="A940" s="17" t="s">
        <v>320</v>
      </c>
      <c r="B940" s="14" t="s">
        <v>151</v>
      </c>
      <c r="C940" s="19" t="s">
        <v>1770</v>
      </c>
      <c r="D940" s="14" t="str">
        <f t="shared" si="77"/>
        <v>1ST-358-939</v>
      </c>
      <c r="E940" s="19" t="s">
        <v>1622</v>
      </c>
      <c r="F940" s="19">
        <f t="shared" si="79"/>
        <v>65</v>
      </c>
      <c r="G940" s="19" t="str">
        <f t="shared" si="78"/>
        <v>DOZ</v>
      </c>
      <c r="H940" s="18" t="s">
        <v>2758</v>
      </c>
      <c r="I940" s="14" t="s">
        <v>441</v>
      </c>
    </row>
    <row r="941" spans="1:9" x14ac:dyDescent="0.25">
      <c r="A941" s="17" t="s">
        <v>320</v>
      </c>
      <c r="B941" s="14" t="s">
        <v>151</v>
      </c>
      <c r="C941" s="18" t="s">
        <v>1771</v>
      </c>
      <c r="D941" s="14" t="str">
        <f t="shared" si="77"/>
        <v>1ST-358-940</v>
      </c>
      <c r="E941" s="18" t="s">
        <v>1772</v>
      </c>
      <c r="F941" s="19">
        <f t="shared" si="79"/>
        <v>61</v>
      </c>
      <c r="G941" s="19" t="str">
        <f t="shared" si="78"/>
        <v>PAIR</v>
      </c>
      <c r="H941" s="18" t="s">
        <v>2759</v>
      </c>
      <c r="I941" s="14" t="s">
        <v>441</v>
      </c>
    </row>
    <row r="942" spans="1:9" x14ac:dyDescent="0.25">
      <c r="A942" s="17" t="s">
        <v>320</v>
      </c>
      <c r="B942" s="14" t="s">
        <v>151</v>
      </c>
      <c r="C942" s="18" t="s">
        <v>1773</v>
      </c>
      <c r="D942" s="14" t="str">
        <f t="shared" si="77"/>
        <v>1ST-358-941</v>
      </c>
      <c r="E942" s="18" t="s">
        <v>1774</v>
      </c>
      <c r="F942" s="19">
        <f t="shared" si="79"/>
        <v>106</v>
      </c>
      <c r="G942" s="19" t="str">
        <f t="shared" si="78"/>
        <v>PAIR</v>
      </c>
      <c r="H942" s="18" t="s">
        <v>2760</v>
      </c>
      <c r="I942" s="14" t="s">
        <v>441</v>
      </c>
    </row>
    <row r="943" spans="1:9" x14ac:dyDescent="0.25">
      <c r="A943" s="17" t="s">
        <v>320</v>
      </c>
      <c r="B943" s="14" t="s">
        <v>151</v>
      </c>
      <c r="C943" s="18" t="s">
        <v>1775</v>
      </c>
      <c r="D943" s="14" t="str">
        <f t="shared" si="77"/>
        <v>1ST-358-942</v>
      </c>
      <c r="E943" s="18" t="s">
        <v>1776</v>
      </c>
      <c r="F943" s="19">
        <f t="shared" si="79"/>
        <v>118</v>
      </c>
      <c r="G943" s="19" t="str">
        <f t="shared" si="78"/>
        <v>PAIR</v>
      </c>
      <c r="H943" s="18" t="s">
        <v>2761</v>
      </c>
      <c r="I943" s="14" t="s">
        <v>441</v>
      </c>
    </row>
    <row r="944" spans="1:9" x14ac:dyDescent="0.25">
      <c r="A944" s="17" t="s">
        <v>320</v>
      </c>
      <c r="B944" s="14" t="s">
        <v>151</v>
      </c>
      <c r="C944" s="18" t="s">
        <v>1777</v>
      </c>
      <c r="D944" s="14" t="str">
        <f t="shared" si="77"/>
        <v>1ST-358-943</v>
      </c>
      <c r="E944" s="18" t="s">
        <v>1778</v>
      </c>
      <c r="F944" s="19">
        <f t="shared" si="79"/>
        <v>138</v>
      </c>
      <c r="G944" s="19" t="str">
        <f t="shared" si="78"/>
        <v>PAIR</v>
      </c>
      <c r="H944" s="18" t="s">
        <v>2762</v>
      </c>
      <c r="I944" s="14" t="s">
        <v>441</v>
      </c>
    </row>
    <row r="945" spans="1:9" x14ac:dyDescent="0.25">
      <c r="A945" s="17" t="s">
        <v>320</v>
      </c>
      <c r="B945" s="14" t="s">
        <v>151</v>
      </c>
      <c r="C945" s="19" t="s">
        <v>1779</v>
      </c>
      <c r="D945" s="14" t="str">
        <f t="shared" si="77"/>
        <v>1ST-358-944</v>
      </c>
      <c r="E945" s="19" t="s">
        <v>1780</v>
      </c>
      <c r="F945" s="19">
        <f t="shared" si="79"/>
        <v>15</v>
      </c>
      <c r="G945" s="19" t="str">
        <f t="shared" si="78"/>
        <v>PAIR</v>
      </c>
      <c r="H945" s="14" t="s">
        <v>441</v>
      </c>
      <c r="I945" s="14" t="s">
        <v>441</v>
      </c>
    </row>
    <row r="946" spans="1:9" x14ac:dyDescent="0.25">
      <c r="A946" s="17" t="s">
        <v>320</v>
      </c>
      <c r="B946" s="14" t="s">
        <v>150</v>
      </c>
      <c r="C946" s="18" t="s">
        <v>1781</v>
      </c>
      <c r="D946" s="14" t="str">
        <f t="shared" si="77"/>
        <v>1ST-358-945</v>
      </c>
      <c r="E946" s="14" t="s">
        <v>822</v>
      </c>
      <c r="F946" s="19">
        <f t="shared" si="79"/>
        <v>175</v>
      </c>
      <c r="G946" s="19" t="str">
        <f t="shared" si="78"/>
        <v>PAIR</v>
      </c>
      <c r="H946" s="14" t="s">
        <v>441</v>
      </c>
      <c r="I946" s="14" t="s">
        <v>441</v>
      </c>
    </row>
    <row r="947" spans="1:9" x14ac:dyDescent="0.25">
      <c r="A947" s="17" t="s">
        <v>320</v>
      </c>
      <c r="B947" s="14" t="s">
        <v>150</v>
      </c>
      <c r="C947" s="18" t="s">
        <v>1782</v>
      </c>
      <c r="D947" s="14" t="str">
        <f t="shared" si="77"/>
        <v>1ST-358-946</v>
      </c>
      <c r="E947" s="14" t="s">
        <v>822</v>
      </c>
      <c r="F947" s="19">
        <f t="shared" si="79"/>
        <v>175</v>
      </c>
      <c r="G947" s="19" t="str">
        <f t="shared" si="78"/>
        <v>PAIR</v>
      </c>
      <c r="H947" s="14" t="s">
        <v>441</v>
      </c>
      <c r="I947" s="14" t="s">
        <v>441</v>
      </c>
    </row>
    <row r="948" spans="1:9" x14ac:dyDescent="0.25">
      <c r="A948" s="17" t="s">
        <v>320</v>
      </c>
      <c r="B948" s="14" t="s">
        <v>150</v>
      </c>
      <c r="C948" s="18" t="s">
        <v>1783</v>
      </c>
      <c r="D948" s="14" t="str">
        <f t="shared" si="77"/>
        <v>1ST-358-947</v>
      </c>
      <c r="E948" s="14" t="s">
        <v>822</v>
      </c>
      <c r="F948" s="19">
        <f t="shared" si="79"/>
        <v>175</v>
      </c>
      <c r="G948" s="19" t="str">
        <f t="shared" si="78"/>
        <v>PAIR</v>
      </c>
      <c r="H948" s="14" t="s">
        <v>441</v>
      </c>
      <c r="I948" s="14" t="s">
        <v>441</v>
      </c>
    </row>
    <row r="949" spans="1:9" x14ac:dyDescent="0.25">
      <c r="A949" s="17" t="s">
        <v>320</v>
      </c>
      <c r="B949" s="14" t="s">
        <v>150</v>
      </c>
      <c r="C949" s="18" t="s">
        <v>1784</v>
      </c>
      <c r="D949" s="14" t="str">
        <f t="shared" si="77"/>
        <v>1ST-358-948</v>
      </c>
      <c r="E949" s="14" t="s">
        <v>822</v>
      </c>
      <c r="F949" s="19">
        <f t="shared" si="79"/>
        <v>175</v>
      </c>
      <c r="G949" s="19" t="str">
        <f t="shared" si="78"/>
        <v>PAIR</v>
      </c>
      <c r="H949" s="14" t="s">
        <v>441</v>
      </c>
      <c r="I949" s="14" t="s">
        <v>441</v>
      </c>
    </row>
    <row r="950" spans="1:9" x14ac:dyDescent="0.25">
      <c r="A950" s="17" t="s">
        <v>320</v>
      </c>
      <c r="B950" s="14" t="s">
        <v>150</v>
      </c>
      <c r="C950" s="18" t="s">
        <v>1785</v>
      </c>
      <c r="D950" s="14" t="str">
        <f t="shared" si="77"/>
        <v>1ST-358-949</v>
      </c>
      <c r="E950" s="14" t="s">
        <v>822</v>
      </c>
      <c r="F950" s="19">
        <f t="shared" si="79"/>
        <v>175</v>
      </c>
      <c r="G950" s="19" t="str">
        <f t="shared" si="78"/>
        <v>PAIR</v>
      </c>
      <c r="H950" s="14" t="s">
        <v>441</v>
      </c>
      <c r="I950" s="14" t="s">
        <v>441</v>
      </c>
    </row>
    <row r="951" spans="1:9" x14ac:dyDescent="0.25">
      <c r="A951" s="17" t="s">
        <v>320</v>
      </c>
      <c r="B951" s="14" t="s">
        <v>150</v>
      </c>
      <c r="C951" s="18" t="s">
        <v>1786</v>
      </c>
      <c r="D951" s="14" t="str">
        <f t="shared" si="77"/>
        <v>1ST-358-950</v>
      </c>
      <c r="E951" s="14" t="s">
        <v>822</v>
      </c>
      <c r="F951" s="19">
        <f t="shared" si="79"/>
        <v>175</v>
      </c>
      <c r="G951" s="19" t="str">
        <f t="shared" si="78"/>
        <v>PAIR</v>
      </c>
      <c r="H951" s="14" t="s">
        <v>441</v>
      </c>
      <c r="I951" s="14" t="s">
        <v>441</v>
      </c>
    </row>
    <row r="952" spans="1:9" x14ac:dyDescent="0.25">
      <c r="A952" s="17" t="s">
        <v>320</v>
      </c>
      <c r="B952" s="14" t="s">
        <v>150</v>
      </c>
      <c r="C952" s="19" t="s">
        <v>1787</v>
      </c>
      <c r="D952" s="14" t="str">
        <f t="shared" si="77"/>
        <v>1ST-358-951</v>
      </c>
      <c r="E952" s="14" t="s">
        <v>823</v>
      </c>
      <c r="F952" s="19">
        <f t="shared" si="79"/>
        <v>195</v>
      </c>
      <c r="G952" s="19" t="str">
        <f t="shared" si="78"/>
        <v>PAIR</v>
      </c>
      <c r="H952" s="14" t="s">
        <v>441</v>
      </c>
      <c r="I952" s="14" t="s">
        <v>441</v>
      </c>
    </row>
    <row r="953" spans="1:9" x14ac:dyDescent="0.25">
      <c r="A953" s="17" t="s">
        <v>320</v>
      </c>
      <c r="B953" s="14" t="s">
        <v>150</v>
      </c>
      <c r="C953" s="18" t="s">
        <v>3814</v>
      </c>
      <c r="D953" s="14" t="str">
        <f t="shared" si="77"/>
        <v>1ST-358-952</v>
      </c>
      <c r="E953" s="14" t="s">
        <v>823</v>
      </c>
      <c r="F953" s="19">
        <f t="shared" si="79"/>
        <v>195</v>
      </c>
      <c r="G953" s="19" t="str">
        <f t="shared" si="78"/>
        <v>PAIR</v>
      </c>
      <c r="H953" s="14" t="s">
        <v>441</v>
      </c>
      <c r="I953" s="14" t="s">
        <v>441</v>
      </c>
    </row>
    <row r="954" spans="1:9" x14ac:dyDescent="0.25">
      <c r="A954" s="17" t="s">
        <v>320</v>
      </c>
      <c r="B954" s="14" t="s">
        <v>150</v>
      </c>
      <c r="C954" s="18" t="s">
        <v>1788</v>
      </c>
      <c r="D954" s="14" t="str">
        <f t="shared" si="77"/>
        <v>1ST-358-953</v>
      </c>
      <c r="E954" s="14" t="s">
        <v>823</v>
      </c>
      <c r="F954" s="19">
        <f t="shared" si="79"/>
        <v>195</v>
      </c>
      <c r="G954" s="19" t="str">
        <f t="shared" si="78"/>
        <v>PAIR</v>
      </c>
      <c r="H954" s="14" t="s">
        <v>441</v>
      </c>
      <c r="I954" s="14" t="s">
        <v>441</v>
      </c>
    </row>
    <row r="955" spans="1:9" x14ac:dyDescent="0.25">
      <c r="A955" s="17" t="s">
        <v>320</v>
      </c>
      <c r="B955" s="14" t="s">
        <v>150</v>
      </c>
      <c r="C955" s="18" t="s">
        <v>1789</v>
      </c>
      <c r="D955" s="14" t="str">
        <f t="shared" si="77"/>
        <v>1ST-358-954</v>
      </c>
      <c r="E955" s="14" t="s">
        <v>823</v>
      </c>
      <c r="F955" s="19">
        <f t="shared" si="79"/>
        <v>195</v>
      </c>
      <c r="G955" s="19" t="str">
        <f t="shared" si="78"/>
        <v>PAIR</v>
      </c>
      <c r="H955" s="14" t="s">
        <v>441</v>
      </c>
      <c r="I955" s="14" t="s">
        <v>441</v>
      </c>
    </row>
    <row r="956" spans="1:9" x14ac:dyDescent="0.25">
      <c r="A956" s="17" t="s">
        <v>320</v>
      </c>
      <c r="B956" s="14" t="s">
        <v>150</v>
      </c>
      <c r="C956" s="19" t="s">
        <v>1790</v>
      </c>
      <c r="D956" s="14" t="str">
        <f t="shared" si="77"/>
        <v>1ST-358-955</v>
      </c>
      <c r="E956" s="14" t="s">
        <v>823</v>
      </c>
      <c r="F956" s="19">
        <f t="shared" si="79"/>
        <v>195</v>
      </c>
      <c r="G956" s="19" t="str">
        <f t="shared" si="78"/>
        <v>PAIR</v>
      </c>
      <c r="H956" s="14" t="s">
        <v>441</v>
      </c>
      <c r="I956" s="14" t="s">
        <v>441</v>
      </c>
    </row>
    <row r="957" spans="1:9" x14ac:dyDescent="0.25">
      <c r="A957" s="17" t="s">
        <v>320</v>
      </c>
      <c r="B957" s="14" t="s">
        <v>150</v>
      </c>
      <c r="C957" s="18" t="s">
        <v>1791</v>
      </c>
      <c r="D957" s="14" t="str">
        <f t="shared" si="77"/>
        <v>1ST-358-956</v>
      </c>
      <c r="E957" s="14" t="s">
        <v>823</v>
      </c>
      <c r="F957" s="19">
        <f t="shared" si="79"/>
        <v>195</v>
      </c>
      <c r="G957" s="19" t="str">
        <f t="shared" si="78"/>
        <v>PAIR</v>
      </c>
      <c r="H957" s="14" t="s">
        <v>441</v>
      </c>
      <c r="I957" s="14" t="s">
        <v>441</v>
      </c>
    </row>
    <row r="958" spans="1:9" x14ac:dyDescent="0.25">
      <c r="A958" s="17" t="s">
        <v>320</v>
      </c>
      <c r="B958" s="14" t="s">
        <v>150</v>
      </c>
      <c r="C958" s="18" t="s">
        <v>1792</v>
      </c>
      <c r="D958" s="14" t="str">
        <f t="shared" si="77"/>
        <v>1ST-358-957</v>
      </c>
      <c r="E958" s="14" t="s">
        <v>823</v>
      </c>
      <c r="F958" s="19">
        <f t="shared" si="79"/>
        <v>195</v>
      </c>
      <c r="G958" s="19" t="str">
        <f t="shared" si="78"/>
        <v>PAIR</v>
      </c>
      <c r="H958" s="14" t="s">
        <v>441</v>
      </c>
      <c r="I958" s="14" t="s">
        <v>441</v>
      </c>
    </row>
    <row r="959" spans="1:9" ht="52.8" x14ac:dyDescent="0.25">
      <c r="A959" s="17" t="s">
        <v>320</v>
      </c>
      <c r="B959" s="14" t="s">
        <v>149</v>
      </c>
      <c r="C959" s="18" t="s">
        <v>1793</v>
      </c>
      <c r="D959" s="14" t="str">
        <f t="shared" si="77"/>
        <v>1ST-358-958</v>
      </c>
      <c r="E959" s="14" t="s">
        <v>824</v>
      </c>
      <c r="F959" s="19">
        <f t="shared" si="79"/>
        <v>235</v>
      </c>
      <c r="G959" s="19" t="str">
        <f t="shared" si="78"/>
        <v>PAIR</v>
      </c>
      <c r="H959" s="20" t="s">
        <v>825</v>
      </c>
      <c r="I959" s="14" t="s">
        <v>441</v>
      </c>
    </row>
    <row r="960" spans="1:9" ht="52.8" x14ac:dyDescent="0.25">
      <c r="A960" s="17" t="s">
        <v>320</v>
      </c>
      <c r="B960" s="14" t="s">
        <v>149</v>
      </c>
      <c r="C960" s="18" t="s">
        <v>1794</v>
      </c>
      <c r="D960" s="14" t="str">
        <f t="shared" si="77"/>
        <v>1ST-358-959</v>
      </c>
      <c r="E960" s="14" t="s">
        <v>824</v>
      </c>
      <c r="F960" s="19">
        <f t="shared" si="79"/>
        <v>235</v>
      </c>
      <c r="G960" s="19" t="str">
        <f t="shared" si="78"/>
        <v>PAIR</v>
      </c>
      <c r="H960" s="20" t="s">
        <v>825</v>
      </c>
      <c r="I960" s="14" t="s">
        <v>441</v>
      </c>
    </row>
    <row r="961" spans="1:9" ht="52.8" x14ac:dyDescent="0.25">
      <c r="A961" s="17" t="s">
        <v>320</v>
      </c>
      <c r="B961" s="14" t="s">
        <v>149</v>
      </c>
      <c r="C961" s="18" t="s">
        <v>1795</v>
      </c>
      <c r="D961" s="14" t="str">
        <f t="shared" si="77"/>
        <v>1ST-358-960</v>
      </c>
      <c r="E961" s="14" t="s">
        <v>824</v>
      </c>
      <c r="F961" s="19">
        <f t="shared" si="79"/>
        <v>235</v>
      </c>
      <c r="G961" s="19" t="str">
        <f t="shared" si="78"/>
        <v>PAIR</v>
      </c>
      <c r="H961" s="20" t="s">
        <v>825</v>
      </c>
      <c r="I961" s="14" t="s">
        <v>441</v>
      </c>
    </row>
    <row r="962" spans="1:9" ht="52.8" x14ac:dyDescent="0.25">
      <c r="A962" s="17" t="s">
        <v>320</v>
      </c>
      <c r="B962" s="14" t="s">
        <v>149</v>
      </c>
      <c r="C962" s="18" t="s">
        <v>1796</v>
      </c>
      <c r="D962" s="14" t="str">
        <f t="shared" si="77"/>
        <v>1ST-358-961</v>
      </c>
      <c r="E962" s="14" t="s">
        <v>824</v>
      </c>
      <c r="F962" s="19">
        <f t="shared" si="79"/>
        <v>235</v>
      </c>
      <c r="G962" s="19" t="str">
        <f t="shared" si="78"/>
        <v>PAIR</v>
      </c>
      <c r="H962" s="20" t="s">
        <v>825</v>
      </c>
      <c r="I962" s="14" t="s">
        <v>441</v>
      </c>
    </row>
    <row r="963" spans="1:9" ht="52.8" x14ac:dyDescent="0.25">
      <c r="A963" s="17" t="s">
        <v>320</v>
      </c>
      <c r="B963" s="14" t="s">
        <v>149</v>
      </c>
      <c r="C963" s="18" t="s">
        <v>1797</v>
      </c>
      <c r="D963" s="14" t="str">
        <f t="shared" si="77"/>
        <v>1ST-358-962</v>
      </c>
      <c r="E963" s="14" t="s">
        <v>824</v>
      </c>
      <c r="F963" s="19">
        <f t="shared" si="79"/>
        <v>235</v>
      </c>
      <c r="G963" s="19" t="str">
        <f t="shared" si="78"/>
        <v>PAIR</v>
      </c>
      <c r="H963" s="20" t="s">
        <v>825</v>
      </c>
      <c r="I963" s="14" t="s">
        <v>441</v>
      </c>
    </row>
    <row r="964" spans="1:9" ht="52.8" x14ac:dyDescent="0.25">
      <c r="A964" s="17" t="s">
        <v>320</v>
      </c>
      <c r="B964" s="14" t="s">
        <v>149</v>
      </c>
      <c r="C964" s="18" t="s">
        <v>1798</v>
      </c>
      <c r="D964" s="14" t="str">
        <f t="shared" si="77"/>
        <v>1ST-358-963</v>
      </c>
      <c r="E964" s="14" t="s">
        <v>824</v>
      </c>
      <c r="F964" s="19">
        <f t="shared" si="79"/>
        <v>235</v>
      </c>
      <c r="G964" s="19" t="str">
        <f t="shared" si="78"/>
        <v>PAIR</v>
      </c>
      <c r="H964" s="20" t="s">
        <v>825</v>
      </c>
      <c r="I964" s="14" t="s">
        <v>441</v>
      </c>
    </row>
    <row r="965" spans="1:9" ht="52.8" x14ac:dyDescent="0.25">
      <c r="A965" s="17" t="s">
        <v>320</v>
      </c>
      <c r="B965" s="14" t="s">
        <v>149</v>
      </c>
      <c r="C965" s="18" t="s">
        <v>1799</v>
      </c>
      <c r="D965" s="14" t="str">
        <f t="shared" ref="D965:D1028" si="80">LEFT($D$2,FIND("-",$D$2,FIND("-",$D$2)+1)) &amp; TEXT(RIGHT($D$2,3)+ROW(D963),"000")</f>
        <v>1ST-358-964</v>
      </c>
      <c r="E965" s="14" t="s">
        <v>824</v>
      </c>
      <c r="F965" s="19">
        <f t="shared" si="79"/>
        <v>235</v>
      </c>
      <c r="G965" s="19" t="str">
        <f t="shared" si="78"/>
        <v>PAIR</v>
      </c>
      <c r="H965" s="20" t="s">
        <v>825</v>
      </c>
      <c r="I965" s="14" t="s">
        <v>441</v>
      </c>
    </row>
    <row r="966" spans="1:9" ht="52.8" x14ac:dyDescent="0.25">
      <c r="A966" s="17" t="s">
        <v>320</v>
      </c>
      <c r="B966" s="14" t="s">
        <v>149</v>
      </c>
      <c r="C966" s="18" t="s">
        <v>1800</v>
      </c>
      <c r="D966" s="14" t="str">
        <f t="shared" si="80"/>
        <v>1ST-358-965</v>
      </c>
      <c r="E966" s="14" t="s">
        <v>824</v>
      </c>
      <c r="F966" s="19">
        <f t="shared" si="79"/>
        <v>235</v>
      </c>
      <c r="G966" s="19" t="str">
        <f t="shared" si="78"/>
        <v>PAIR</v>
      </c>
      <c r="H966" s="20" t="s">
        <v>825</v>
      </c>
      <c r="I966" s="14" t="s">
        <v>441</v>
      </c>
    </row>
    <row r="967" spans="1:9" ht="52.8" x14ac:dyDescent="0.25">
      <c r="A967" s="17" t="s">
        <v>320</v>
      </c>
      <c r="B967" s="14" t="s">
        <v>149</v>
      </c>
      <c r="C967" s="18" t="s">
        <v>1801</v>
      </c>
      <c r="D967" s="14" t="str">
        <f t="shared" si="80"/>
        <v>1ST-358-966</v>
      </c>
      <c r="E967" s="14" t="s">
        <v>824</v>
      </c>
      <c r="F967" s="19">
        <f t="shared" si="79"/>
        <v>235</v>
      </c>
      <c r="G967" s="19" t="str">
        <f t="shared" si="78"/>
        <v>PAIR</v>
      </c>
      <c r="H967" s="20" t="s">
        <v>825</v>
      </c>
      <c r="I967" s="14" t="s">
        <v>441</v>
      </c>
    </row>
    <row r="968" spans="1:9" ht="52.8" x14ac:dyDescent="0.25">
      <c r="A968" s="17" t="s">
        <v>320</v>
      </c>
      <c r="B968" s="14" t="s">
        <v>149</v>
      </c>
      <c r="C968" s="18" t="s">
        <v>1802</v>
      </c>
      <c r="D968" s="14" t="str">
        <f t="shared" si="80"/>
        <v>1ST-358-967</v>
      </c>
      <c r="E968" s="14" t="s">
        <v>824</v>
      </c>
      <c r="F968" s="19">
        <f t="shared" si="79"/>
        <v>235</v>
      </c>
      <c r="G968" s="19" t="str">
        <f t="shared" si="78"/>
        <v>PAIR</v>
      </c>
      <c r="H968" s="20" t="s">
        <v>825</v>
      </c>
      <c r="I968" s="14" t="s">
        <v>441</v>
      </c>
    </row>
    <row r="969" spans="1:9" ht="52.8" x14ac:dyDescent="0.25">
      <c r="A969" s="17" t="s">
        <v>320</v>
      </c>
      <c r="B969" s="14" t="s">
        <v>149</v>
      </c>
      <c r="C969" s="18" t="s">
        <v>1803</v>
      </c>
      <c r="D969" s="14" t="str">
        <f t="shared" si="80"/>
        <v>1ST-358-968</v>
      </c>
      <c r="E969" s="14" t="s">
        <v>824</v>
      </c>
      <c r="F969" s="19">
        <f t="shared" si="79"/>
        <v>235</v>
      </c>
      <c r="G969" s="19" t="str">
        <f t="shared" si="78"/>
        <v>PAIR</v>
      </c>
      <c r="H969" s="20" t="s">
        <v>825</v>
      </c>
      <c r="I969" s="14" t="s">
        <v>441</v>
      </c>
    </row>
    <row r="970" spans="1:9" ht="52.8" x14ac:dyDescent="0.25">
      <c r="A970" s="17" t="s">
        <v>320</v>
      </c>
      <c r="B970" s="14" t="s">
        <v>149</v>
      </c>
      <c r="C970" s="18" t="s">
        <v>1804</v>
      </c>
      <c r="D970" s="14" t="str">
        <f t="shared" si="80"/>
        <v>1ST-358-969</v>
      </c>
      <c r="E970" s="14" t="s">
        <v>824</v>
      </c>
      <c r="F970" s="19">
        <f t="shared" si="79"/>
        <v>235</v>
      </c>
      <c r="G970" s="19" t="str">
        <f t="shared" si="78"/>
        <v>PAIR</v>
      </c>
      <c r="H970" s="20" t="s">
        <v>825</v>
      </c>
      <c r="I970" s="14" t="s">
        <v>441</v>
      </c>
    </row>
    <row r="971" spans="1:9" ht="26.4" x14ac:dyDescent="0.25">
      <c r="A971" s="17" t="s">
        <v>320</v>
      </c>
      <c r="B971" s="14" t="s">
        <v>148</v>
      </c>
      <c r="C971" s="19" t="s">
        <v>1805</v>
      </c>
      <c r="D971" s="14" t="str">
        <f t="shared" si="80"/>
        <v>1ST-358-970</v>
      </c>
      <c r="E971" s="19" t="s">
        <v>616</v>
      </c>
      <c r="F971" s="19">
        <f t="shared" si="79"/>
        <v>57</v>
      </c>
      <c r="G971" s="19" t="str">
        <f t="shared" si="78"/>
        <v>PC</v>
      </c>
      <c r="H971" s="20" t="s">
        <v>826</v>
      </c>
      <c r="I971" s="14" t="s">
        <v>441</v>
      </c>
    </row>
    <row r="972" spans="1:9" ht="26.4" x14ac:dyDescent="0.25">
      <c r="A972" s="17" t="s">
        <v>320</v>
      </c>
      <c r="B972" s="14" t="s">
        <v>148</v>
      </c>
      <c r="C972" s="19" t="s">
        <v>1806</v>
      </c>
      <c r="D972" s="14" t="str">
        <f t="shared" si="80"/>
        <v>1ST-358-971</v>
      </c>
      <c r="E972" s="19" t="s">
        <v>616</v>
      </c>
      <c r="F972" s="19">
        <f t="shared" si="79"/>
        <v>57</v>
      </c>
      <c r="G972" s="19" t="str">
        <f t="shared" si="78"/>
        <v>PC</v>
      </c>
      <c r="H972" s="20" t="s">
        <v>826</v>
      </c>
      <c r="I972" s="14" t="s">
        <v>441</v>
      </c>
    </row>
    <row r="973" spans="1:9" ht="26.4" x14ac:dyDescent="0.25">
      <c r="A973" s="17" t="s">
        <v>320</v>
      </c>
      <c r="B973" s="14" t="s">
        <v>148</v>
      </c>
      <c r="C973" s="19" t="s">
        <v>1807</v>
      </c>
      <c r="D973" s="14" t="str">
        <f t="shared" si="80"/>
        <v>1ST-358-972</v>
      </c>
      <c r="E973" s="19" t="s">
        <v>616</v>
      </c>
      <c r="F973" s="19">
        <f t="shared" si="79"/>
        <v>57</v>
      </c>
      <c r="G973" s="19" t="str">
        <f t="shared" si="78"/>
        <v>PC</v>
      </c>
      <c r="H973" s="20" t="s">
        <v>826</v>
      </c>
      <c r="I973" s="14" t="s">
        <v>441</v>
      </c>
    </row>
    <row r="974" spans="1:9" ht="26.4" x14ac:dyDescent="0.25">
      <c r="A974" s="17" t="s">
        <v>320</v>
      </c>
      <c r="B974" s="14" t="s">
        <v>148</v>
      </c>
      <c r="C974" s="19" t="s">
        <v>1808</v>
      </c>
      <c r="D974" s="14" t="str">
        <f t="shared" si="80"/>
        <v>1ST-358-973</v>
      </c>
      <c r="E974" s="19" t="s">
        <v>616</v>
      </c>
      <c r="F974" s="19">
        <f t="shared" si="79"/>
        <v>57</v>
      </c>
      <c r="G974" s="19" t="str">
        <f t="shared" si="78"/>
        <v>PC</v>
      </c>
      <c r="H974" s="20" t="s">
        <v>826</v>
      </c>
      <c r="I974" s="14" t="s">
        <v>441</v>
      </c>
    </row>
    <row r="975" spans="1:9" ht="26.4" x14ac:dyDescent="0.25">
      <c r="A975" s="17" t="s">
        <v>320</v>
      </c>
      <c r="B975" s="14" t="s">
        <v>148</v>
      </c>
      <c r="C975" s="19" t="s">
        <v>1809</v>
      </c>
      <c r="D975" s="14" t="str">
        <f t="shared" si="80"/>
        <v>1ST-358-974</v>
      </c>
      <c r="E975" s="19" t="s">
        <v>616</v>
      </c>
      <c r="F975" s="19">
        <f t="shared" si="79"/>
        <v>57</v>
      </c>
      <c r="G975" s="19" t="str">
        <f t="shared" si="78"/>
        <v>PC</v>
      </c>
      <c r="H975" s="20" t="s">
        <v>826</v>
      </c>
      <c r="I975" s="14" t="s">
        <v>441</v>
      </c>
    </row>
    <row r="976" spans="1:9" ht="26.4" x14ac:dyDescent="0.25">
      <c r="A976" s="17" t="s">
        <v>320</v>
      </c>
      <c r="B976" s="14" t="s">
        <v>148</v>
      </c>
      <c r="C976" s="19" t="s">
        <v>1810</v>
      </c>
      <c r="D976" s="14" t="str">
        <f t="shared" si="80"/>
        <v>1ST-358-975</v>
      </c>
      <c r="E976" s="19" t="s">
        <v>616</v>
      </c>
      <c r="F976" s="19">
        <f t="shared" si="79"/>
        <v>57</v>
      </c>
      <c r="G976" s="19" t="str">
        <f t="shared" si="78"/>
        <v>PC</v>
      </c>
      <c r="H976" s="20" t="s">
        <v>826</v>
      </c>
      <c r="I976" s="14" t="s">
        <v>441</v>
      </c>
    </row>
    <row r="977" spans="1:9" ht="118.8" x14ac:dyDescent="0.25">
      <c r="A977" s="17" t="s">
        <v>320</v>
      </c>
      <c r="B977" s="14" t="s">
        <v>147</v>
      </c>
      <c r="C977" s="18" t="s">
        <v>1811</v>
      </c>
      <c r="D977" s="14" t="str">
        <f t="shared" si="80"/>
        <v>1ST-358-976</v>
      </c>
      <c r="E977" s="19" t="s">
        <v>1812</v>
      </c>
      <c r="F977" s="19">
        <f t="shared" si="79"/>
        <v>37</v>
      </c>
      <c r="G977" s="19" t="str">
        <f t="shared" si="78"/>
        <v>ROLL</v>
      </c>
      <c r="H977" s="18" t="s">
        <v>2763</v>
      </c>
      <c r="I977" s="20" t="s">
        <v>827</v>
      </c>
    </row>
    <row r="978" spans="1:9" ht="118.8" x14ac:dyDescent="0.25">
      <c r="A978" s="17" t="s">
        <v>320</v>
      </c>
      <c r="B978" s="14" t="s">
        <v>147</v>
      </c>
      <c r="C978" s="18" t="s">
        <v>1813</v>
      </c>
      <c r="D978" s="14" t="str">
        <f t="shared" si="80"/>
        <v>1ST-358-977</v>
      </c>
      <c r="E978" s="19" t="s">
        <v>1814</v>
      </c>
      <c r="F978" s="19">
        <f t="shared" si="79"/>
        <v>59</v>
      </c>
      <c r="G978" s="19" t="str">
        <f t="shared" si="78"/>
        <v>ROLL</v>
      </c>
      <c r="H978" s="18" t="s">
        <v>2764</v>
      </c>
      <c r="I978" s="20" t="s">
        <v>827</v>
      </c>
    </row>
    <row r="979" spans="1:9" ht="118.8" x14ac:dyDescent="0.25">
      <c r="A979" s="17" t="s">
        <v>320</v>
      </c>
      <c r="B979" s="14" t="s">
        <v>147</v>
      </c>
      <c r="C979" s="18" t="s">
        <v>1815</v>
      </c>
      <c r="D979" s="14" t="str">
        <f t="shared" si="80"/>
        <v>1ST-358-978</v>
      </c>
      <c r="E979" s="19" t="s">
        <v>1816</v>
      </c>
      <c r="F979" s="19">
        <f t="shared" si="79"/>
        <v>79</v>
      </c>
      <c r="G979" s="19" t="str">
        <f t="shared" si="78"/>
        <v>ROLL</v>
      </c>
      <c r="H979" s="18" t="s">
        <v>2765</v>
      </c>
      <c r="I979" s="20" t="s">
        <v>827</v>
      </c>
    </row>
    <row r="980" spans="1:9" ht="118.8" x14ac:dyDescent="0.25">
      <c r="A980" s="17" t="s">
        <v>320</v>
      </c>
      <c r="B980" s="14" t="s">
        <v>147</v>
      </c>
      <c r="C980" s="18" t="s">
        <v>1817</v>
      </c>
      <c r="D980" s="14" t="str">
        <f t="shared" si="80"/>
        <v>1ST-358-979</v>
      </c>
      <c r="E980" s="19" t="s">
        <v>1818</v>
      </c>
      <c r="F980" s="19">
        <f t="shared" si="79"/>
        <v>99</v>
      </c>
      <c r="G980" s="19" t="str">
        <f t="shared" si="78"/>
        <v>ROLL</v>
      </c>
      <c r="H980" s="18" t="s">
        <v>2766</v>
      </c>
      <c r="I980" s="20" t="s">
        <v>827</v>
      </c>
    </row>
    <row r="981" spans="1:9" ht="118.8" x14ac:dyDescent="0.25">
      <c r="A981" s="17" t="s">
        <v>320</v>
      </c>
      <c r="B981" s="14" t="s">
        <v>147</v>
      </c>
      <c r="C981" s="18" t="s">
        <v>1819</v>
      </c>
      <c r="D981" s="14" t="str">
        <f t="shared" si="80"/>
        <v>1ST-358-980</v>
      </c>
      <c r="E981" s="19" t="s">
        <v>1820</v>
      </c>
      <c r="F981" s="19">
        <f t="shared" si="79"/>
        <v>120</v>
      </c>
      <c r="G981" s="19" t="str">
        <f t="shared" si="78"/>
        <v>ROLL</v>
      </c>
      <c r="H981" s="18" t="s">
        <v>2767</v>
      </c>
      <c r="I981" s="20" t="s">
        <v>827</v>
      </c>
    </row>
    <row r="982" spans="1:9" ht="118.8" x14ac:dyDescent="0.25">
      <c r="A982" s="17" t="s">
        <v>320</v>
      </c>
      <c r="B982" s="14" t="s">
        <v>147</v>
      </c>
      <c r="C982" s="18" t="s">
        <v>1821</v>
      </c>
      <c r="D982" s="14" t="str">
        <f t="shared" si="80"/>
        <v>1ST-358-981</v>
      </c>
      <c r="E982" s="19" t="s">
        <v>1822</v>
      </c>
      <c r="F982" s="19">
        <f t="shared" si="79"/>
        <v>129</v>
      </c>
      <c r="G982" s="19" t="str">
        <f t="shared" si="78"/>
        <v>ROLL</v>
      </c>
      <c r="H982" s="18" t="s">
        <v>2768</v>
      </c>
      <c r="I982" s="20" t="s">
        <v>827</v>
      </c>
    </row>
    <row r="983" spans="1:9" ht="118.8" x14ac:dyDescent="0.25">
      <c r="A983" s="17" t="s">
        <v>320</v>
      </c>
      <c r="B983" s="14" t="s">
        <v>147</v>
      </c>
      <c r="C983" s="18" t="s">
        <v>1823</v>
      </c>
      <c r="D983" s="14" t="str">
        <f t="shared" si="80"/>
        <v>1ST-358-982</v>
      </c>
      <c r="E983" s="19" t="s">
        <v>1824</v>
      </c>
      <c r="F983" s="19">
        <f t="shared" si="79"/>
        <v>148</v>
      </c>
      <c r="G983" s="19" t="str">
        <f t="shared" si="78"/>
        <v>ROLL</v>
      </c>
      <c r="H983" s="18" t="s">
        <v>2769</v>
      </c>
      <c r="I983" s="20" t="s">
        <v>827</v>
      </c>
    </row>
    <row r="984" spans="1:9" ht="118.8" x14ac:dyDescent="0.25">
      <c r="A984" s="17" t="s">
        <v>320</v>
      </c>
      <c r="B984" s="14" t="s">
        <v>147</v>
      </c>
      <c r="C984" s="18" t="s">
        <v>1825</v>
      </c>
      <c r="D984" s="14" t="str">
        <f t="shared" si="80"/>
        <v>1ST-358-983</v>
      </c>
      <c r="E984" s="19" t="s">
        <v>1826</v>
      </c>
      <c r="F984" s="19">
        <f t="shared" si="79"/>
        <v>203</v>
      </c>
      <c r="G984" s="19" t="str">
        <f t="shared" si="78"/>
        <v>ROLL</v>
      </c>
      <c r="H984" s="18" t="s">
        <v>2770</v>
      </c>
      <c r="I984" s="20" t="s">
        <v>827</v>
      </c>
    </row>
    <row r="985" spans="1:9" ht="118.8" x14ac:dyDescent="0.25">
      <c r="A985" s="17" t="s">
        <v>320</v>
      </c>
      <c r="B985" s="14" t="s">
        <v>147</v>
      </c>
      <c r="C985" s="18" t="s">
        <v>1827</v>
      </c>
      <c r="D985" s="14" t="str">
        <f t="shared" si="80"/>
        <v>1ST-358-984</v>
      </c>
      <c r="E985" s="19" t="s">
        <v>1828</v>
      </c>
      <c r="F985" s="19">
        <f t="shared" si="79"/>
        <v>245</v>
      </c>
      <c r="G985" s="19" t="str">
        <f t="shared" si="78"/>
        <v>ROLL</v>
      </c>
      <c r="H985" s="18" t="s">
        <v>2771</v>
      </c>
      <c r="I985" s="20" t="s">
        <v>827</v>
      </c>
    </row>
    <row r="986" spans="1:9" ht="118.8" x14ac:dyDescent="0.25">
      <c r="A986" s="17" t="s">
        <v>320</v>
      </c>
      <c r="B986" s="14" t="s">
        <v>147</v>
      </c>
      <c r="C986" s="18" t="s">
        <v>1829</v>
      </c>
      <c r="D986" s="14" t="str">
        <f t="shared" si="80"/>
        <v>1ST-358-985</v>
      </c>
      <c r="E986" s="19" t="s">
        <v>1830</v>
      </c>
      <c r="F986" s="19">
        <f t="shared" si="79"/>
        <v>275</v>
      </c>
      <c r="G986" s="19" t="str">
        <f t="shared" si="78"/>
        <v>ROLL</v>
      </c>
      <c r="H986" s="18" t="s">
        <v>3226</v>
      </c>
      <c r="I986" s="20" t="s">
        <v>827</v>
      </c>
    </row>
    <row r="987" spans="1:9" ht="118.8" x14ac:dyDescent="0.25">
      <c r="A987" s="17" t="s">
        <v>320</v>
      </c>
      <c r="B987" s="14" t="s">
        <v>147</v>
      </c>
      <c r="C987" s="18" t="s">
        <v>1831</v>
      </c>
      <c r="D987" s="14" t="str">
        <f t="shared" si="80"/>
        <v>1ST-358-986</v>
      </c>
      <c r="E987" s="19" t="s">
        <v>1832</v>
      </c>
      <c r="F987" s="19">
        <f t="shared" si="79"/>
        <v>430</v>
      </c>
      <c r="G987" s="19" t="str">
        <f t="shared" si="78"/>
        <v>ROLL</v>
      </c>
      <c r="H987" s="18" t="s">
        <v>3227</v>
      </c>
      <c r="I987" s="20" t="s">
        <v>827</v>
      </c>
    </row>
    <row r="988" spans="1:9" ht="118.8" x14ac:dyDescent="0.25">
      <c r="A988" s="17" t="s">
        <v>320</v>
      </c>
      <c r="B988" s="14" t="s">
        <v>147</v>
      </c>
      <c r="C988" s="18" t="s">
        <v>1833</v>
      </c>
      <c r="D988" s="14" t="str">
        <f t="shared" si="80"/>
        <v>1ST-358-987</v>
      </c>
      <c r="E988" s="19" t="s">
        <v>1834</v>
      </c>
      <c r="F988" s="19">
        <f t="shared" si="79"/>
        <v>545</v>
      </c>
      <c r="G988" s="19" t="str">
        <f t="shared" ref="G988:G1033" si="81">TRIM(MID(E988,FIND("/",E988)+1,LEN(E988)))</f>
        <v>ROLL</v>
      </c>
      <c r="H988" s="18" t="s">
        <v>3228</v>
      </c>
      <c r="I988" s="20" t="s">
        <v>827</v>
      </c>
    </row>
    <row r="989" spans="1:9" ht="118.8" x14ac:dyDescent="0.25">
      <c r="A989" s="17" t="s">
        <v>320</v>
      </c>
      <c r="B989" s="14" t="s">
        <v>147</v>
      </c>
      <c r="C989" s="18" t="s">
        <v>1835</v>
      </c>
      <c r="D989" s="14" t="str">
        <f t="shared" si="80"/>
        <v>1ST-358-988</v>
      </c>
      <c r="E989" s="19" t="s">
        <v>1836</v>
      </c>
      <c r="F989" s="19">
        <f t="shared" si="79"/>
        <v>663</v>
      </c>
      <c r="G989" s="19" t="str">
        <f t="shared" si="81"/>
        <v>ROLL</v>
      </c>
      <c r="H989" s="18" t="s">
        <v>3229</v>
      </c>
      <c r="I989" s="20" t="s">
        <v>827</v>
      </c>
    </row>
    <row r="990" spans="1:9" ht="118.8" x14ac:dyDescent="0.25">
      <c r="A990" s="17" t="s">
        <v>320</v>
      </c>
      <c r="B990" s="14" t="s">
        <v>147</v>
      </c>
      <c r="C990" s="18" t="s">
        <v>1837</v>
      </c>
      <c r="D990" s="14" t="str">
        <f t="shared" si="80"/>
        <v>1ST-358-989</v>
      </c>
      <c r="E990" s="19" t="s">
        <v>1838</v>
      </c>
      <c r="F990" s="19">
        <f t="shared" si="79"/>
        <v>831</v>
      </c>
      <c r="G990" s="19" t="str">
        <f t="shared" si="81"/>
        <v>ROLL</v>
      </c>
      <c r="H990" s="18" t="s">
        <v>3230</v>
      </c>
      <c r="I990" s="20" t="s">
        <v>827</v>
      </c>
    </row>
    <row r="991" spans="1:9" ht="118.8" x14ac:dyDescent="0.25">
      <c r="A991" s="17" t="s">
        <v>320</v>
      </c>
      <c r="B991" s="14" t="s">
        <v>147</v>
      </c>
      <c r="C991" s="18" t="s">
        <v>1839</v>
      </c>
      <c r="D991" s="14" t="str">
        <f t="shared" si="80"/>
        <v>1ST-358-990</v>
      </c>
      <c r="E991" s="19" t="s">
        <v>1840</v>
      </c>
      <c r="F991" s="19">
        <f t="shared" si="79"/>
        <v>1040</v>
      </c>
      <c r="G991" s="19" t="str">
        <f t="shared" si="81"/>
        <v>ROLL</v>
      </c>
      <c r="H991" s="18" t="s">
        <v>3231</v>
      </c>
      <c r="I991" s="20" t="s">
        <v>827</v>
      </c>
    </row>
    <row r="992" spans="1:9" ht="118.8" x14ac:dyDescent="0.25">
      <c r="A992" s="17" t="s">
        <v>320</v>
      </c>
      <c r="B992" s="14" t="s">
        <v>147</v>
      </c>
      <c r="C992" s="18" t="s">
        <v>1841</v>
      </c>
      <c r="D992" s="14" t="str">
        <f t="shared" si="80"/>
        <v>1ST-358-991</v>
      </c>
      <c r="E992" s="19" t="s">
        <v>1842</v>
      </c>
      <c r="F992" s="19">
        <f t="shared" si="79"/>
        <v>1335</v>
      </c>
      <c r="G992" s="19" t="str">
        <f t="shared" si="81"/>
        <v>ROLL</v>
      </c>
      <c r="H992" s="18" t="s">
        <v>3232</v>
      </c>
      <c r="I992" s="20" t="s">
        <v>827</v>
      </c>
    </row>
    <row r="993" spans="1:9" ht="118.8" x14ac:dyDescent="0.25">
      <c r="A993" s="17" t="s">
        <v>320</v>
      </c>
      <c r="B993" s="14" t="s">
        <v>147</v>
      </c>
      <c r="C993" s="18" t="s">
        <v>1843</v>
      </c>
      <c r="D993" s="14" t="str">
        <f t="shared" si="80"/>
        <v>1ST-358-992</v>
      </c>
      <c r="E993" s="19" t="s">
        <v>1844</v>
      </c>
      <c r="F993" s="19">
        <f t="shared" si="79"/>
        <v>1508</v>
      </c>
      <c r="G993" s="19" t="str">
        <f t="shared" si="81"/>
        <v>ROLL</v>
      </c>
      <c r="H993" s="18" t="s">
        <v>3233</v>
      </c>
      <c r="I993" s="20" t="s">
        <v>827</v>
      </c>
    </row>
    <row r="994" spans="1:9" ht="118.8" x14ac:dyDescent="0.25">
      <c r="A994" s="17" t="s">
        <v>320</v>
      </c>
      <c r="B994" s="14" t="s">
        <v>147</v>
      </c>
      <c r="C994" s="18" t="s">
        <v>1845</v>
      </c>
      <c r="D994" s="14" t="str">
        <f t="shared" si="80"/>
        <v>1ST-358-993</v>
      </c>
      <c r="E994" s="19" t="s">
        <v>1846</v>
      </c>
      <c r="F994" s="19">
        <f t="shared" si="79"/>
        <v>1828</v>
      </c>
      <c r="G994" s="19" t="str">
        <f t="shared" si="81"/>
        <v>ROLL</v>
      </c>
      <c r="H994" s="18" t="s">
        <v>3234</v>
      </c>
      <c r="I994" s="20" t="s">
        <v>827</v>
      </c>
    </row>
    <row r="995" spans="1:9" ht="118.8" x14ac:dyDescent="0.25">
      <c r="A995" s="17" t="s">
        <v>320</v>
      </c>
      <c r="B995" s="14" t="s">
        <v>147</v>
      </c>
      <c r="C995" s="18" t="s">
        <v>1847</v>
      </c>
      <c r="D995" s="14" t="str">
        <f t="shared" si="80"/>
        <v>1ST-358-994</v>
      </c>
      <c r="E995" s="19" t="s">
        <v>1848</v>
      </c>
      <c r="F995" s="19">
        <f t="shared" si="79"/>
        <v>2150</v>
      </c>
      <c r="G995" s="19" t="str">
        <f t="shared" si="81"/>
        <v>ROLL</v>
      </c>
      <c r="H995" s="18" t="s">
        <v>3235</v>
      </c>
      <c r="I995" s="20" t="s">
        <v>827</v>
      </c>
    </row>
    <row r="996" spans="1:9" ht="118.8" x14ac:dyDescent="0.25">
      <c r="A996" s="17" t="s">
        <v>320</v>
      </c>
      <c r="B996" s="14" t="s">
        <v>147</v>
      </c>
      <c r="C996" s="18" t="s">
        <v>1849</v>
      </c>
      <c r="D996" s="14" t="str">
        <f t="shared" si="80"/>
        <v>1ST-358-995</v>
      </c>
      <c r="E996" s="19" t="s">
        <v>1850</v>
      </c>
      <c r="F996" s="19">
        <f t="shared" si="79"/>
        <v>2700</v>
      </c>
      <c r="G996" s="19" t="str">
        <f t="shared" si="81"/>
        <v>ROLL</v>
      </c>
      <c r="H996" s="18" t="s">
        <v>3236</v>
      </c>
      <c r="I996" s="20" t="s">
        <v>827</v>
      </c>
    </row>
    <row r="997" spans="1:9" ht="118.8" x14ac:dyDescent="0.25">
      <c r="A997" s="17" t="s">
        <v>320</v>
      </c>
      <c r="B997" s="14" t="s">
        <v>147</v>
      </c>
      <c r="C997" s="18" t="s">
        <v>1851</v>
      </c>
      <c r="D997" s="14" t="str">
        <f t="shared" si="80"/>
        <v>1ST-358-996</v>
      </c>
      <c r="E997" s="19" t="s">
        <v>1852</v>
      </c>
      <c r="F997" s="19">
        <f t="shared" si="79"/>
        <v>3020</v>
      </c>
      <c r="G997" s="19" t="str">
        <f t="shared" si="81"/>
        <v>ROLL</v>
      </c>
      <c r="H997" s="18" t="s">
        <v>3237</v>
      </c>
      <c r="I997" s="20" t="s">
        <v>827</v>
      </c>
    </row>
    <row r="998" spans="1:9" ht="118.8" x14ac:dyDescent="0.25">
      <c r="A998" s="17" t="s">
        <v>320</v>
      </c>
      <c r="B998" s="14" t="s">
        <v>147</v>
      </c>
      <c r="C998" s="18" t="s">
        <v>1853</v>
      </c>
      <c r="D998" s="14" t="str">
        <f t="shared" si="80"/>
        <v>1ST-358-997</v>
      </c>
      <c r="E998" s="19" t="s">
        <v>1854</v>
      </c>
      <c r="F998" s="19">
        <f t="shared" si="79"/>
        <v>3460</v>
      </c>
      <c r="G998" s="19" t="str">
        <f t="shared" si="81"/>
        <v>ROLL</v>
      </c>
      <c r="H998" s="18" t="s">
        <v>3238</v>
      </c>
      <c r="I998" s="20" t="s">
        <v>827</v>
      </c>
    </row>
    <row r="999" spans="1:9" ht="118.8" x14ac:dyDescent="0.25">
      <c r="A999" s="17" t="s">
        <v>320</v>
      </c>
      <c r="B999" s="14" t="s">
        <v>147</v>
      </c>
      <c r="C999" s="18" t="s">
        <v>1855</v>
      </c>
      <c r="D999" s="14" t="str">
        <f t="shared" si="80"/>
        <v>1ST-358-998</v>
      </c>
      <c r="E999" s="19" t="s">
        <v>1856</v>
      </c>
      <c r="F999" s="19">
        <f t="shared" si="79"/>
        <v>3860</v>
      </c>
      <c r="G999" s="19" t="str">
        <f t="shared" si="81"/>
        <v>ROLL</v>
      </c>
      <c r="H999" s="18" t="s">
        <v>3239</v>
      </c>
      <c r="I999" s="20" t="s">
        <v>827</v>
      </c>
    </row>
    <row r="1000" spans="1:9" ht="118.8" x14ac:dyDescent="0.25">
      <c r="A1000" s="17" t="s">
        <v>320</v>
      </c>
      <c r="B1000" s="14" t="s">
        <v>147</v>
      </c>
      <c r="C1000" s="18" t="s">
        <v>3815</v>
      </c>
      <c r="D1000" s="14" t="str">
        <f t="shared" si="80"/>
        <v>1ST-358-999</v>
      </c>
      <c r="E1000" s="19" t="s">
        <v>1857</v>
      </c>
      <c r="F1000" s="19">
        <f t="shared" ref="F1000:F1063" si="82">VALUE(LEFT(E1000,FIND("/",E1000)-1))</f>
        <v>4230</v>
      </c>
      <c r="G1000" s="19" t="str">
        <f t="shared" si="81"/>
        <v>ROLL</v>
      </c>
      <c r="H1000" s="18" t="s">
        <v>3240</v>
      </c>
      <c r="I1000" s="20" t="s">
        <v>827</v>
      </c>
    </row>
    <row r="1001" spans="1:9" ht="118.8" x14ac:dyDescent="0.25">
      <c r="A1001" s="17" t="s">
        <v>320</v>
      </c>
      <c r="B1001" s="14" t="s">
        <v>146</v>
      </c>
      <c r="C1001" s="18" t="s">
        <v>828</v>
      </c>
      <c r="D1001" s="14" t="str">
        <f t="shared" si="80"/>
        <v>1ST-358-1000</v>
      </c>
      <c r="E1001" s="19" t="s">
        <v>1812</v>
      </c>
      <c r="F1001" s="19">
        <f t="shared" si="82"/>
        <v>37</v>
      </c>
      <c r="G1001" s="19" t="str">
        <f t="shared" si="81"/>
        <v>ROLL</v>
      </c>
      <c r="H1001" s="18" t="s">
        <v>3241</v>
      </c>
      <c r="I1001" s="20" t="s">
        <v>827</v>
      </c>
    </row>
    <row r="1002" spans="1:9" ht="118.8" x14ac:dyDescent="0.25">
      <c r="A1002" s="17" t="s">
        <v>320</v>
      </c>
      <c r="B1002" s="14" t="s">
        <v>146</v>
      </c>
      <c r="C1002" s="18" t="s">
        <v>829</v>
      </c>
      <c r="D1002" s="14" t="str">
        <f t="shared" si="80"/>
        <v>1ST-358-1001</v>
      </c>
      <c r="E1002" s="19" t="s">
        <v>1814</v>
      </c>
      <c r="F1002" s="19">
        <f t="shared" si="82"/>
        <v>59</v>
      </c>
      <c r="G1002" s="19" t="str">
        <f t="shared" si="81"/>
        <v>ROLL</v>
      </c>
      <c r="H1002" s="18" t="s">
        <v>3242</v>
      </c>
      <c r="I1002" s="20" t="s">
        <v>827</v>
      </c>
    </row>
    <row r="1003" spans="1:9" ht="118.8" x14ac:dyDescent="0.25">
      <c r="A1003" s="17" t="s">
        <v>320</v>
      </c>
      <c r="B1003" s="14" t="s">
        <v>146</v>
      </c>
      <c r="C1003" s="18" t="s">
        <v>830</v>
      </c>
      <c r="D1003" s="14" t="str">
        <f t="shared" si="80"/>
        <v>1ST-358-1002</v>
      </c>
      <c r="E1003" s="18" t="s">
        <v>1816</v>
      </c>
      <c r="F1003" s="19">
        <f t="shared" si="82"/>
        <v>79</v>
      </c>
      <c r="G1003" s="19" t="str">
        <f t="shared" si="81"/>
        <v>ROLL</v>
      </c>
      <c r="H1003" s="18" t="s">
        <v>3243</v>
      </c>
      <c r="I1003" s="20" t="s">
        <v>827</v>
      </c>
    </row>
    <row r="1004" spans="1:9" ht="118.8" x14ac:dyDescent="0.25">
      <c r="A1004" s="17" t="s">
        <v>320</v>
      </c>
      <c r="B1004" s="14" t="s">
        <v>146</v>
      </c>
      <c r="C1004" s="18" t="s">
        <v>831</v>
      </c>
      <c r="D1004" s="14" t="str">
        <f t="shared" si="80"/>
        <v>1ST-358-1003</v>
      </c>
      <c r="E1004" s="18" t="s">
        <v>1820</v>
      </c>
      <c r="F1004" s="19">
        <f t="shared" si="82"/>
        <v>120</v>
      </c>
      <c r="G1004" s="19" t="str">
        <f t="shared" si="81"/>
        <v>ROLL</v>
      </c>
      <c r="H1004" s="18" t="s">
        <v>3244</v>
      </c>
      <c r="I1004" s="20" t="s">
        <v>827</v>
      </c>
    </row>
    <row r="1005" spans="1:9" ht="118.8" x14ac:dyDescent="0.25">
      <c r="A1005" s="17" t="s">
        <v>320</v>
      </c>
      <c r="B1005" s="14" t="s">
        <v>146</v>
      </c>
      <c r="C1005" s="18" t="s">
        <v>832</v>
      </c>
      <c r="D1005" s="14" t="str">
        <f t="shared" si="80"/>
        <v>1ST-358-1004</v>
      </c>
      <c r="E1005" s="19" t="s">
        <v>1822</v>
      </c>
      <c r="F1005" s="19">
        <f t="shared" si="82"/>
        <v>129</v>
      </c>
      <c r="G1005" s="19" t="str">
        <f t="shared" si="81"/>
        <v>ROLL</v>
      </c>
      <c r="H1005" s="18" t="s">
        <v>3245</v>
      </c>
      <c r="I1005" s="20" t="s">
        <v>827</v>
      </c>
    </row>
    <row r="1006" spans="1:9" ht="118.8" x14ac:dyDescent="0.25">
      <c r="A1006" s="17" t="s">
        <v>320</v>
      </c>
      <c r="B1006" s="14" t="s">
        <v>146</v>
      </c>
      <c r="C1006" s="18" t="s">
        <v>833</v>
      </c>
      <c r="D1006" s="14" t="str">
        <f t="shared" si="80"/>
        <v>1ST-358-1005</v>
      </c>
      <c r="E1006" s="19" t="s">
        <v>1824</v>
      </c>
      <c r="F1006" s="19">
        <f t="shared" si="82"/>
        <v>148</v>
      </c>
      <c r="G1006" s="19" t="str">
        <f t="shared" si="81"/>
        <v>ROLL</v>
      </c>
      <c r="H1006" s="18" t="s">
        <v>3246</v>
      </c>
      <c r="I1006" s="20" t="s">
        <v>827</v>
      </c>
    </row>
    <row r="1007" spans="1:9" ht="118.8" x14ac:dyDescent="0.25">
      <c r="A1007" s="17" t="s">
        <v>320</v>
      </c>
      <c r="B1007" s="14" t="s">
        <v>146</v>
      </c>
      <c r="C1007" s="18" t="s">
        <v>1858</v>
      </c>
      <c r="D1007" s="14" t="str">
        <f t="shared" si="80"/>
        <v>1ST-358-1006</v>
      </c>
      <c r="E1007" s="18" t="s">
        <v>1826</v>
      </c>
      <c r="F1007" s="19">
        <f t="shared" si="82"/>
        <v>203</v>
      </c>
      <c r="G1007" s="19" t="str">
        <f t="shared" si="81"/>
        <v>ROLL</v>
      </c>
      <c r="H1007" s="18" t="s">
        <v>3247</v>
      </c>
      <c r="I1007" s="20" t="s">
        <v>827</v>
      </c>
    </row>
    <row r="1008" spans="1:9" ht="118.8" x14ac:dyDescent="0.25">
      <c r="A1008" s="17" t="s">
        <v>320</v>
      </c>
      <c r="B1008" s="14" t="s">
        <v>146</v>
      </c>
      <c r="C1008" s="18" t="s">
        <v>834</v>
      </c>
      <c r="D1008" s="14" t="str">
        <f t="shared" si="80"/>
        <v>1ST-358-1007</v>
      </c>
      <c r="E1008" s="18" t="s">
        <v>1828</v>
      </c>
      <c r="F1008" s="19">
        <f t="shared" si="82"/>
        <v>245</v>
      </c>
      <c r="G1008" s="19" t="str">
        <f t="shared" si="81"/>
        <v>ROLL</v>
      </c>
      <c r="H1008" s="18" t="s">
        <v>3248</v>
      </c>
      <c r="I1008" s="20" t="s">
        <v>827</v>
      </c>
    </row>
    <row r="1009" spans="1:9" ht="118.8" x14ac:dyDescent="0.25">
      <c r="A1009" s="17" t="s">
        <v>320</v>
      </c>
      <c r="B1009" s="14" t="s">
        <v>146</v>
      </c>
      <c r="C1009" s="18" t="s">
        <v>1859</v>
      </c>
      <c r="D1009" s="14" t="str">
        <f t="shared" si="80"/>
        <v>1ST-358-1008</v>
      </c>
      <c r="E1009" s="18" t="s">
        <v>1830</v>
      </c>
      <c r="F1009" s="19">
        <f t="shared" si="82"/>
        <v>275</v>
      </c>
      <c r="G1009" s="19" t="str">
        <f t="shared" si="81"/>
        <v>ROLL</v>
      </c>
      <c r="H1009" s="18" t="s">
        <v>3249</v>
      </c>
      <c r="I1009" s="20" t="s">
        <v>827</v>
      </c>
    </row>
    <row r="1010" spans="1:9" ht="118.8" x14ac:dyDescent="0.25">
      <c r="A1010" s="17" t="s">
        <v>320</v>
      </c>
      <c r="B1010" s="14" t="s">
        <v>146</v>
      </c>
      <c r="C1010" s="19" t="s">
        <v>1860</v>
      </c>
      <c r="D1010" s="14" t="str">
        <f t="shared" si="80"/>
        <v>1ST-358-1009</v>
      </c>
      <c r="E1010" s="19" t="s">
        <v>1832</v>
      </c>
      <c r="F1010" s="19">
        <f t="shared" si="82"/>
        <v>430</v>
      </c>
      <c r="G1010" s="19" t="str">
        <f t="shared" si="81"/>
        <v>ROLL</v>
      </c>
      <c r="H1010" s="18" t="s">
        <v>3250</v>
      </c>
      <c r="I1010" s="20" t="s">
        <v>827</v>
      </c>
    </row>
    <row r="1011" spans="1:9" ht="118.8" x14ac:dyDescent="0.25">
      <c r="A1011" s="17" t="s">
        <v>320</v>
      </c>
      <c r="B1011" s="14" t="s">
        <v>146</v>
      </c>
      <c r="C1011" s="18" t="s">
        <v>1861</v>
      </c>
      <c r="D1011" s="14" t="str">
        <f t="shared" si="80"/>
        <v>1ST-358-1010</v>
      </c>
      <c r="E1011" s="18" t="s">
        <v>1834</v>
      </c>
      <c r="F1011" s="19">
        <f t="shared" si="82"/>
        <v>545</v>
      </c>
      <c r="G1011" s="19" t="str">
        <f t="shared" si="81"/>
        <v>ROLL</v>
      </c>
      <c r="H1011" s="18" t="s">
        <v>3228</v>
      </c>
      <c r="I1011" s="20" t="s">
        <v>827</v>
      </c>
    </row>
    <row r="1012" spans="1:9" ht="118.8" x14ac:dyDescent="0.25">
      <c r="A1012" s="17" t="s">
        <v>320</v>
      </c>
      <c r="B1012" s="14" t="s">
        <v>146</v>
      </c>
      <c r="C1012" s="18" t="s">
        <v>1862</v>
      </c>
      <c r="D1012" s="14" t="str">
        <f t="shared" si="80"/>
        <v>1ST-358-1011</v>
      </c>
      <c r="E1012" s="18" t="s">
        <v>1836</v>
      </c>
      <c r="F1012" s="19">
        <f t="shared" si="82"/>
        <v>663</v>
      </c>
      <c r="G1012" s="19" t="str">
        <f t="shared" si="81"/>
        <v>ROLL</v>
      </c>
      <c r="H1012" s="18" t="s">
        <v>3229</v>
      </c>
      <c r="I1012" s="20" t="s">
        <v>827</v>
      </c>
    </row>
    <row r="1013" spans="1:9" ht="118.8" x14ac:dyDescent="0.25">
      <c r="A1013" s="17" t="s">
        <v>320</v>
      </c>
      <c r="B1013" s="14" t="s">
        <v>146</v>
      </c>
      <c r="C1013" s="18" t="s">
        <v>1863</v>
      </c>
      <c r="D1013" s="14" t="str">
        <f t="shared" si="80"/>
        <v>1ST-358-1012</v>
      </c>
      <c r="E1013" s="18" t="s">
        <v>1838</v>
      </c>
      <c r="F1013" s="19">
        <f t="shared" si="82"/>
        <v>831</v>
      </c>
      <c r="G1013" s="19" t="str">
        <f t="shared" si="81"/>
        <v>ROLL</v>
      </c>
      <c r="H1013" s="18" t="s">
        <v>3230</v>
      </c>
      <c r="I1013" s="20" t="s">
        <v>827</v>
      </c>
    </row>
    <row r="1014" spans="1:9" ht="118.8" x14ac:dyDescent="0.25">
      <c r="A1014" s="17" t="s">
        <v>320</v>
      </c>
      <c r="B1014" s="14" t="s">
        <v>146</v>
      </c>
      <c r="C1014" s="18" t="s">
        <v>3816</v>
      </c>
      <c r="D1014" s="14" t="str">
        <f t="shared" si="80"/>
        <v>1ST-358-1013</v>
      </c>
      <c r="E1014" s="19" t="s">
        <v>1840</v>
      </c>
      <c r="F1014" s="19">
        <f t="shared" si="82"/>
        <v>1040</v>
      </c>
      <c r="G1014" s="19" t="str">
        <f t="shared" si="81"/>
        <v>ROLL</v>
      </c>
      <c r="H1014" s="18" t="s">
        <v>3231</v>
      </c>
      <c r="I1014" s="20" t="s">
        <v>827</v>
      </c>
    </row>
    <row r="1015" spans="1:9" ht="118.8" x14ac:dyDescent="0.25">
      <c r="A1015" s="17" t="s">
        <v>320</v>
      </c>
      <c r="B1015" s="14" t="s">
        <v>146</v>
      </c>
      <c r="C1015" s="19" t="s">
        <v>1864</v>
      </c>
      <c r="D1015" s="14" t="str">
        <f t="shared" si="80"/>
        <v>1ST-358-1014</v>
      </c>
      <c r="E1015" s="19" t="s">
        <v>1842</v>
      </c>
      <c r="F1015" s="19">
        <f t="shared" si="82"/>
        <v>1335</v>
      </c>
      <c r="G1015" s="19" t="str">
        <f t="shared" si="81"/>
        <v>ROLL</v>
      </c>
      <c r="H1015" s="18" t="s">
        <v>3251</v>
      </c>
      <c r="I1015" s="20" t="s">
        <v>827</v>
      </c>
    </row>
    <row r="1016" spans="1:9" ht="118.8" x14ac:dyDescent="0.25">
      <c r="A1016" s="17" t="s">
        <v>320</v>
      </c>
      <c r="B1016" s="14" t="s">
        <v>146</v>
      </c>
      <c r="C1016" s="18" t="s">
        <v>1865</v>
      </c>
      <c r="D1016" s="14" t="str">
        <f t="shared" si="80"/>
        <v>1ST-358-1015</v>
      </c>
      <c r="E1016" s="18" t="s">
        <v>1844</v>
      </c>
      <c r="F1016" s="19">
        <f t="shared" si="82"/>
        <v>1508</v>
      </c>
      <c r="G1016" s="19" t="str">
        <f t="shared" si="81"/>
        <v>ROLL</v>
      </c>
      <c r="H1016" s="18" t="s">
        <v>3233</v>
      </c>
      <c r="I1016" s="20" t="s">
        <v>827</v>
      </c>
    </row>
    <row r="1017" spans="1:9" ht="118.8" x14ac:dyDescent="0.25">
      <c r="A1017" s="17" t="s">
        <v>320</v>
      </c>
      <c r="B1017" s="14" t="s">
        <v>146</v>
      </c>
      <c r="C1017" s="18" t="s">
        <v>1866</v>
      </c>
      <c r="D1017" s="14" t="str">
        <f t="shared" si="80"/>
        <v>1ST-358-1016</v>
      </c>
      <c r="E1017" s="18" t="s">
        <v>1846</v>
      </c>
      <c r="F1017" s="19">
        <f t="shared" si="82"/>
        <v>1828</v>
      </c>
      <c r="G1017" s="19" t="str">
        <f t="shared" si="81"/>
        <v>ROLL</v>
      </c>
      <c r="H1017" s="18" t="s">
        <v>3234</v>
      </c>
      <c r="I1017" s="20" t="s">
        <v>827</v>
      </c>
    </row>
    <row r="1018" spans="1:9" ht="118.8" x14ac:dyDescent="0.25">
      <c r="A1018" s="17" t="s">
        <v>320</v>
      </c>
      <c r="B1018" s="14" t="s">
        <v>146</v>
      </c>
      <c r="C1018" s="19" t="s">
        <v>1867</v>
      </c>
      <c r="D1018" s="14" t="str">
        <f t="shared" si="80"/>
        <v>1ST-358-1017</v>
      </c>
      <c r="E1018" s="19" t="s">
        <v>1848</v>
      </c>
      <c r="F1018" s="19">
        <f t="shared" si="82"/>
        <v>2150</v>
      </c>
      <c r="G1018" s="19" t="str">
        <f t="shared" si="81"/>
        <v>ROLL</v>
      </c>
      <c r="H1018" s="18" t="s">
        <v>3235</v>
      </c>
      <c r="I1018" s="20" t="s">
        <v>827</v>
      </c>
    </row>
    <row r="1019" spans="1:9" ht="118.8" x14ac:dyDescent="0.25">
      <c r="A1019" s="17" t="s">
        <v>320</v>
      </c>
      <c r="B1019" s="14" t="s">
        <v>146</v>
      </c>
      <c r="C1019" s="19" t="s">
        <v>1868</v>
      </c>
      <c r="D1019" s="14" t="str">
        <f t="shared" si="80"/>
        <v>1ST-358-1018</v>
      </c>
      <c r="E1019" s="19" t="s">
        <v>1850</v>
      </c>
      <c r="F1019" s="19">
        <f t="shared" si="82"/>
        <v>2700</v>
      </c>
      <c r="G1019" s="19" t="str">
        <f t="shared" si="81"/>
        <v>ROLL</v>
      </c>
      <c r="H1019" s="18" t="s">
        <v>3252</v>
      </c>
      <c r="I1019" s="20" t="s">
        <v>827</v>
      </c>
    </row>
    <row r="1020" spans="1:9" x14ac:dyDescent="0.25">
      <c r="A1020" s="17" t="s">
        <v>320</v>
      </c>
      <c r="B1020" s="14" t="s">
        <v>145</v>
      </c>
      <c r="C1020" s="18" t="s">
        <v>3817</v>
      </c>
      <c r="D1020" s="14" t="str">
        <f t="shared" si="80"/>
        <v>1ST-358-1019</v>
      </c>
      <c r="E1020" s="14" t="s">
        <v>835</v>
      </c>
      <c r="F1020" s="19">
        <f t="shared" si="82"/>
        <v>202</v>
      </c>
      <c r="G1020" s="19" t="str">
        <f t="shared" si="81"/>
        <v>PACK</v>
      </c>
      <c r="H1020" s="14" t="s">
        <v>836</v>
      </c>
      <c r="I1020" s="14" t="s">
        <v>441</v>
      </c>
    </row>
    <row r="1021" spans="1:9" x14ac:dyDescent="0.25">
      <c r="A1021" s="17" t="s">
        <v>320</v>
      </c>
      <c r="B1021" s="14" t="s">
        <v>145</v>
      </c>
      <c r="C1021" s="18" t="s">
        <v>3818</v>
      </c>
      <c r="D1021" s="14" t="str">
        <f t="shared" si="80"/>
        <v>1ST-358-1020</v>
      </c>
      <c r="E1021" s="14" t="s">
        <v>835</v>
      </c>
      <c r="F1021" s="19">
        <f t="shared" si="82"/>
        <v>202</v>
      </c>
      <c r="G1021" s="19" t="str">
        <f t="shared" si="81"/>
        <v>PACK</v>
      </c>
      <c r="H1021" s="14" t="s">
        <v>836</v>
      </c>
      <c r="I1021" s="14" t="s">
        <v>441</v>
      </c>
    </row>
    <row r="1022" spans="1:9" x14ac:dyDescent="0.25">
      <c r="A1022" s="17" t="s">
        <v>320</v>
      </c>
      <c r="B1022" s="14" t="s">
        <v>145</v>
      </c>
      <c r="C1022" s="18" t="s">
        <v>3819</v>
      </c>
      <c r="D1022" s="14" t="str">
        <f t="shared" si="80"/>
        <v>1ST-358-1021</v>
      </c>
      <c r="E1022" s="14" t="s">
        <v>835</v>
      </c>
      <c r="F1022" s="19">
        <f t="shared" si="82"/>
        <v>202</v>
      </c>
      <c r="G1022" s="19" t="str">
        <f t="shared" si="81"/>
        <v>PACK</v>
      </c>
      <c r="H1022" s="14" t="s">
        <v>836</v>
      </c>
      <c r="I1022" s="14" t="s">
        <v>441</v>
      </c>
    </row>
    <row r="1023" spans="1:9" x14ac:dyDescent="0.25">
      <c r="A1023" s="17" t="s">
        <v>320</v>
      </c>
      <c r="B1023" s="14" t="s">
        <v>145</v>
      </c>
      <c r="C1023" s="18" t="s">
        <v>3820</v>
      </c>
      <c r="D1023" s="14" t="str">
        <f t="shared" si="80"/>
        <v>1ST-358-1022</v>
      </c>
      <c r="E1023" s="14" t="s">
        <v>835</v>
      </c>
      <c r="F1023" s="19">
        <f t="shared" si="82"/>
        <v>202</v>
      </c>
      <c r="G1023" s="19" t="str">
        <f t="shared" si="81"/>
        <v>PACK</v>
      </c>
      <c r="H1023" s="14" t="s">
        <v>836</v>
      </c>
      <c r="I1023" s="14" t="s">
        <v>441</v>
      </c>
    </row>
    <row r="1024" spans="1:9" x14ac:dyDescent="0.25">
      <c r="A1024" s="17" t="s">
        <v>320</v>
      </c>
      <c r="B1024" s="14" t="s">
        <v>144</v>
      </c>
      <c r="C1024" s="18" t="s">
        <v>3821</v>
      </c>
      <c r="D1024" s="14" t="str">
        <f t="shared" si="80"/>
        <v>1ST-358-1023</v>
      </c>
      <c r="E1024" s="18" t="s">
        <v>715</v>
      </c>
      <c r="F1024" s="19">
        <f t="shared" si="82"/>
        <v>140</v>
      </c>
      <c r="G1024" s="19" t="str">
        <f t="shared" si="81"/>
        <v>PC</v>
      </c>
      <c r="H1024" s="14" t="s">
        <v>441</v>
      </c>
      <c r="I1024" s="14" t="s">
        <v>441</v>
      </c>
    </row>
    <row r="1025" spans="1:9" ht="26.4" x14ac:dyDescent="0.25">
      <c r="A1025" s="17" t="s">
        <v>320</v>
      </c>
      <c r="B1025" s="14" t="s">
        <v>144</v>
      </c>
      <c r="C1025" s="18" t="s">
        <v>3822</v>
      </c>
      <c r="D1025" s="14" t="str">
        <f t="shared" si="80"/>
        <v>1ST-358-1024</v>
      </c>
      <c r="E1025" s="18" t="s">
        <v>500</v>
      </c>
      <c r="F1025" s="19">
        <f t="shared" si="82"/>
        <v>82</v>
      </c>
      <c r="G1025" s="19" t="str">
        <f t="shared" si="81"/>
        <v>PC</v>
      </c>
      <c r="H1025" s="20" t="s">
        <v>837</v>
      </c>
      <c r="I1025" s="14" t="s">
        <v>441</v>
      </c>
    </row>
    <row r="1026" spans="1:9" ht="39.6" x14ac:dyDescent="0.25">
      <c r="A1026" s="17" t="s">
        <v>320</v>
      </c>
      <c r="B1026" s="14" t="s">
        <v>143</v>
      </c>
      <c r="C1026" s="18" t="s">
        <v>3823</v>
      </c>
      <c r="D1026" s="14" t="str">
        <f t="shared" si="80"/>
        <v>1ST-358-1025</v>
      </c>
      <c r="E1026" s="18" t="s">
        <v>1869</v>
      </c>
      <c r="F1026" s="19">
        <f t="shared" si="82"/>
        <v>185</v>
      </c>
      <c r="G1026" s="19" t="str">
        <f t="shared" si="81"/>
        <v>PC</v>
      </c>
      <c r="H1026" s="20" t="s">
        <v>838</v>
      </c>
      <c r="I1026" s="14" t="s">
        <v>441</v>
      </c>
    </row>
    <row r="1027" spans="1:9" ht="39.6" x14ac:dyDescent="0.25">
      <c r="A1027" s="17" t="s">
        <v>320</v>
      </c>
      <c r="B1027" s="14" t="s">
        <v>143</v>
      </c>
      <c r="C1027" s="18" t="s">
        <v>1870</v>
      </c>
      <c r="D1027" s="14" t="str">
        <f t="shared" si="80"/>
        <v>1ST-358-1026</v>
      </c>
      <c r="E1027" s="18" t="s">
        <v>1871</v>
      </c>
      <c r="F1027" s="19">
        <f t="shared" si="82"/>
        <v>285</v>
      </c>
      <c r="G1027" s="19" t="str">
        <f t="shared" si="81"/>
        <v>PC</v>
      </c>
      <c r="H1027" s="20" t="s">
        <v>838</v>
      </c>
      <c r="I1027" s="14" t="s">
        <v>441</v>
      </c>
    </row>
    <row r="1028" spans="1:9" ht="26.4" x14ac:dyDescent="0.25">
      <c r="A1028" s="17" t="s">
        <v>320</v>
      </c>
      <c r="B1028" s="14" t="s">
        <v>143</v>
      </c>
      <c r="C1028" s="18" t="s">
        <v>1872</v>
      </c>
      <c r="D1028" s="14" t="str">
        <f t="shared" si="80"/>
        <v>1ST-358-1027</v>
      </c>
      <c r="E1028" s="18" t="s">
        <v>1652</v>
      </c>
      <c r="F1028" s="19">
        <f t="shared" si="82"/>
        <v>68</v>
      </c>
      <c r="G1028" s="19" t="str">
        <f t="shared" si="81"/>
        <v>PC</v>
      </c>
      <c r="H1028" s="18" t="s">
        <v>3253</v>
      </c>
      <c r="I1028" s="14" t="s">
        <v>441</v>
      </c>
    </row>
    <row r="1029" spans="1:9" ht="26.4" x14ac:dyDescent="0.25">
      <c r="A1029" s="17" t="s">
        <v>320</v>
      </c>
      <c r="B1029" s="14" t="s">
        <v>143</v>
      </c>
      <c r="C1029" s="18" t="s">
        <v>1873</v>
      </c>
      <c r="D1029" s="14" t="str">
        <f t="shared" ref="D1029:D1092" si="83">LEFT($D$2,FIND("-",$D$2,FIND("-",$D$2)+1)) &amp; TEXT(RIGHT($D$2,3)+ROW(D1027),"000")</f>
        <v>1ST-358-1028</v>
      </c>
      <c r="E1029" s="18" t="s">
        <v>796</v>
      </c>
      <c r="F1029" s="19">
        <f t="shared" si="82"/>
        <v>73</v>
      </c>
      <c r="G1029" s="19" t="str">
        <f t="shared" si="81"/>
        <v>PC</v>
      </c>
      <c r="H1029" s="18" t="s">
        <v>3254</v>
      </c>
      <c r="I1029" s="14" t="s">
        <v>441</v>
      </c>
    </row>
    <row r="1030" spans="1:9" ht="26.4" x14ac:dyDescent="0.25">
      <c r="A1030" s="17" t="s">
        <v>320</v>
      </c>
      <c r="B1030" s="14" t="s">
        <v>142</v>
      </c>
      <c r="C1030" s="19" t="s">
        <v>1874</v>
      </c>
      <c r="D1030" s="14" t="str">
        <f t="shared" si="83"/>
        <v>1ST-358-1029</v>
      </c>
      <c r="E1030" s="19" t="s">
        <v>1875</v>
      </c>
      <c r="F1030" s="19">
        <f t="shared" si="82"/>
        <v>12800</v>
      </c>
      <c r="G1030" s="19" t="str">
        <f t="shared" si="81"/>
        <v>ROLL</v>
      </c>
      <c r="H1030" s="18" t="s">
        <v>3255</v>
      </c>
      <c r="I1030" s="14" t="s">
        <v>441</v>
      </c>
    </row>
    <row r="1031" spans="1:9" ht="39.6" x14ac:dyDescent="0.25">
      <c r="A1031" s="17" t="s">
        <v>320</v>
      </c>
      <c r="B1031" s="14" t="s">
        <v>142</v>
      </c>
      <c r="C1031" s="19" t="s">
        <v>1876</v>
      </c>
      <c r="D1031" s="14" t="str">
        <f t="shared" si="83"/>
        <v>1ST-358-1030</v>
      </c>
      <c r="E1031" s="19" t="s">
        <v>1877</v>
      </c>
      <c r="F1031" s="19">
        <f t="shared" si="82"/>
        <v>17500</v>
      </c>
      <c r="G1031" s="19" t="str">
        <f t="shared" si="81"/>
        <v>ROLL</v>
      </c>
      <c r="H1031" s="18" t="s">
        <v>3256</v>
      </c>
      <c r="I1031" s="14" t="s">
        <v>441</v>
      </c>
    </row>
    <row r="1032" spans="1:9" x14ac:dyDescent="0.25">
      <c r="A1032" s="17" t="s">
        <v>320</v>
      </c>
      <c r="B1032" s="14" t="s">
        <v>141</v>
      </c>
      <c r="C1032" s="19" t="s">
        <v>2772</v>
      </c>
      <c r="D1032" s="14" t="str">
        <f t="shared" si="83"/>
        <v>1ST-358-1031</v>
      </c>
      <c r="E1032" s="19" t="s">
        <v>1878</v>
      </c>
      <c r="F1032" s="19">
        <f t="shared" si="82"/>
        <v>1050</v>
      </c>
      <c r="G1032" s="19" t="str">
        <f t="shared" si="81"/>
        <v>CTN</v>
      </c>
      <c r="H1032" s="18" t="s">
        <v>2773</v>
      </c>
      <c r="I1032" s="14" t="s">
        <v>441</v>
      </c>
    </row>
    <row r="1033" spans="1:9" x14ac:dyDescent="0.25">
      <c r="A1033" s="17" t="s">
        <v>320</v>
      </c>
      <c r="B1033" s="14" t="s">
        <v>141</v>
      </c>
      <c r="C1033" s="19" t="s">
        <v>2774</v>
      </c>
      <c r="D1033" s="14" t="str">
        <f t="shared" si="83"/>
        <v>1ST-358-1032</v>
      </c>
      <c r="E1033" s="19" t="s">
        <v>1879</v>
      </c>
      <c r="F1033" s="19">
        <f t="shared" si="82"/>
        <v>1000</v>
      </c>
      <c r="G1033" s="19" t="str">
        <f t="shared" si="81"/>
        <v>CTN</v>
      </c>
      <c r="H1033" s="18" t="s">
        <v>2775</v>
      </c>
      <c r="I1033" s="14" t="s">
        <v>441</v>
      </c>
    </row>
    <row r="1034" spans="1:9" ht="26.4" x14ac:dyDescent="0.25">
      <c r="A1034" s="17" t="s">
        <v>320</v>
      </c>
      <c r="B1034" s="14" t="s">
        <v>839</v>
      </c>
      <c r="C1034" s="18" t="s">
        <v>3824</v>
      </c>
      <c r="D1034" s="14" t="str">
        <f t="shared" si="83"/>
        <v>1ST-358-1033</v>
      </c>
      <c r="E1034" s="14" t="s">
        <v>840</v>
      </c>
      <c r="F1034" s="19">
        <f t="shared" si="82"/>
        <v>148</v>
      </c>
      <c r="G1034" s="19" t="str">
        <f t="shared" ref="G1034:G1097" si="84">TRIM(MID(E1034,FIND("/",E1034)+1,LEN(E1034)))</f>
        <v>PC</v>
      </c>
      <c r="H1034" s="20" t="s">
        <v>841</v>
      </c>
      <c r="I1034" s="25" t="s">
        <v>3523</v>
      </c>
    </row>
    <row r="1035" spans="1:9" ht="26.4" x14ac:dyDescent="0.25">
      <c r="A1035" s="17" t="s">
        <v>320</v>
      </c>
      <c r="B1035" s="14" t="s">
        <v>839</v>
      </c>
      <c r="C1035" s="18" t="s">
        <v>3825</v>
      </c>
      <c r="D1035" s="14" t="str">
        <f t="shared" si="83"/>
        <v>1ST-358-1034</v>
      </c>
      <c r="E1035" s="14" t="s">
        <v>840</v>
      </c>
      <c r="F1035" s="19">
        <f t="shared" si="82"/>
        <v>148</v>
      </c>
      <c r="G1035" s="19" t="str">
        <f t="shared" si="84"/>
        <v>PC</v>
      </c>
      <c r="H1035" s="20" t="s">
        <v>841</v>
      </c>
      <c r="I1035" s="25" t="s">
        <v>3523</v>
      </c>
    </row>
    <row r="1036" spans="1:9" ht="26.4" x14ac:dyDescent="0.25">
      <c r="A1036" s="17" t="s">
        <v>320</v>
      </c>
      <c r="B1036" s="14" t="s">
        <v>5</v>
      </c>
      <c r="C1036" s="18" t="s">
        <v>1880</v>
      </c>
      <c r="D1036" s="14" t="str">
        <f t="shared" si="83"/>
        <v>1ST-358-1035</v>
      </c>
      <c r="E1036" s="18" t="s">
        <v>1881</v>
      </c>
      <c r="F1036" s="19">
        <f t="shared" si="82"/>
        <v>90</v>
      </c>
      <c r="G1036" s="19" t="str">
        <f t="shared" si="84"/>
        <v>GRS</v>
      </c>
      <c r="H1036" s="18" t="s">
        <v>3257</v>
      </c>
      <c r="I1036" s="14" t="s">
        <v>441</v>
      </c>
    </row>
    <row r="1037" spans="1:9" ht="26.4" x14ac:dyDescent="0.25">
      <c r="A1037" s="17" t="s">
        <v>320</v>
      </c>
      <c r="B1037" s="14" t="s">
        <v>5</v>
      </c>
      <c r="C1037" s="18" t="s">
        <v>1882</v>
      </c>
      <c r="D1037" s="14" t="str">
        <f t="shared" si="83"/>
        <v>1ST-358-1036</v>
      </c>
      <c r="E1037" s="18" t="s">
        <v>1883</v>
      </c>
      <c r="F1037" s="19">
        <f t="shared" si="82"/>
        <v>92</v>
      </c>
      <c r="G1037" s="19" t="str">
        <f t="shared" si="84"/>
        <v>GRS</v>
      </c>
      <c r="H1037" s="18" t="s">
        <v>3258</v>
      </c>
      <c r="I1037" s="14" t="s">
        <v>441</v>
      </c>
    </row>
    <row r="1038" spans="1:9" ht="26.4" x14ac:dyDescent="0.25">
      <c r="A1038" s="17" t="s">
        <v>320</v>
      </c>
      <c r="B1038" s="14" t="s">
        <v>5</v>
      </c>
      <c r="C1038" s="18" t="s">
        <v>3826</v>
      </c>
      <c r="D1038" s="14" t="str">
        <f t="shared" si="83"/>
        <v>1ST-358-1037</v>
      </c>
      <c r="E1038" s="18" t="s">
        <v>1884</v>
      </c>
      <c r="F1038" s="19">
        <f t="shared" si="82"/>
        <v>95</v>
      </c>
      <c r="G1038" s="19" t="str">
        <f t="shared" si="84"/>
        <v>GRS</v>
      </c>
      <c r="H1038" s="18" t="s">
        <v>3259</v>
      </c>
      <c r="I1038" s="14" t="s">
        <v>441</v>
      </c>
    </row>
    <row r="1039" spans="1:9" ht="26.4" x14ac:dyDescent="0.25">
      <c r="A1039" s="17" t="s">
        <v>320</v>
      </c>
      <c r="B1039" s="14" t="s">
        <v>5</v>
      </c>
      <c r="C1039" s="18" t="s">
        <v>1885</v>
      </c>
      <c r="D1039" s="14" t="str">
        <f t="shared" si="83"/>
        <v>1ST-358-1038</v>
      </c>
      <c r="E1039" s="18" t="s">
        <v>1886</v>
      </c>
      <c r="F1039" s="19">
        <f t="shared" si="82"/>
        <v>111</v>
      </c>
      <c r="G1039" s="19" t="str">
        <f t="shared" si="84"/>
        <v>GRS</v>
      </c>
      <c r="H1039" s="18" t="s">
        <v>3260</v>
      </c>
      <c r="I1039" s="14" t="s">
        <v>441</v>
      </c>
    </row>
    <row r="1040" spans="1:9" ht="26.4" x14ac:dyDescent="0.25">
      <c r="A1040" s="17" t="s">
        <v>320</v>
      </c>
      <c r="B1040" s="14" t="s">
        <v>5</v>
      </c>
      <c r="C1040" s="18" t="s">
        <v>843</v>
      </c>
      <c r="D1040" s="14" t="str">
        <f t="shared" si="83"/>
        <v>1ST-358-1039</v>
      </c>
      <c r="E1040" s="18" t="s">
        <v>1887</v>
      </c>
      <c r="F1040" s="19">
        <f t="shared" si="82"/>
        <v>113</v>
      </c>
      <c r="G1040" s="19" t="str">
        <f t="shared" si="84"/>
        <v>GRS</v>
      </c>
      <c r="H1040" s="18" t="s">
        <v>3261</v>
      </c>
      <c r="I1040" s="14" t="s">
        <v>441</v>
      </c>
    </row>
    <row r="1041" spans="1:9" ht="26.4" x14ac:dyDescent="0.25">
      <c r="A1041" s="17" t="s">
        <v>320</v>
      </c>
      <c r="B1041" s="14" t="s">
        <v>5</v>
      </c>
      <c r="C1041" s="18" t="s">
        <v>1888</v>
      </c>
      <c r="D1041" s="14" t="str">
        <f t="shared" si="83"/>
        <v>1ST-358-1040</v>
      </c>
      <c r="E1041" s="18" t="s">
        <v>1889</v>
      </c>
      <c r="F1041" s="19">
        <f t="shared" si="82"/>
        <v>140</v>
      </c>
      <c r="G1041" s="19" t="str">
        <f t="shared" si="84"/>
        <v>GRS</v>
      </c>
      <c r="H1041" s="18" t="s">
        <v>3262</v>
      </c>
      <c r="I1041" s="14" t="s">
        <v>441</v>
      </c>
    </row>
    <row r="1042" spans="1:9" ht="26.4" x14ac:dyDescent="0.25">
      <c r="A1042" s="17" t="s">
        <v>320</v>
      </c>
      <c r="B1042" s="14" t="s">
        <v>5</v>
      </c>
      <c r="C1042" s="18" t="s">
        <v>842</v>
      </c>
      <c r="D1042" s="14" t="str">
        <f t="shared" si="83"/>
        <v>1ST-358-1041</v>
      </c>
      <c r="E1042" s="18" t="s">
        <v>1890</v>
      </c>
      <c r="F1042" s="19">
        <f t="shared" si="82"/>
        <v>176</v>
      </c>
      <c r="G1042" s="19" t="str">
        <f t="shared" si="84"/>
        <v>GRS</v>
      </c>
      <c r="H1042" s="18" t="s">
        <v>3263</v>
      </c>
      <c r="I1042" s="14" t="s">
        <v>441</v>
      </c>
    </row>
    <row r="1043" spans="1:9" x14ac:dyDescent="0.25">
      <c r="A1043" s="17" t="s">
        <v>320</v>
      </c>
      <c r="B1043" s="14" t="s">
        <v>5</v>
      </c>
      <c r="C1043" s="18" t="s">
        <v>1891</v>
      </c>
      <c r="D1043" s="14" t="str">
        <f t="shared" si="83"/>
        <v>1ST-358-1042</v>
      </c>
      <c r="E1043" s="18" t="s">
        <v>1892</v>
      </c>
      <c r="F1043" s="19">
        <f t="shared" si="82"/>
        <v>265</v>
      </c>
      <c r="G1043" s="19" t="str">
        <f t="shared" si="84"/>
        <v>GRS</v>
      </c>
      <c r="H1043" s="18" t="s">
        <v>2776</v>
      </c>
      <c r="I1043" s="14" t="s">
        <v>441</v>
      </c>
    </row>
    <row r="1044" spans="1:9" ht="26.4" x14ac:dyDescent="0.25">
      <c r="A1044" s="17" t="s">
        <v>320</v>
      </c>
      <c r="B1044" s="14" t="s">
        <v>6</v>
      </c>
      <c r="C1044" s="18" t="s">
        <v>1893</v>
      </c>
      <c r="D1044" s="14" t="str">
        <f t="shared" si="83"/>
        <v>1ST-358-1043</v>
      </c>
      <c r="E1044" s="18" t="s">
        <v>1894</v>
      </c>
      <c r="F1044" s="19">
        <f t="shared" si="82"/>
        <v>35</v>
      </c>
      <c r="G1044" s="19" t="str">
        <f t="shared" si="84"/>
        <v>GRS</v>
      </c>
      <c r="H1044" s="18" t="s">
        <v>3264</v>
      </c>
      <c r="I1044" s="14" t="s">
        <v>441</v>
      </c>
    </row>
    <row r="1045" spans="1:9" ht="26.4" x14ac:dyDescent="0.25">
      <c r="A1045" s="17" t="s">
        <v>320</v>
      </c>
      <c r="B1045" s="14" t="s">
        <v>6</v>
      </c>
      <c r="C1045" s="18" t="s">
        <v>1895</v>
      </c>
      <c r="D1045" s="14" t="str">
        <f t="shared" si="83"/>
        <v>1ST-358-1044</v>
      </c>
      <c r="E1045" s="18" t="s">
        <v>1896</v>
      </c>
      <c r="F1045" s="19">
        <f t="shared" si="82"/>
        <v>41</v>
      </c>
      <c r="G1045" s="19" t="str">
        <f t="shared" si="84"/>
        <v>GRS</v>
      </c>
      <c r="H1045" s="18" t="s">
        <v>3265</v>
      </c>
      <c r="I1045" s="14" t="s">
        <v>441</v>
      </c>
    </row>
    <row r="1046" spans="1:9" ht="26.4" x14ac:dyDescent="0.25">
      <c r="A1046" s="17" t="s">
        <v>320</v>
      </c>
      <c r="B1046" s="14" t="s">
        <v>6</v>
      </c>
      <c r="C1046" s="18" t="s">
        <v>1897</v>
      </c>
      <c r="D1046" s="14" t="str">
        <f t="shared" si="83"/>
        <v>1ST-358-1045</v>
      </c>
      <c r="E1046" s="18" t="s">
        <v>1898</v>
      </c>
      <c r="F1046" s="19">
        <f t="shared" si="82"/>
        <v>46</v>
      </c>
      <c r="G1046" s="19" t="str">
        <f t="shared" si="84"/>
        <v>GRS</v>
      </c>
      <c r="H1046" s="18" t="s">
        <v>3266</v>
      </c>
      <c r="I1046" s="14" t="s">
        <v>441</v>
      </c>
    </row>
    <row r="1047" spans="1:9" ht="26.4" x14ac:dyDescent="0.25">
      <c r="A1047" s="17" t="s">
        <v>320</v>
      </c>
      <c r="B1047" s="14" t="s">
        <v>6</v>
      </c>
      <c r="C1047" s="18" t="s">
        <v>1899</v>
      </c>
      <c r="D1047" s="14" t="str">
        <f t="shared" si="83"/>
        <v>1ST-358-1046</v>
      </c>
      <c r="E1047" s="18" t="s">
        <v>1900</v>
      </c>
      <c r="F1047" s="19">
        <f t="shared" si="82"/>
        <v>58</v>
      </c>
      <c r="G1047" s="19" t="str">
        <f t="shared" si="84"/>
        <v>GRS</v>
      </c>
      <c r="H1047" s="18" t="s">
        <v>3267</v>
      </c>
      <c r="I1047" s="14" t="s">
        <v>441</v>
      </c>
    </row>
    <row r="1048" spans="1:9" ht="26.4" x14ac:dyDescent="0.25">
      <c r="A1048" s="17" t="s">
        <v>320</v>
      </c>
      <c r="B1048" s="14" t="s">
        <v>6</v>
      </c>
      <c r="C1048" s="18" t="s">
        <v>1901</v>
      </c>
      <c r="D1048" s="14" t="str">
        <f t="shared" si="83"/>
        <v>1ST-358-1047</v>
      </c>
      <c r="E1048" s="18" t="s">
        <v>1902</v>
      </c>
      <c r="F1048" s="19">
        <f t="shared" si="82"/>
        <v>60</v>
      </c>
      <c r="G1048" s="19" t="str">
        <f t="shared" si="84"/>
        <v>GRS</v>
      </c>
      <c r="H1048" s="18" t="s">
        <v>3268</v>
      </c>
      <c r="I1048" s="14" t="s">
        <v>441</v>
      </c>
    </row>
    <row r="1049" spans="1:9" ht="26.4" x14ac:dyDescent="0.25">
      <c r="A1049" s="17" t="s">
        <v>320</v>
      </c>
      <c r="B1049" s="14" t="s">
        <v>6</v>
      </c>
      <c r="C1049" s="18" t="s">
        <v>3827</v>
      </c>
      <c r="D1049" s="14" t="str">
        <f t="shared" si="83"/>
        <v>1ST-358-1048</v>
      </c>
      <c r="E1049" s="18" t="s">
        <v>1903</v>
      </c>
      <c r="F1049" s="19">
        <f t="shared" si="82"/>
        <v>85</v>
      </c>
      <c r="G1049" s="19" t="str">
        <f t="shared" si="84"/>
        <v>GRS</v>
      </c>
      <c r="H1049" s="18" t="s">
        <v>3269</v>
      </c>
      <c r="I1049" s="14" t="s">
        <v>441</v>
      </c>
    </row>
    <row r="1050" spans="1:9" ht="26.4" x14ac:dyDescent="0.25">
      <c r="A1050" s="17" t="s">
        <v>320</v>
      </c>
      <c r="B1050" s="14" t="s">
        <v>6</v>
      </c>
      <c r="C1050" s="18" t="s">
        <v>1904</v>
      </c>
      <c r="D1050" s="14" t="str">
        <f t="shared" si="83"/>
        <v>1ST-358-1049</v>
      </c>
      <c r="E1050" s="18" t="s">
        <v>1905</v>
      </c>
      <c r="F1050" s="19">
        <f t="shared" si="82"/>
        <v>121</v>
      </c>
      <c r="G1050" s="19" t="str">
        <f t="shared" si="84"/>
        <v>GRS</v>
      </c>
      <c r="H1050" s="18" t="s">
        <v>3270</v>
      </c>
      <c r="I1050" s="14" t="s">
        <v>441</v>
      </c>
    </row>
    <row r="1051" spans="1:9" ht="26.4" x14ac:dyDescent="0.25">
      <c r="A1051" s="17" t="s">
        <v>320</v>
      </c>
      <c r="B1051" s="14" t="s">
        <v>6</v>
      </c>
      <c r="C1051" s="18" t="s">
        <v>1906</v>
      </c>
      <c r="D1051" s="14" t="str">
        <f t="shared" si="83"/>
        <v>1ST-358-1050</v>
      </c>
      <c r="E1051" s="18" t="s">
        <v>1907</v>
      </c>
      <c r="F1051" s="19">
        <f t="shared" si="82"/>
        <v>198</v>
      </c>
      <c r="G1051" s="19" t="str">
        <f t="shared" si="84"/>
        <v>GRS</v>
      </c>
      <c r="H1051" s="18" t="s">
        <v>3271</v>
      </c>
      <c r="I1051" s="14" t="s">
        <v>441</v>
      </c>
    </row>
    <row r="1052" spans="1:9" x14ac:dyDescent="0.25">
      <c r="A1052" s="17" t="s">
        <v>320</v>
      </c>
      <c r="B1052" s="14" t="s">
        <v>7</v>
      </c>
      <c r="C1052" s="14" t="s">
        <v>3828</v>
      </c>
      <c r="D1052" s="14" t="str">
        <f t="shared" si="83"/>
        <v>1ST-358-1051</v>
      </c>
      <c r="E1052" s="14" t="s">
        <v>844</v>
      </c>
      <c r="F1052" s="19">
        <f t="shared" si="82"/>
        <v>195</v>
      </c>
      <c r="G1052" s="19" t="str">
        <f t="shared" si="84"/>
        <v>PC</v>
      </c>
      <c r="H1052" s="14" t="s">
        <v>845</v>
      </c>
      <c r="I1052" s="25" t="s">
        <v>3523</v>
      </c>
    </row>
    <row r="1053" spans="1:9" ht="26.4" x14ac:dyDescent="0.25">
      <c r="A1053" s="17" t="s">
        <v>320</v>
      </c>
      <c r="B1053" s="14" t="s">
        <v>8</v>
      </c>
      <c r="C1053" s="18" t="s">
        <v>1908</v>
      </c>
      <c r="D1053" s="14" t="str">
        <f t="shared" si="83"/>
        <v>1ST-358-1052</v>
      </c>
      <c r="E1053" s="19" t="s">
        <v>640</v>
      </c>
      <c r="F1053" s="19">
        <f t="shared" si="82"/>
        <v>45</v>
      </c>
      <c r="G1053" s="19" t="str">
        <f t="shared" si="84"/>
        <v>PC</v>
      </c>
      <c r="H1053" s="20" t="s">
        <v>846</v>
      </c>
      <c r="I1053" s="25" t="s">
        <v>3523</v>
      </c>
    </row>
    <row r="1054" spans="1:9" ht="26.4" x14ac:dyDescent="0.25">
      <c r="A1054" s="17" t="s">
        <v>320</v>
      </c>
      <c r="B1054" s="14" t="s">
        <v>8</v>
      </c>
      <c r="C1054" s="18" t="s">
        <v>1909</v>
      </c>
      <c r="D1054" s="14" t="str">
        <f t="shared" si="83"/>
        <v>1ST-358-1053</v>
      </c>
      <c r="E1054" s="19" t="s">
        <v>652</v>
      </c>
      <c r="F1054" s="19">
        <f t="shared" si="82"/>
        <v>80</v>
      </c>
      <c r="G1054" s="19" t="str">
        <f t="shared" si="84"/>
        <v>PC</v>
      </c>
      <c r="H1054" s="20" t="s">
        <v>846</v>
      </c>
      <c r="I1054" s="25" t="s">
        <v>3523</v>
      </c>
    </row>
    <row r="1055" spans="1:9" ht="26.4" x14ac:dyDescent="0.25">
      <c r="A1055" s="17" t="s">
        <v>320</v>
      </c>
      <c r="B1055" s="14" t="s">
        <v>847</v>
      </c>
      <c r="C1055" s="18" t="s">
        <v>1910</v>
      </c>
      <c r="D1055" s="14" t="str">
        <f t="shared" si="83"/>
        <v>1ST-358-1054</v>
      </c>
      <c r="E1055" s="19" t="s">
        <v>965</v>
      </c>
      <c r="F1055" s="19">
        <f t="shared" si="82"/>
        <v>15</v>
      </c>
      <c r="G1055" s="19" t="str">
        <f t="shared" si="84"/>
        <v>PC</v>
      </c>
      <c r="H1055" s="18" t="s">
        <v>3272</v>
      </c>
      <c r="I1055" s="14" t="s">
        <v>441</v>
      </c>
    </row>
    <row r="1056" spans="1:9" ht="26.4" x14ac:dyDescent="0.25">
      <c r="A1056" s="17" t="s">
        <v>320</v>
      </c>
      <c r="B1056" s="14" t="s">
        <v>847</v>
      </c>
      <c r="C1056" s="18" t="s">
        <v>1911</v>
      </c>
      <c r="D1056" s="14" t="str">
        <f t="shared" si="83"/>
        <v>1ST-358-1055</v>
      </c>
      <c r="E1056" s="19" t="s">
        <v>498</v>
      </c>
      <c r="F1056" s="19">
        <f t="shared" si="82"/>
        <v>28</v>
      </c>
      <c r="G1056" s="19" t="str">
        <f t="shared" si="84"/>
        <v>PC</v>
      </c>
      <c r="H1056" s="18" t="s">
        <v>3273</v>
      </c>
      <c r="I1056" s="14" t="s">
        <v>441</v>
      </c>
    </row>
    <row r="1057" spans="1:9" ht="26.4" x14ac:dyDescent="0.25">
      <c r="A1057" s="17" t="s">
        <v>320</v>
      </c>
      <c r="B1057" s="14" t="s">
        <v>847</v>
      </c>
      <c r="C1057" s="18" t="s">
        <v>1912</v>
      </c>
      <c r="D1057" s="14" t="str">
        <f t="shared" si="83"/>
        <v>1ST-358-1056</v>
      </c>
      <c r="E1057" s="19" t="s">
        <v>1913</v>
      </c>
      <c r="F1057" s="19">
        <f t="shared" si="82"/>
        <v>36</v>
      </c>
      <c r="G1057" s="19" t="str">
        <f t="shared" si="84"/>
        <v>PC</v>
      </c>
      <c r="H1057" s="18" t="s">
        <v>3274</v>
      </c>
      <c r="I1057" s="14" t="s">
        <v>441</v>
      </c>
    </row>
    <row r="1058" spans="1:9" ht="26.4" x14ac:dyDescent="0.25">
      <c r="A1058" s="17" t="s">
        <v>320</v>
      </c>
      <c r="B1058" s="14" t="s">
        <v>847</v>
      </c>
      <c r="C1058" s="18" t="s">
        <v>1914</v>
      </c>
      <c r="D1058" s="14" t="str">
        <f t="shared" si="83"/>
        <v>1ST-358-1057</v>
      </c>
      <c r="E1058" s="19" t="s">
        <v>965</v>
      </c>
      <c r="F1058" s="19">
        <f t="shared" si="82"/>
        <v>15</v>
      </c>
      <c r="G1058" s="19" t="str">
        <f t="shared" si="84"/>
        <v>PC</v>
      </c>
      <c r="H1058" s="18" t="s">
        <v>3272</v>
      </c>
      <c r="I1058" s="14" t="s">
        <v>441</v>
      </c>
    </row>
    <row r="1059" spans="1:9" ht="26.4" x14ac:dyDescent="0.25">
      <c r="A1059" s="17" t="s">
        <v>320</v>
      </c>
      <c r="B1059" s="14" t="s">
        <v>847</v>
      </c>
      <c r="C1059" s="18" t="s">
        <v>1915</v>
      </c>
      <c r="D1059" s="14" t="str">
        <f t="shared" si="83"/>
        <v>1ST-358-1058</v>
      </c>
      <c r="E1059" s="19" t="s">
        <v>498</v>
      </c>
      <c r="F1059" s="19">
        <f t="shared" si="82"/>
        <v>28</v>
      </c>
      <c r="G1059" s="19" t="str">
        <f t="shared" si="84"/>
        <v>PC</v>
      </c>
      <c r="H1059" s="18" t="s">
        <v>3273</v>
      </c>
      <c r="I1059" s="14" t="s">
        <v>441</v>
      </c>
    </row>
    <row r="1060" spans="1:9" ht="26.4" x14ac:dyDescent="0.25">
      <c r="A1060" s="17" t="s">
        <v>320</v>
      </c>
      <c r="B1060" s="14" t="s">
        <v>847</v>
      </c>
      <c r="C1060" s="18" t="s">
        <v>1916</v>
      </c>
      <c r="D1060" s="14" t="str">
        <f t="shared" si="83"/>
        <v>1ST-358-1059</v>
      </c>
      <c r="E1060" s="19" t="s">
        <v>1913</v>
      </c>
      <c r="F1060" s="19">
        <f t="shared" si="82"/>
        <v>36</v>
      </c>
      <c r="G1060" s="19" t="str">
        <f t="shared" si="84"/>
        <v>PC</v>
      </c>
      <c r="H1060" s="18" t="s">
        <v>3274</v>
      </c>
      <c r="I1060" s="14" t="s">
        <v>441</v>
      </c>
    </row>
    <row r="1061" spans="1:9" x14ac:dyDescent="0.25">
      <c r="A1061" s="17" t="s">
        <v>320</v>
      </c>
      <c r="B1061" s="14" t="s">
        <v>847</v>
      </c>
      <c r="C1061" s="18" t="s">
        <v>1917</v>
      </c>
      <c r="D1061" s="14" t="str">
        <f t="shared" si="83"/>
        <v>1ST-358-1060</v>
      </c>
      <c r="E1061" s="18" t="s">
        <v>922</v>
      </c>
      <c r="F1061" s="19">
        <f t="shared" si="82"/>
        <v>17</v>
      </c>
      <c r="G1061" s="19" t="str">
        <f t="shared" si="84"/>
        <v>PC</v>
      </c>
      <c r="H1061" s="18" t="s">
        <v>2777</v>
      </c>
      <c r="I1061" s="14" t="s">
        <v>441</v>
      </c>
    </row>
    <row r="1062" spans="1:9" x14ac:dyDescent="0.25">
      <c r="A1062" s="17" t="s">
        <v>320</v>
      </c>
      <c r="B1062" s="14" t="s">
        <v>847</v>
      </c>
      <c r="C1062" s="18" t="s">
        <v>1918</v>
      </c>
      <c r="D1062" s="14" t="str">
        <f t="shared" si="83"/>
        <v>1ST-358-1061</v>
      </c>
      <c r="E1062" s="18" t="s">
        <v>961</v>
      </c>
      <c r="F1062" s="19">
        <f t="shared" si="82"/>
        <v>25</v>
      </c>
      <c r="G1062" s="19" t="str">
        <f t="shared" si="84"/>
        <v>PC</v>
      </c>
      <c r="H1062" s="18" t="s">
        <v>2778</v>
      </c>
      <c r="I1062" s="14" t="s">
        <v>441</v>
      </c>
    </row>
    <row r="1063" spans="1:9" ht="26.4" x14ac:dyDescent="0.25">
      <c r="A1063" s="17" t="s">
        <v>320</v>
      </c>
      <c r="B1063" s="14" t="s">
        <v>847</v>
      </c>
      <c r="C1063" s="18" t="s">
        <v>1919</v>
      </c>
      <c r="D1063" s="14" t="str">
        <f t="shared" si="83"/>
        <v>1ST-358-1062</v>
      </c>
      <c r="E1063" s="18" t="s">
        <v>904</v>
      </c>
      <c r="F1063" s="19">
        <f t="shared" si="82"/>
        <v>33</v>
      </c>
      <c r="G1063" s="19" t="str">
        <f t="shared" si="84"/>
        <v>PC</v>
      </c>
      <c r="H1063" s="18" t="s">
        <v>3275</v>
      </c>
      <c r="I1063" s="14" t="s">
        <v>441</v>
      </c>
    </row>
    <row r="1064" spans="1:9" ht="26.4" x14ac:dyDescent="0.25">
      <c r="A1064" s="17" t="s">
        <v>320</v>
      </c>
      <c r="B1064" s="14" t="s">
        <v>847</v>
      </c>
      <c r="C1064" s="18" t="s">
        <v>1920</v>
      </c>
      <c r="D1064" s="14" t="str">
        <f t="shared" si="83"/>
        <v>1ST-358-1063</v>
      </c>
      <c r="E1064" s="18" t="s">
        <v>1158</v>
      </c>
      <c r="F1064" s="19">
        <f t="shared" ref="F1064:F1127" si="85">VALUE(LEFT(E1064,FIND("/",E1064)-1))</f>
        <v>21</v>
      </c>
      <c r="G1064" s="19" t="str">
        <f t="shared" si="84"/>
        <v>PC</v>
      </c>
      <c r="H1064" s="18" t="s">
        <v>3127</v>
      </c>
      <c r="I1064" s="14" t="s">
        <v>441</v>
      </c>
    </row>
    <row r="1065" spans="1:9" ht="26.4" x14ac:dyDescent="0.25">
      <c r="A1065" s="17" t="s">
        <v>320</v>
      </c>
      <c r="B1065" s="14" t="s">
        <v>847</v>
      </c>
      <c r="C1065" s="18" t="s">
        <v>1921</v>
      </c>
      <c r="D1065" s="14" t="str">
        <f t="shared" si="83"/>
        <v>1ST-358-1064</v>
      </c>
      <c r="E1065" s="18" t="s">
        <v>943</v>
      </c>
      <c r="F1065" s="19">
        <f t="shared" si="85"/>
        <v>27</v>
      </c>
      <c r="G1065" s="19" t="str">
        <f t="shared" si="84"/>
        <v>PC</v>
      </c>
      <c r="H1065" s="18" t="s">
        <v>3105</v>
      </c>
      <c r="I1065" s="14" t="s">
        <v>441</v>
      </c>
    </row>
    <row r="1066" spans="1:9" ht="26.4" x14ac:dyDescent="0.25">
      <c r="A1066" s="17" t="s">
        <v>320</v>
      </c>
      <c r="B1066" s="14" t="s">
        <v>847</v>
      </c>
      <c r="C1066" s="18" t="s">
        <v>1922</v>
      </c>
      <c r="D1066" s="14" t="str">
        <f t="shared" si="83"/>
        <v>1ST-358-1065</v>
      </c>
      <c r="E1066" s="18" t="s">
        <v>1495</v>
      </c>
      <c r="F1066" s="19">
        <f t="shared" si="85"/>
        <v>37</v>
      </c>
      <c r="G1066" s="19" t="str">
        <f t="shared" si="84"/>
        <v>PC</v>
      </c>
      <c r="H1066" s="18" t="s">
        <v>3276</v>
      </c>
      <c r="I1066" s="14" t="s">
        <v>441</v>
      </c>
    </row>
    <row r="1067" spans="1:9" ht="26.4" x14ac:dyDescent="0.25">
      <c r="A1067" s="17" t="s">
        <v>320</v>
      </c>
      <c r="B1067" s="14" t="s">
        <v>847</v>
      </c>
      <c r="C1067" s="18" t="s">
        <v>1923</v>
      </c>
      <c r="D1067" s="14" t="str">
        <f t="shared" si="83"/>
        <v>1ST-358-1066</v>
      </c>
      <c r="E1067" s="19" t="s">
        <v>922</v>
      </c>
      <c r="F1067" s="19">
        <f t="shared" si="85"/>
        <v>17</v>
      </c>
      <c r="G1067" s="19" t="str">
        <f t="shared" si="84"/>
        <v>PC</v>
      </c>
      <c r="H1067" s="18" t="s">
        <v>3277</v>
      </c>
      <c r="I1067" s="14" t="s">
        <v>441</v>
      </c>
    </row>
    <row r="1068" spans="1:9" ht="26.4" x14ac:dyDescent="0.25">
      <c r="A1068" s="17" t="s">
        <v>320</v>
      </c>
      <c r="B1068" s="14" t="s">
        <v>847</v>
      </c>
      <c r="C1068" s="18" t="s">
        <v>1924</v>
      </c>
      <c r="D1068" s="14" t="str">
        <f t="shared" si="83"/>
        <v>1ST-358-1067</v>
      </c>
      <c r="E1068" s="19" t="s">
        <v>961</v>
      </c>
      <c r="F1068" s="19">
        <f t="shared" si="85"/>
        <v>25</v>
      </c>
      <c r="G1068" s="19" t="str">
        <f t="shared" si="84"/>
        <v>PC</v>
      </c>
      <c r="H1068" s="18" t="s">
        <v>3278</v>
      </c>
      <c r="I1068" s="14" t="s">
        <v>441</v>
      </c>
    </row>
    <row r="1069" spans="1:9" ht="26.4" x14ac:dyDescent="0.25">
      <c r="A1069" s="17" t="s">
        <v>320</v>
      </c>
      <c r="B1069" s="14" t="s">
        <v>847</v>
      </c>
      <c r="C1069" s="18" t="s">
        <v>1925</v>
      </c>
      <c r="D1069" s="14" t="str">
        <f t="shared" si="83"/>
        <v>1ST-358-1068</v>
      </c>
      <c r="E1069" s="19" t="s">
        <v>904</v>
      </c>
      <c r="F1069" s="19">
        <f t="shared" si="85"/>
        <v>33</v>
      </c>
      <c r="G1069" s="19" t="str">
        <f t="shared" si="84"/>
        <v>PC</v>
      </c>
      <c r="H1069" s="18" t="s">
        <v>3275</v>
      </c>
      <c r="I1069" s="14" t="s">
        <v>441</v>
      </c>
    </row>
    <row r="1070" spans="1:9" ht="26.4" x14ac:dyDescent="0.25">
      <c r="A1070" s="17" t="s">
        <v>320</v>
      </c>
      <c r="B1070" s="14" t="s">
        <v>848</v>
      </c>
      <c r="C1070" s="18" t="s">
        <v>1926</v>
      </c>
      <c r="D1070" s="14" t="str">
        <f t="shared" si="83"/>
        <v>1ST-358-1069</v>
      </c>
      <c r="E1070" s="19" t="s">
        <v>965</v>
      </c>
      <c r="F1070" s="19">
        <f t="shared" si="85"/>
        <v>15</v>
      </c>
      <c r="G1070" s="19" t="str">
        <f t="shared" si="84"/>
        <v>PC</v>
      </c>
      <c r="H1070" s="18" t="s">
        <v>3279</v>
      </c>
      <c r="I1070" s="14" t="s">
        <v>441</v>
      </c>
    </row>
    <row r="1071" spans="1:9" ht="26.4" x14ac:dyDescent="0.25">
      <c r="A1071" s="17" t="s">
        <v>320</v>
      </c>
      <c r="B1071" s="14" t="s">
        <v>848</v>
      </c>
      <c r="C1071" s="18" t="s">
        <v>1927</v>
      </c>
      <c r="D1071" s="14" t="str">
        <f t="shared" si="83"/>
        <v>1ST-358-1070</v>
      </c>
      <c r="E1071" s="18" t="s">
        <v>498</v>
      </c>
      <c r="F1071" s="19">
        <f t="shared" si="85"/>
        <v>28</v>
      </c>
      <c r="G1071" s="19" t="str">
        <f t="shared" si="84"/>
        <v>PC</v>
      </c>
      <c r="H1071" s="18" t="s">
        <v>3280</v>
      </c>
      <c r="I1071" s="14" t="s">
        <v>441</v>
      </c>
    </row>
    <row r="1072" spans="1:9" ht="26.4" x14ac:dyDescent="0.25">
      <c r="A1072" s="17" t="s">
        <v>320</v>
      </c>
      <c r="B1072" s="14" t="s">
        <v>848</v>
      </c>
      <c r="C1072" s="18" t="s">
        <v>1928</v>
      </c>
      <c r="D1072" s="14" t="str">
        <f t="shared" si="83"/>
        <v>1ST-358-1071</v>
      </c>
      <c r="E1072" s="18" t="s">
        <v>1913</v>
      </c>
      <c r="F1072" s="19">
        <f t="shared" si="85"/>
        <v>36</v>
      </c>
      <c r="G1072" s="19" t="str">
        <f t="shared" si="84"/>
        <v>PC</v>
      </c>
      <c r="H1072" s="18" t="s">
        <v>3274</v>
      </c>
      <c r="I1072" s="14" t="s">
        <v>441</v>
      </c>
    </row>
    <row r="1073" spans="1:9" ht="26.4" x14ac:dyDescent="0.25">
      <c r="A1073" s="17" t="s">
        <v>320</v>
      </c>
      <c r="B1073" s="14" t="s">
        <v>848</v>
      </c>
      <c r="C1073" s="18" t="s">
        <v>1929</v>
      </c>
      <c r="D1073" s="14" t="str">
        <f t="shared" si="83"/>
        <v>1ST-358-1072</v>
      </c>
      <c r="E1073" s="19" t="s">
        <v>965</v>
      </c>
      <c r="F1073" s="19">
        <f t="shared" si="85"/>
        <v>15</v>
      </c>
      <c r="G1073" s="19" t="str">
        <f t="shared" si="84"/>
        <v>PC</v>
      </c>
      <c r="H1073" s="18" t="s">
        <v>3279</v>
      </c>
      <c r="I1073" s="14" t="s">
        <v>441</v>
      </c>
    </row>
    <row r="1074" spans="1:9" ht="26.4" x14ac:dyDescent="0.25">
      <c r="A1074" s="17" t="s">
        <v>320</v>
      </c>
      <c r="B1074" s="14" t="s">
        <v>848</v>
      </c>
      <c r="C1074" s="18" t="s">
        <v>1930</v>
      </c>
      <c r="D1074" s="14" t="str">
        <f t="shared" si="83"/>
        <v>1ST-358-1073</v>
      </c>
      <c r="E1074" s="19" t="s">
        <v>498</v>
      </c>
      <c r="F1074" s="19">
        <f t="shared" si="85"/>
        <v>28</v>
      </c>
      <c r="G1074" s="19" t="str">
        <f t="shared" si="84"/>
        <v>PC</v>
      </c>
      <c r="H1074" s="18" t="s">
        <v>3280</v>
      </c>
      <c r="I1074" s="14" t="s">
        <v>441</v>
      </c>
    </row>
    <row r="1075" spans="1:9" ht="26.4" x14ac:dyDescent="0.25">
      <c r="A1075" s="17" t="s">
        <v>320</v>
      </c>
      <c r="B1075" s="14" t="s">
        <v>848</v>
      </c>
      <c r="C1075" s="18" t="s">
        <v>1931</v>
      </c>
      <c r="D1075" s="14" t="str">
        <f t="shared" si="83"/>
        <v>1ST-358-1074</v>
      </c>
      <c r="E1075" s="19" t="s">
        <v>1913</v>
      </c>
      <c r="F1075" s="19">
        <f t="shared" si="85"/>
        <v>36</v>
      </c>
      <c r="G1075" s="19" t="str">
        <f t="shared" si="84"/>
        <v>PC</v>
      </c>
      <c r="H1075" s="18" t="s">
        <v>3274</v>
      </c>
      <c r="I1075" s="14" t="s">
        <v>441</v>
      </c>
    </row>
    <row r="1076" spans="1:9" ht="26.4" x14ac:dyDescent="0.25">
      <c r="A1076" s="17" t="s">
        <v>320</v>
      </c>
      <c r="B1076" s="14" t="s">
        <v>848</v>
      </c>
      <c r="C1076" s="18" t="s">
        <v>1932</v>
      </c>
      <c r="D1076" s="14" t="str">
        <f t="shared" si="83"/>
        <v>1ST-358-1075</v>
      </c>
      <c r="E1076" s="19" t="s">
        <v>922</v>
      </c>
      <c r="F1076" s="19">
        <f t="shared" si="85"/>
        <v>17</v>
      </c>
      <c r="G1076" s="19" t="str">
        <f t="shared" si="84"/>
        <v>PC</v>
      </c>
      <c r="H1076" s="18" t="s">
        <v>3281</v>
      </c>
      <c r="I1076" s="14" t="s">
        <v>441</v>
      </c>
    </row>
    <row r="1077" spans="1:9" ht="26.4" x14ac:dyDescent="0.25">
      <c r="A1077" s="17" t="s">
        <v>320</v>
      </c>
      <c r="B1077" s="14" t="s">
        <v>848</v>
      </c>
      <c r="C1077" s="18" t="s">
        <v>1933</v>
      </c>
      <c r="D1077" s="14" t="str">
        <f t="shared" si="83"/>
        <v>1ST-358-1076</v>
      </c>
      <c r="E1077" s="19" t="s">
        <v>961</v>
      </c>
      <c r="F1077" s="19">
        <f t="shared" si="85"/>
        <v>25</v>
      </c>
      <c r="G1077" s="19" t="str">
        <f t="shared" si="84"/>
        <v>PC</v>
      </c>
      <c r="H1077" s="18" t="s">
        <v>3282</v>
      </c>
      <c r="I1077" s="14" t="s">
        <v>441</v>
      </c>
    </row>
    <row r="1078" spans="1:9" ht="26.4" x14ac:dyDescent="0.25">
      <c r="A1078" s="17" t="s">
        <v>320</v>
      </c>
      <c r="B1078" s="14" t="s">
        <v>848</v>
      </c>
      <c r="C1078" s="18" t="s">
        <v>1934</v>
      </c>
      <c r="D1078" s="14" t="str">
        <f t="shared" si="83"/>
        <v>1ST-358-1077</v>
      </c>
      <c r="E1078" s="19" t="s">
        <v>904</v>
      </c>
      <c r="F1078" s="19">
        <f t="shared" si="85"/>
        <v>33</v>
      </c>
      <c r="G1078" s="19" t="str">
        <f t="shared" si="84"/>
        <v>PC</v>
      </c>
      <c r="H1078" s="18" t="s">
        <v>3275</v>
      </c>
      <c r="I1078" s="14" t="s">
        <v>441</v>
      </c>
    </row>
    <row r="1079" spans="1:9" ht="26.4" x14ac:dyDescent="0.25">
      <c r="A1079" s="17" t="s">
        <v>320</v>
      </c>
      <c r="B1079" s="14" t="s">
        <v>848</v>
      </c>
      <c r="C1079" s="18" t="s">
        <v>1935</v>
      </c>
      <c r="D1079" s="14" t="str">
        <f t="shared" si="83"/>
        <v>1ST-358-1078</v>
      </c>
      <c r="E1079" s="19" t="s">
        <v>1158</v>
      </c>
      <c r="F1079" s="19">
        <f t="shared" si="85"/>
        <v>21</v>
      </c>
      <c r="G1079" s="19" t="str">
        <f t="shared" si="84"/>
        <v>PC</v>
      </c>
      <c r="H1079" s="18" t="s">
        <v>3127</v>
      </c>
      <c r="I1079" s="14" t="s">
        <v>441</v>
      </c>
    </row>
    <row r="1080" spans="1:9" ht="26.4" x14ac:dyDescent="0.25">
      <c r="A1080" s="17" t="s">
        <v>320</v>
      </c>
      <c r="B1080" s="14" t="s">
        <v>848</v>
      </c>
      <c r="C1080" s="18" t="s">
        <v>1936</v>
      </c>
      <c r="D1080" s="14" t="str">
        <f t="shared" si="83"/>
        <v>1ST-358-1079</v>
      </c>
      <c r="E1080" s="19" t="s">
        <v>943</v>
      </c>
      <c r="F1080" s="19">
        <f t="shared" si="85"/>
        <v>27</v>
      </c>
      <c r="G1080" s="19" t="str">
        <f t="shared" si="84"/>
        <v>PC</v>
      </c>
      <c r="H1080" s="18" t="s">
        <v>3283</v>
      </c>
      <c r="I1080" s="14" t="s">
        <v>441</v>
      </c>
    </row>
    <row r="1081" spans="1:9" ht="26.4" x14ac:dyDescent="0.25">
      <c r="A1081" s="17" t="s">
        <v>320</v>
      </c>
      <c r="B1081" s="14" t="s">
        <v>848</v>
      </c>
      <c r="C1081" s="18" t="s">
        <v>1937</v>
      </c>
      <c r="D1081" s="14" t="str">
        <f t="shared" si="83"/>
        <v>1ST-358-1080</v>
      </c>
      <c r="E1081" s="19" t="s">
        <v>1495</v>
      </c>
      <c r="F1081" s="19">
        <f t="shared" si="85"/>
        <v>37</v>
      </c>
      <c r="G1081" s="19" t="str">
        <f t="shared" si="84"/>
        <v>PC</v>
      </c>
      <c r="H1081" s="18" t="s">
        <v>3276</v>
      </c>
      <c r="I1081" s="14" t="s">
        <v>441</v>
      </c>
    </row>
    <row r="1082" spans="1:9" ht="26.4" x14ac:dyDescent="0.25">
      <c r="A1082" s="17" t="s">
        <v>320</v>
      </c>
      <c r="B1082" s="14" t="s">
        <v>848</v>
      </c>
      <c r="C1082" s="18" t="s">
        <v>1938</v>
      </c>
      <c r="D1082" s="14" t="str">
        <f t="shared" si="83"/>
        <v>1ST-358-1081</v>
      </c>
      <c r="E1082" s="19" t="s">
        <v>922</v>
      </c>
      <c r="F1082" s="19">
        <f t="shared" si="85"/>
        <v>17</v>
      </c>
      <c r="G1082" s="19" t="str">
        <f t="shared" si="84"/>
        <v>PC</v>
      </c>
      <c r="H1082" s="18" t="s">
        <v>3277</v>
      </c>
      <c r="I1082" s="14" t="s">
        <v>441</v>
      </c>
    </row>
    <row r="1083" spans="1:9" ht="26.4" x14ac:dyDescent="0.25">
      <c r="A1083" s="17" t="s">
        <v>320</v>
      </c>
      <c r="B1083" s="14" t="s">
        <v>848</v>
      </c>
      <c r="C1083" s="18" t="s">
        <v>1939</v>
      </c>
      <c r="D1083" s="14" t="str">
        <f t="shared" si="83"/>
        <v>1ST-358-1082</v>
      </c>
      <c r="E1083" s="19" t="s">
        <v>961</v>
      </c>
      <c r="F1083" s="19">
        <f t="shared" si="85"/>
        <v>25</v>
      </c>
      <c r="G1083" s="19" t="str">
        <f t="shared" si="84"/>
        <v>PC</v>
      </c>
      <c r="H1083" s="18" t="s">
        <v>3278</v>
      </c>
      <c r="I1083" s="14" t="s">
        <v>441</v>
      </c>
    </row>
    <row r="1084" spans="1:9" ht="26.4" x14ac:dyDescent="0.25">
      <c r="A1084" s="17" t="s">
        <v>320</v>
      </c>
      <c r="B1084" s="14" t="s">
        <v>848</v>
      </c>
      <c r="C1084" s="18" t="s">
        <v>1940</v>
      </c>
      <c r="D1084" s="14" t="str">
        <f t="shared" si="83"/>
        <v>1ST-358-1083</v>
      </c>
      <c r="E1084" s="19" t="s">
        <v>904</v>
      </c>
      <c r="F1084" s="19">
        <f t="shared" si="85"/>
        <v>33</v>
      </c>
      <c r="G1084" s="19" t="str">
        <f t="shared" si="84"/>
        <v>PC</v>
      </c>
      <c r="H1084" s="18" t="s">
        <v>3275</v>
      </c>
      <c r="I1084" s="14" t="s">
        <v>441</v>
      </c>
    </row>
    <row r="1085" spans="1:9" ht="26.4" x14ac:dyDescent="0.25">
      <c r="A1085" s="17" t="s">
        <v>320</v>
      </c>
      <c r="B1085" s="14" t="s">
        <v>9</v>
      </c>
      <c r="C1085" s="18" t="s">
        <v>1941</v>
      </c>
      <c r="D1085" s="14" t="str">
        <f t="shared" si="83"/>
        <v>1ST-358-1084</v>
      </c>
      <c r="E1085" s="19" t="s">
        <v>1942</v>
      </c>
      <c r="F1085" s="19">
        <f t="shared" si="85"/>
        <v>81</v>
      </c>
      <c r="G1085" s="19" t="str">
        <f t="shared" si="84"/>
        <v>DOZ</v>
      </c>
      <c r="H1085" s="18" t="s">
        <v>3284</v>
      </c>
      <c r="I1085" s="14" t="s">
        <v>441</v>
      </c>
    </row>
    <row r="1086" spans="1:9" ht="26.4" x14ac:dyDescent="0.25">
      <c r="A1086" s="17" t="s">
        <v>320</v>
      </c>
      <c r="B1086" s="14" t="s">
        <v>9</v>
      </c>
      <c r="C1086" s="18" t="s">
        <v>1943</v>
      </c>
      <c r="D1086" s="14" t="str">
        <f t="shared" si="83"/>
        <v>1ST-358-1085</v>
      </c>
      <c r="E1086" s="19" t="s">
        <v>1944</v>
      </c>
      <c r="F1086" s="19">
        <f t="shared" si="85"/>
        <v>141</v>
      </c>
      <c r="G1086" s="19" t="str">
        <f t="shared" si="84"/>
        <v>DOZ</v>
      </c>
      <c r="H1086" s="18" t="s">
        <v>3285</v>
      </c>
      <c r="I1086" s="14" t="s">
        <v>441</v>
      </c>
    </row>
    <row r="1087" spans="1:9" ht="26.4" x14ac:dyDescent="0.25">
      <c r="A1087" s="17" t="s">
        <v>320</v>
      </c>
      <c r="B1087" s="14" t="s">
        <v>9</v>
      </c>
      <c r="C1087" s="18" t="s">
        <v>1945</v>
      </c>
      <c r="D1087" s="14" t="str">
        <f t="shared" si="83"/>
        <v>1ST-358-1086</v>
      </c>
      <c r="E1087" s="19" t="s">
        <v>1946</v>
      </c>
      <c r="F1087" s="19">
        <f t="shared" si="85"/>
        <v>155</v>
      </c>
      <c r="G1087" s="19" t="str">
        <f t="shared" si="84"/>
        <v>DOZ</v>
      </c>
      <c r="H1087" s="18" t="s">
        <v>3286</v>
      </c>
      <c r="I1087" s="14" t="s">
        <v>441</v>
      </c>
    </row>
    <row r="1088" spans="1:9" ht="26.4" x14ac:dyDescent="0.25">
      <c r="A1088" s="17" t="s">
        <v>320</v>
      </c>
      <c r="B1088" s="14" t="s">
        <v>10</v>
      </c>
      <c r="C1088" s="18" t="s">
        <v>1947</v>
      </c>
      <c r="D1088" s="14" t="str">
        <f t="shared" si="83"/>
        <v>1ST-358-1087</v>
      </c>
      <c r="E1088" s="18" t="s">
        <v>1948</v>
      </c>
      <c r="F1088" s="19">
        <f t="shared" si="85"/>
        <v>8.8000000000000007</v>
      </c>
      <c r="G1088" s="19" t="str">
        <f t="shared" si="84"/>
        <v>PC</v>
      </c>
      <c r="H1088" s="18" t="s">
        <v>3122</v>
      </c>
      <c r="I1088" s="14" t="s">
        <v>441</v>
      </c>
    </row>
    <row r="1089" spans="1:9" ht="26.4" x14ac:dyDescent="0.25">
      <c r="A1089" s="17" t="s">
        <v>320</v>
      </c>
      <c r="B1089" s="14" t="s">
        <v>10</v>
      </c>
      <c r="C1089" s="18" t="s">
        <v>1949</v>
      </c>
      <c r="D1089" s="14" t="str">
        <f t="shared" si="83"/>
        <v>1ST-358-1088</v>
      </c>
      <c r="E1089" s="18" t="s">
        <v>487</v>
      </c>
      <c r="F1089" s="19">
        <f t="shared" si="85"/>
        <v>9.5</v>
      </c>
      <c r="G1089" s="19" t="str">
        <f t="shared" si="84"/>
        <v>PC</v>
      </c>
      <c r="H1089" s="18" t="s">
        <v>3287</v>
      </c>
      <c r="I1089" s="14" t="s">
        <v>441</v>
      </c>
    </row>
    <row r="1090" spans="1:9" ht="26.4" x14ac:dyDescent="0.25">
      <c r="A1090" s="17" t="s">
        <v>320</v>
      </c>
      <c r="B1090" s="14" t="s">
        <v>10</v>
      </c>
      <c r="C1090" s="18" t="s">
        <v>1950</v>
      </c>
      <c r="D1090" s="14" t="str">
        <f t="shared" si="83"/>
        <v>1ST-358-1089</v>
      </c>
      <c r="E1090" s="18" t="s">
        <v>1554</v>
      </c>
      <c r="F1090" s="19">
        <f t="shared" si="85"/>
        <v>10.5</v>
      </c>
      <c r="G1090" s="19" t="str">
        <f t="shared" si="84"/>
        <v>PC</v>
      </c>
      <c r="H1090" s="18" t="s">
        <v>3288</v>
      </c>
      <c r="I1090" s="14" t="s">
        <v>441</v>
      </c>
    </row>
    <row r="1091" spans="1:9" x14ac:dyDescent="0.25">
      <c r="A1091" s="17" t="s">
        <v>320</v>
      </c>
      <c r="B1091" s="14" t="s">
        <v>10</v>
      </c>
      <c r="C1091" s="18" t="s">
        <v>1951</v>
      </c>
      <c r="D1091" s="14" t="str">
        <f t="shared" si="83"/>
        <v>1ST-358-1090</v>
      </c>
      <c r="E1091" s="18" t="s">
        <v>913</v>
      </c>
      <c r="F1091" s="19">
        <f t="shared" si="85"/>
        <v>12.5</v>
      </c>
      <c r="G1091" s="19" t="str">
        <f t="shared" si="84"/>
        <v>PC</v>
      </c>
      <c r="H1091" s="18" t="s">
        <v>2779</v>
      </c>
      <c r="I1091" s="14" t="s">
        <v>441</v>
      </c>
    </row>
    <row r="1092" spans="1:9" x14ac:dyDescent="0.25">
      <c r="A1092" s="17" t="s">
        <v>320</v>
      </c>
      <c r="B1092" s="14" t="s">
        <v>10</v>
      </c>
      <c r="C1092" s="18" t="s">
        <v>1952</v>
      </c>
      <c r="D1092" s="14" t="str">
        <f t="shared" si="83"/>
        <v>1ST-358-1091</v>
      </c>
      <c r="E1092" s="18" t="s">
        <v>496</v>
      </c>
      <c r="F1092" s="19">
        <f t="shared" si="85"/>
        <v>14</v>
      </c>
      <c r="G1092" s="19" t="str">
        <f t="shared" si="84"/>
        <v>PC</v>
      </c>
      <c r="H1092" s="18" t="s">
        <v>2780</v>
      </c>
      <c r="I1092" s="14" t="s">
        <v>441</v>
      </c>
    </row>
    <row r="1093" spans="1:9" x14ac:dyDescent="0.25">
      <c r="A1093" s="17" t="s">
        <v>320</v>
      </c>
      <c r="B1093" s="14" t="s">
        <v>11</v>
      </c>
      <c r="C1093" s="18" t="s">
        <v>1953</v>
      </c>
      <c r="D1093" s="14" t="str">
        <f t="shared" ref="D1093:D1156" si="86">LEFT($D$2,FIND("-",$D$2,FIND("-",$D$2)+1)) &amp; TEXT(RIGHT($D$2,3)+ROW(D1091),"000")</f>
        <v>1ST-358-1092</v>
      </c>
      <c r="E1093" s="18" t="s">
        <v>1161</v>
      </c>
      <c r="F1093" s="19">
        <f t="shared" si="85"/>
        <v>40</v>
      </c>
      <c r="G1093" s="19" t="str">
        <f t="shared" si="84"/>
        <v>PC</v>
      </c>
      <c r="H1093" s="14" t="s">
        <v>441</v>
      </c>
      <c r="I1093" s="25" t="s">
        <v>3523</v>
      </c>
    </row>
    <row r="1094" spans="1:9" x14ac:dyDescent="0.25">
      <c r="A1094" s="17" t="s">
        <v>320</v>
      </c>
      <c r="B1094" s="14" t="s">
        <v>11</v>
      </c>
      <c r="C1094" s="18" t="s">
        <v>1954</v>
      </c>
      <c r="D1094" s="14" t="str">
        <f t="shared" si="86"/>
        <v>1ST-358-1093</v>
      </c>
      <c r="E1094" s="18" t="s">
        <v>640</v>
      </c>
      <c r="F1094" s="19">
        <f t="shared" si="85"/>
        <v>45</v>
      </c>
      <c r="G1094" s="19" t="str">
        <f t="shared" si="84"/>
        <v>PC</v>
      </c>
      <c r="H1094" s="14" t="s">
        <v>441</v>
      </c>
      <c r="I1094" s="25" t="s">
        <v>3523</v>
      </c>
    </row>
    <row r="1095" spans="1:9" x14ac:dyDescent="0.25">
      <c r="A1095" s="17" t="s">
        <v>320</v>
      </c>
      <c r="B1095" s="14" t="s">
        <v>11</v>
      </c>
      <c r="C1095" s="18" t="s">
        <v>1955</v>
      </c>
      <c r="D1095" s="14" t="str">
        <f t="shared" si="86"/>
        <v>1ST-358-1094</v>
      </c>
      <c r="E1095" s="18" t="s">
        <v>698</v>
      </c>
      <c r="F1095" s="19">
        <f t="shared" si="85"/>
        <v>55</v>
      </c>
      <c r="G1095" s="19" t="str">
        <f t="shared" si="84"/>
        <v>PC</v>
      </c>
      <c r="H1095" s="14" t="s">
        <v>441</v>
      </c>
      <c r="I1095" s="25" t="s">
        <v>3523</v>
      </c>
    </row>
    <row r="1096" spans="1:9" x14ac:dyDescent="0.25">
      <c r="A1096" s="17" t="s">
        <v>320</v>
      </c>
      <c r="B1096" s="14" t="s">
        <v>11</v>
      </c>
      <c r="C1096" s="18" t="s">
        <v>1956</v>
      </c>
      <c r="D1096" s="14" t="str">
        <f t="shared" si="86"/>
        <v>1ST-358-1095</v>
      </c>
      <c r="E1096" s="18" t="s">
        <v>700</v>
      </c>
      <c r="F1096" s="19">
        <f t="shared" si="85"/>
        <v>65</v>
      </c>
      <c r="G1096" s="19" t="str">
        <f t="shared" si="84"/>
        <v>PC</v>
      </c>
      <c r="H1096" s="14" t="s">
        <v>441</v>
      </c>
      <c r="I1096" s="25" t="s">
        <v>3523</v>
      </c>
    </row>
    <row r="1097" spans="1:9" x14ac:dyDescent="0.25">
      <c r="A1097" s="17" t="s">
        <v>320</v>
      </c>
      <c r="B1097" s="14" t="s">
        <v>11</v>
      </c>
      <c r="C1097" s="18" t="s">
        <v>1957</v>
      </c>
      <c r="D1097" s="14" t="str">
        <f t="shared" si="86"/>
        <v>1ST-358-1096</v>
      </c>
      <c r="E1097" s="18" t="s">
        <v>694</v>
      </c>
      <c r="F1097" s="19">
        <f t="shared" si="85"/>
        <v>70</v>
      </c>
      <c r="G1097" s="19" t="str">
        <f t="shared" si="84"/>
        <v>PC</v>
      </c>
      <c r="H1097" s="14" t="s">
        <v>441</v>
      </c>
      <c r="I1097" s="25" t="s">
        <v>3523</v>
      </c>
    </row>
    <row r="1098" spans="1:9" ht="26.4" x14ac:dyDescent="0.25">
      <c r="A1098" s="17" t="s">
        <v>320</v>
      </c>
      <c r="B1098" s="14" t="s">
        <v>12</v>
      </c>
      <c r="C1098" s="18" t="s">
        <v>1958</v>
      </c>
      <c r="D1098" s="14" t="str">
        <f t="shared" si="86"/>
        <v>1ST-358-1097</v>
      </c>
      <c r="E1098" s="18" t="s">
        <v>904</v>
      </c>
      <c r="F1098" s="19">
        <f t="shared" si="85"/>
        <v>33</v>
      </c>
      <c r="G1098" s="19" t="str">
        <f t="shared" ref="G1098:G1161" si="87">TRIM(MID(E1098,FIND("/",E1098)+1,LEN(E1098)))</f>
        <v>PC</v>
      </c>
      <c r="H1098" s="18" t="s">
        <v>3125</v>
      </c>
      <c r="I1098" s="14" t="s">
        <v>441</v>
      </c>
    </row>
    <row r="1099" spans="1:9" x14ac:dyDescent="0.25">
      <c r="A1099" s="17" t="s">
        <v>320</v>
      </c>
      <c r="B1099" s="14" t="s">
        <v>12</v>
      </c>
      <c r="C1099" s="18" t="s">
        <v>1959</v>
      </c>
      <c r="D1099" s="14" t="str">
        <f t="shared" si="86"/>
        <v>1ST-358-1098</v>
      </c>
      <c r="E1099" s="18" t="s">
        <v>1490</v>
      </c>
      <c r="F1099" s="19">
        <f t="shared" si="85"/>
        <v>35</v>
      </c>
      <c r="G1099" s="19" t="str">
        <f t="shared" si="87"/>
        <v>PC</v>
      </c>
      <c r="H1099" s="18" t="s">
        <v>2781</v>
      </c>
      <c r="I1099" s="14" t="s">
        <v>441</v>
      </c>
    </row>
    <row r="1100" spans="1:9" x14ac:dyDescent="0.25">
      <c r="A1100" s="17" t="s">
        <v>320</v>
      </c>
      <c r="B1100" s="14" t="s">
        <v>12</v>
      </c>
      <c r="C1100" s="18" t="s">
        <v>1960</v>
      </c>
      <c r="D1100" s="14" t="str">
        <f t="shared" si="86"/>
        <v>1ST-358-1099</v>
      </c>
      <c r="E1100" s="18" t="s">
        <v>1495</v>
      </c>
      <c r="F1100" s="19">
        <f t="shared" si="85"/>
        <v>37</v>
      </c>
      <c r="G1100" s="19" t="str">
        <f t="shared" si="87"/>
        <v>PC</v>
      </c>
      <c r="H1100" s="18" t="s">
        <v>2782</v>
      </c>
      <c r="I1100" s="14" t="s">
        <v>441</v>
      </c>
    </row>
    <row r="1101" spans="1:9" ht="26.4" x14ac:dyDescent="0.25">
      <c r="A1101" s="17" t="s">
        <v>320</v>
      </c>
      <c r="B1101" s="14" t="s">
        <v>13</v>
      </c>
      <c r="C1101" s="18" t="s">
        <v>3829</v>
      </c>
      <c r="D1101" s="14" t="str">
        <f t="shared" si="86"/>
        <v>1ST-358-1100</v>
      </c>
      <c r="E1101" s="18" t="s">
        <v>1741</v>
      </c>
      <c r="F1101" s="19">
        <f t="shared" si="85"/>
        <v>138</v>
      </c>
      <c r="G1101" s="19" t="str">
        <f t="shared" si="87"/>
        <v>PC</v>
      </c>
      <c r="H1101" s="18" t="s">
        <v>3289</v>
      </c>
      <c r="I1101" s="25" t="s">
        <v>3523</v>
      </c>
    </row>
    <row r="1102" spans="1:9" ht="26.4" x14ac:dyDescent="0.25">
      <c r="A1102" s="17" t="s">
        <v>320</v>
      </c>
      <c r="B1102" s="14" t="s">
        <v>13</v>
      </c>
      <c r="C1102" s="18" t="s">
        <v>1961</v>
      </c>
      <c r="D1102" s="14" t="str">
        <f t="shared" si="86"/>
        <v>1ST-358-1101</v>
      </c>
      <c r="E1102" s="19" t="s">
        <v>449</v>
      </c>
      <c r="F1102" s="19">
        <f t="shared" si="85"/>
        <v>168</v>
      </c>
      <c r="G1102" s="19" t="str">
        <f t="shared" si="87"/>
        <v>PC</v>
      </c>
      <c r="H1102" s="18" t="s">
        <v>841</v>
      </c>
      <c r="I1102" s="25" t="s">
        <v>3523</v>
      </c>
    </row>
    <row r="1103" spans="1:9" x14ac:dyDescent="0.25">
      <c r="A1103" s="17" t="s">
        <v>320</v>
      </c>
      <c r="B1103" s="14" t="s">
        <v>13</v>
      </c>
      <c r="C1103" s="18" t="s">
        <v>1962</v>
      </c>
      <c r="D1103" s="14" t="str">
        <f t="shared" si="86"/>
        <v>1ST-358-1102</v>
      </c>
      <c r="E1103" s="18" t="s">
        <v>628</v>
      </c>
      <c r="F1103" s="19">
        <f t="shared" si="85"/>
        <v>109</v>
      </c>
      <c r="G1103" s="19" t="str">
        <f t="shared" si="87"/>
        <v>PC</v>
      </c>
      <c r="H1103" s="18" t="s">
        <v>2783</v>
      </c>
      <c r="I1103" s="14" t="s">
        <v>441</v>
      </c>
    </row>
    <row r="1104" spans="1:9" x14ac:dyDescent="0.25">
      <c r="A1104" s="17" t="s">
        <v>320</v>
      </c>
      <c r="B1104" s="14" t="s">
        <v>13</v>
      </c>
      <c r="C1104" s="18" t="s">
        <v>1963</v>
      </c>
      <c r="D1104" s="14" t="str">
        <f t="shared" si="86"/>
        <v>1ST-358-1103</v>
      </c>
      <c r="E1104" s="19" t="s">
        <v>1598</v>
      </c>
      <c r="F1104" s="19">
        <f t="shared" si="85"/>
        <v>119</v>
      </c>
      <c r="G1104" s="19" t="str">
        <f t="shared" si="87"/>
        <v>PC</v>
      </c>
      <c r="H1104" s="18" t="s">
        <v>2784</v>
      </c>
      <c r="I1104" s="14" t="s">
        <v>441</v>
      </c>
    </row>
    <row r="1105" spans="1:9" x14ac:dyDescent="0.25">
      <c r="A1105" s="17" t="s">
        <v>320</v>
      </c>
      <c r="B1105" s="14" t="s">
        <v>14</v>
      </c>
      <c r="C1105" s="18" t="s">
        <v>1964</v>
      </c>
      <c r="D1105" s="14" t="str">
        <f t="shared" si="86"/>
        <v>1ST-358-1104</v>
      </c>
      <c r="E1105" s="18" t="s">
        <v>1490</v>
      </c>
      <c r="F1105" s="19">
        <f t="shared" si="85"/>
        <v>35</v>
      </c>
      <c r="G1105" s="19" t="str">
        <f t="shared" si="87"/>
        <v>PC</v>
      </c>
      <c r="H1105" s="18" t="s">
        <v>2785</v>
      </c>
      <c r="I1105" s="25" t="s">
        <v>3523</v>
      </c>
    </row>
    <row r="1106" spans="1:9" x14ac:dyDescent="0.25">
      <c r="A1106" s="17" t="s">
        <v>320</v>
      </c>
      <c r="B1106" s="14" t="s">
        <v>14</v>
      </c>
      <c r="C1106" s="18" t="s">
        <v>1965</v>
      </c>
      <c r="D1106" s="14" t="str">
        <f t="shared" si="86"/>
        <v>1ST-358-1105</v>
      </c>
      <c r="E1106" s="18" t="s">
        <v>1231</v>
      </c>
      <c r="F1106" s="19">
        <f t="shared" si="85"/>
        <v>44</v>
      </c>
      <c r="G1106" s="19" t="str">
        <f t="shared" si="87"/>
        <v>PC</v>
      </c>
      <c r="H1106" s="18" t="s">
        <v>2786</v>
      </c>
      <c r="I1106" s="25" t="s">
        <v>3523</v>
      </c>
    </row>
    <row r="1107" spans="1:9" ht="26.4" x14ac:dyDescent="0.25">
      <c r="A1107" s="17" t="s">
        <v>320</v>
      </c>
      <c r="B1107" s="14" t="s">
        <v>14</v>
      </c>
      <c r="C1107" s="18" t="s">
        <v>1966</v>
      </c>
      <c r="D1107" s="14" t="str">
        <f t="shared" si="86"/>
        <v>1ST-358-1106</v>
      </c>
      <c r="E1107" s="18" t="s">
        <v>696</v>
      </c>
      <c r="F1107" s="19">
        <f t="shared" si="85"/>
        <v>48</v>
      </c>
      <c r="G1107" s="19" t="str">
        <f t="shared" si="87"/>
        <v>PC</v>
      </c>
      <c r="H1107" s="18" t="s">
        <v>3104</v>
      </c>
      <c r="I1107" s="25" t="s">
        <v>3523</v>
      </c>
    </row>
    <row r="1108" spans="1:9" ht="26.4" x14ac:dyDescent="0.25">
      <c r="A1108" s="17" t="s">
        <v>320</v>
      </c>
      <c r="B1108" s="14" t="s">
        <v>14</v>
      </c>
      <c r="C1108" s="18" t="s">
        <v>1967</v>
      </c>
      <c r="D1108" s="14" t="str">
        <f t="shared" si="86"/>
        <v>1ST-358-1107</v>
      </c>
      <c r="E1108" s="18" t="s">
        <v>698</v>
      </c>
      <c r="F1108" s="19">
        <f t="shared" si="85"/>
        <v>55</v>
      </c>
      <c r="G1108" s="19" t="str">
        <f t="shared" si="87"/>
        <v>PC</v>
      </c>
      <c r="H1108" s="18" t="s">
        <v>3290</v>
      </c>
      <c r="I1108" s="25" t="s">
        <v>3523</v>
      </c>
    </row>
    <row r="1109" spans="1:9" x14ac:dyDescent="0.25">
      <c r="A1109" s="17" t="s">
        <v>320</v>
      </c>
      <c r="B1109" s="14" t="s">
        <v>14</v>
      </c>
      <c r="C1109" s="18" t="s">
        <v>1968</v>
      </c>
      <c r="D1109" s="14" t="str">
        <f t="shared" si="86"/>
        <v>1ST-358-1108</v>
      </c>
      <c r="E1109" s="18" t="s">
        <v>1505</v>
      </c>
      <c r="F1109" s="19">
        <f t="shared" si="85"/>
        <v>62</v>
      </c>
      <c r="G1109" s="19" t="str">
        <f t="shared" si="87"/>
        <v>PC</v>
      </c>
      <c r="H1109" s="18" t="s">
        <v>2787</v>
      </c>
      <c r="I1109" s="25" t="s">
        <v>3523</v>
      </c>
    </row>
    <row r="1110" spans="1:9" x14ac:dyDescent="0.25">
      <c r="A1110" s="17" t="s">
        <v>320</v>
      </c>
      <c r="B1110" s="14" t="s">
        <v>15</v>
      </c>
      <c r="C1110" s="18" t="s">
        <v>1969</v>
      </c>
      <c r="D1110" s="14" t="str">
        <f t="shared" si="86"/>
        <v>1ST-358-1109</v>
      </c>
      <c r="E1110" s="18" t="s">
        <v>1970</v>
      </c>
      <c r="F1110" s="19">
        <f t="shared" si="85"/>
        <v>90</v>
      </c>
      <c r="G1110" s="19" t="str">
        <f t="shared" si="87"/>
        <v>DOZ</v>
      </c>
      <c r="H1110" s="18" t="s">
        <v>2788</v>
      </c>
      <c r="I1110" s="14" t="s">
        <v>441</v>
      </c>
    </row>
    <row r="1111" spans="1:9" x14ac:dyDescent="0.25">
      <c r="A1111" s="17" t="s">
        <v>320</v>
      </c>
      <c r="B1111" s="14" t="s">
        <v>15</v>
      </c>
      <c r="C1111" s="18" t="s">
        <v>1971</v>
      </c>
      <c r="D1111" s="14" t="str">
        <f t="shared" si="86"/>
        <v>1ST-358-1110</v>
      </c>
      <c r="E1111" s="18" t="s">
        <v>1972</v>
      </c>
      <c r="F1111" s="19">
        <f t="shared" si="85"/>
        <v>102</v>
      </c>
      <c r="G1111" s="19" t="str">
        <f t="shared" si="87"/>
        <v>DOZ</v>
      </c>
      <c r="H1111" s="18" t="s">
        <v>2789</v>
      </c>
      <c r="I1111" s="14" t="s">
        <v>441</v>
      </c>
    </row>
    <row r="1112" spans="1:9" x14ac:dyDescent="0.25">
      <c r="A1112" s="17" t="s">
        <v>320</v>
      </c>
      <c r="B1112" s="14" t="s">
        <v>15</v>
      </c>
      <c r="C1112" s="18" t="s">
        <v>1973</v>
      </c>
      <c r="D1112" s="14" t="str">
        <f t="shared" si="86"/>
        <v>1ST-358-1111</v>
      </c>
      <c r="E1112" s="18" t="s">
        <v>1974</v>
      </c>
      <c r="F1112" s="19">
        <f t="shared" si="85"/>
        <v>120</v>
      </c>
      <c r="G1112" s="19" t="str">
        <f t="shared" si="87"/>
        <v>DOZ</v>
      </c>
      <c r="H1112" s="18" t="s">
        <v>2790</v>
      </c>
      <c r="I1112" s="14" t="s">
        <v>441</v>
      </c>
    </row>
    <row r="1113" spans="1:9" x14ac:dyDescent="0.25">
      <c r="A1113" s="17" t="s">
        <v>320</v>
      </c>
      <c r="B1113" s="14" t="s">
        <v>15</v>
      </c>
      <c r="C1113" s="18" t="s">
        <v>1975</v>
      </c>
      <c r="D1113" s="14" t="str">
        <f t="shared" si="86"/>
        <v>1ST-358-1112</v>
      </c>
      <c r="E1113" s="18" t="s">
        <v>1976</v>
      </c>
      <c r="F1113" s="19">
        <f t="shared" si="85"/>
        <v>135</v>
      </c>
      <c r="G1113" s="19" t="str">
        <f t="shared" si="87"/>
        <v>DOZ</v>
      </c>
      <c r="H1113" s="18" t="s">
        <v>2791</v>
      </c>
      <c r="I1113" s="14" t="s">
        <v>441</v>
      </c>
    </row>
    <row r="1114" spans="1:9" x14ac:dyDescent="0.25">
      <c r="A1114" s="17" t="s">
        <v>320</v>
      </c>
      <c r="B1114" s="14" t="s">
        <v>15</v>
      </c>
      <c r="C1114" s="18" t="s">
        <v>1977</v>
      </c>
      <c r="D1114" s="14" t="str">
        <f t="shared" si="86"/>
        <v>1ST-358-1113</v>
      </c>
      <c r="E1114" s="18" t="s">
        <v>1978</v>
      </c>
      <c r="F1114" s="19">
        <f t="shared" si="85"/>
        <v>169</v>
      </c>
      <c r="G1114" s="19" t="str">
        <f t="shared" si="87"/>
        <v>DOZ</v>
      </c>
      <c r="H1114" s="18" t="s">
        <v>2792</v>
      </c>
      <c r="I1114" s="14" t="s">
        <v>441</v>
      </c>
    </row>
    <row r="1115" spans="1:9" ht="39.6" x14ac:dyDescent="0.25">
      <c r="A1115" s="17" t="s">
        <v>320</v>
      </c>
      <c r="B1115" s="14" t="s">
        <v>17</v>
      </c>
      <c r="C1115" s="18" t="s">
        <v>3830</v>
      </c>
      <c r="D1115" s="14" t="str">
        <f t="shared" si="86"/>
        <v>1ST-358-1114</v>
      </c>
      <c r="E1115" s="19" t="s">
        <v>708</v>
      </c>
      <c r="F1115" s="19">
        <f t="shared" si="85"/>
        <v>85</v>
      </c>
      <c r="G1115" s="19" t="str">
        <f t="shared" si="87"/>
        <v>PC</v>
      </c>
      <c r="H1115" s="18" t="s">
        <v>2793</v>
      </c>
      <c r="I1115" s="25" t="s">
        <v>3523</v>
      </c>
    </row>
    <row r="1116" spans="1:9" ht="39.6" x14ac:dyDescent="0.25">
      <c r="A1116" s="17" t="s">
        <v>320</v>
      </c>
      <c r="B1116" s="14" t="s">
        <v>17</v>
      </c>
      <c r="C1116" s="18" t="s">
        <v>1979</v>
      </c>
      <c r="D1116" s="14" t="str">
        <f t="shared" si="86"/>
        <v>1ST-358-1115</v>
      </c>
      <c r="E1116" s="19" t="s">
        <v>655</v>
      </c>
      <c r="F1116" s="19">
        <f t="shared" si="85"/>
        <v>95</v>
      </c>
      <c r="G1116" s="19" t="str">
        <f t="shared" si="87"/>
        <v>PC</v>
      </c>
      <c r="H1116" s="18" t="s">
        <v>2793</v>
      </c>
      <c r="I1116" s="25" t="s">
        <v>3523</v>
      </c>
    </row>
    <row r="1117" spans="1:9" ht="39.6" x14ac:dyDescent="0.25">
      <c r="A1117" s="17" t="s">
        <v>320</v>
      </c>
      <c r="B1117" s="14" t="s">
        <v>17</v>
      </c>
      <c r="C1117" s="18" t="s">
        <v>1980</v>
      </c>
      <c r="D1117" s="14" t="str">
        <f t="shared" si="86"/>
        <v>1ST-358-1116</v>
      </c>
      <c r="E1117" s="19" t="s">
        <v>1100</v>
      </c>
      <c r="F1117" s="19">
        <f t="shared" si="85"/>
        <v>105</v>
      </c>
      <c r="G1117" s="19" t="str">
        <f t="shared" si="87"/>
        <v>PC</v>
      </c>
      <c r="H1117" s="18" t="s">
        <v>2793</v>
      </c>
      <c r="I1117" s="25" t="s">
        <v>3523</v>
      </c>
    </row>
    <row r="1118" spans="1:9" x14ac:dyDescent="0.25">
      <c r="A1118" s="17" t="s">
        <v>320</v>
      </c>
      <c r="B1118" s="14" t="s">
        <v>18</v>
      </c>
      <c r="C1118" s="19" t="s">
        <v>3831</v>
      </c>
      <c r="D1118" s="14" t="str">
        <f t="shared" si="86"/>
        <v>1ST-358-1117</v>
      </c>
      <c r="E1118" s="19" t="s">
        <v>2041</v>
      </c>
      <c r="F1118" s="19">
        <f t="shared" si="85"/>
        <v>38</v>
      </c>
      <c r="G1118" s="19" t="str">
        <f t="shared" si="87"/>
        <v>DOZ</v>
      </c>
      <c r="H1118" s="18" t="s">
        <v>2794</v>
      </c>
      <c r="I1118" s="14" t="s">
        <v>441</v>
      </c>
    </row>
    <row r="1119" spans="1:9" x14ac:dyDescent="0.25">
      <c r="A1119" s="17" t="s">
        <v>320</v>
      </c>
      <c r="B1119" s="14" t="s">
        <v>18</v>
      </c>
      <c r="C1119" s="19" t="s">
        <v>2042</v>
      </c>
      <c r="D1119" s="14" t="str">
        <f t="shared" si="86"/>
        <v>1ST-358-1118</v>
      </c>
      <c r="E1119" s="19" t="s">
        <v>1580</v>
      </c>
      <c r="F1119" s="19">
        <f t="shared" si="85"/>
        <v>40</v>
      </c>
      <c r="G1119" s="19" t="str">
        <f t="shared" si="87"/>
        <v>DOZ</v>
      </c>
      <c r="H1119" s="18" t="s">
        <v>2795</v>
      </c>
      <c r="I1119" s="14" t="s">
        <v>441</v>
      </c>
    </row>
    <row r="1120" spans="1:9" ht="26.4" x14ac:dyDescent="0.25">
      <c r="A1120" s="17" t="s">
        <v>320</v>
      </c>
      <c r="B1120" s="14" t="s">
        <v>18</v>
      </c>
      <c r="C1120" s="19" t="s">
        <v>2043</v>
      </c>
      <c r="D1120" s="14" t="str">
        <f t="shared" si="86"/>
        <v>1ST-358-1119</v>
      </c>
      <c r="E1120" s="19" t="s">
        <v>2044</v>
      </c>
      <c r="F1120" s="19">
        <f t="shared" si="85"/>
        <v>61</v>
      </c>
      <c r="G1120" s="19" t="str">
        <f t="shared" si="87"/>
        <v>DOZ</v>
      </c>
      <c r="H1120" s="18" t="s">
        <v>3291</v>
      </c>
      <c r="I1120" s="14" t="s">
        <v>441</v>
      </c>
    </row>
    <row r="1121" spans="1:9" x14ac:dyDescent="0.25">
      <c r="A1121" s="17" t="s">
        <v>320</v>
      </c>
      <c r="B1121" s="14" t="s">
        <v>18</v>
      </c>
      <c r="C1121" s="19" t="s">
        <v>3832</v>
      </c>
      <c r="D1121" s="14" t="str">
        <f t="shared" si="86"/>
        <v>1ST-358-1120</v>
      </c>
      <c r="E1121" s="19" t="s">
        <v>2045</v>
      </c>
      <c r="F1121" s="19">
        <f t="shared" si="85"/>
        <v>78</v>
      </c>
      <c r="G1121" s="19" t="str">
        <f t="shared" si="87"/>
        <v>DOZ</v>
      </c>
      <c r="H1121" s="18" t="s">
        <v>2796</v>
      </c>
      <c r="I1121" s="14" t="s">
        <v>441</v>
      </c>
    </row>
    <row r="1122" spans="1:9" x14ac:dyDescent="0.25">
      <c r="A1122" s="17" t="s">
        <v>320</v>
      </c>
      <c r="B1122" s="14" t="s">
        <v>18</v>
      </c>
      <c r="C1122" s="19" t="s">
        <v>2046</v>
      </c>
      <c r="D1122" s="14" t="str">
        <f t="shared" si="86"/>
        <v>1ST-358-1121</v>
      </c>
      <c r="E1122" s="19" t="s">
        <v>2047</v>
      </c>
      <c r="F1122" s="19">
        <f t="shared" si="85"/>
        <v>85</v>
      </c>
      <c r="G1122" s="19" t="str">
        <f t="shared" si="87"/>
        <v>DOZ</v>
      </c>
      <c r="H1122" s="18" t="s">
        <v>2797</v>
      </c>
      <c r="I1122" s="14" t="s">
        <v>441</v>
      </c>
    </row>
    <row r="1123" spans="1:9" x14ac:dyDescent="0.25">
      <c r="A1123" s="17" t="s">
        <v>320</v>
      </c>
      <c r="B1123" s="14" t="s">
        <v>18</v>
      </c>
      <c r="C1123" s="19" t="s">
        <v>2048</v>
      </c>
      <c r="D1123" s="14" t="str">
        <f t="shared" si="86"/>
        <v>1ST-358-1122</v>
      </c>
      <c r="E1123" s="19" t="s">
        <v>2049</v>
      </c>
      <c r="F1123" s="19">
        <f t="shared" si="85"/>
        <v>95</v>
      </c>
      <c r="G1123" s="19" t="str">
        <f t="shared" si="87"/>
        <v>DOZ</v>
      </c>
      <c r="H1123" s="18" t="s">
        <v>2798</v>
      </c>
      <c r="I1123" s="14" t="s">
        <v>441</v>
      </c>
    </row>
    <row r="1124" spans="1:9" ht="26.4" x14ac:dyDescent="0.25">
      <c r="A1124" s="17" t="s">
        <v>320</v>
      </c>
      <c r="B1124" s="14" t="s">
        <v>19</v>
      </c>
      <c r="C1124" s="18" t="s">
        <v>2050</v>
      </c>
      <c r="D1124" s="14" t="str">
        <f t="shared" si="86"/>
        <v>1ST-358-1123</v>
      </c>
      <c r="E1124" s="18" t="s">
        <v>1490</v>
      </c>
      <c r="F1124" s="19">
        <f t="shared" si="85"/>
        <v>35</v>
      </c>
      <c r="G1124" s="19" t="str">
        <f t="shared" si="87"/>
        <v>PC</v>
      </c>
      <c r="H1124" s="18" t="s">
        <v>3292</v>
      </c>
      <c r="I1124" s="25" t="s">
        <v>3523</v>
      </c>
    </row>
    <row r="1125" spans="1:9" ht="26.4" x14ac:dyDescent="0.25">
      <c r="A1125" s="17" t="s">
        <v>320</v>
      </c>
      <c r="B1125" s="14" t="s">
        <v>19</v>
      </c>
      <c r="C1125" s="18" t="s">
        <v>2051</v>
      </c>
      <c r="D1125" s="14" t="str">
        <f t="shared" si="86"/>
        <v>1ST-358-1124</v>
      </c>
      <c r="E1125" s="18" t="s">
        <v>640</v>
      </c>
      <c r="F1125" s="19">
        <f t="shared" si="85"/>
        <v>45</v>
      </c>
      <c r="G1125" s="19" t="str">
        <f t="shared" si="87"/>
        <v>PC</v>
      </c>
      <c r="H1125" s="18" t="s">
        <v>3293</v>
      </c>
      <c r="I1125" s="25" t="s">
        <v>3523</v>
      </c>
    </row>
    <row r="1126" spans="1:9" ht="26.4" x14ac:dyDescent="0.25">
      <c r="A1126" s="17" t="s">
        <v>320</v>
      </c>
      <c r="B1126" s="14" t="s">
        <v>19</v>
      </c>
      <c r="C1126" s="18" t="s">
        <v>2052</v>
      </c>
      <c r="D1126" s="14" t="str">
        <f t="shared" si="86"/>
        <v>1ST-358-1125</v>
      </c>
      <c r="E1126" s="18" t="s">
        <v>702</v>
      </c>
      <c r="F1126" s="19">
        <f t="shared" si="85"/>
        <v>75</v>
      </c>
      <c r="G1126" s="19" t="str">
        <f t="shared" si="87"/>
        <v>PC</v>
      </c>
      <c r="H1126" s="18" t="s">
        <v>3294</v>
      </c>
      <c r="I1126" s="25" t="s">
        <v>3523</v>
      </c>
    </row>
    <row r="1127" spans="1:9" ht="26.4" x14ac:dyDescent="0.25">
      <c r="A1127" s="17" t="s">
        <v>320</v>
      </c>
      <c r="B1127" s="14" t="s">
        <v>19</v>
      </c>
      <c r="C1127" s="18" t="s">
        <v>2053</v>
      </c>
      <c r="D1127" s="14" t="str">
        <f t="shared" si="86"/>
        <v>1ST-358-1126</v>
      </c>
      <c r="E1127" s="18" t="s">
        <v>708</v>
      </c>
      <c r="F1127" s="19">
        <f t="shared" si="85"/>
        <v>85</v>
      </c>
      <c r="G1127" s="19" t="str">
        <f t="shared" si="87"/>
        <v>PC</v>
      </c>
      <c r="H1127" s="18" t="s">
        <v>3295</v>
      </c>
      <c r="I1127" s="25" t="s">
        <v>3523</v>
      </c>
    </row>
    <row r="1128" spans="1:9" ht="26.4" x14ac:dyDescent="0.25">
      <c r="A1128" s="17" t="s">
        <v>320</v>
      </c>
      <c r="B1128" s="14" t="s">
        <v>20</v>
      </c>
      <c r="C1128" s="18" t="s">
        <v>2054</v>
      </c>
      <c r="D1128" s="14" t="str">
        <f t="shared" si="86"/>
        <v>1ST-358-1127</v>
      </c>
      <c r="E1128" s="18" t="s">
        <v>1100</v>
      </c>
      <c r="F1128" s="19">
        <f t="shared" ref="F1128:F1191" si="88">VALUE(LEFT(E1128,FIND("/",E1128)-1))</f>
        <v>105</v>
      </c>
      <c r="G1128" s="19" t="str">
        <f t="shared" si="87"/>
        <v>PC</v>
      </c>
      <c r="H1128" s="18" t="s">
        <v>3296</v>
      </c>
      <c r="I1128" s="25" t="s">
        <v>3523</v>
      </c>
    </row>
    <row r="1129" spans="1:9" ht="26.4" x14ac:dyDescent="0.25">
      <c r="A1129" s="17" t="s">
        <v>320</v>
      </c>
      <c r="B1129" s="14" t="s">
        <v>20</v>
      </c>
      <c r="C1129" s="18" t="s">
        <v>2055</v>
      </c>
      <c r="D1129" s="14" t="str">
        <f t="shared" si="86"/>
        <v>1ST-358-1128</v>
      </c>
      <c r="E1129" s="18" t="s">
        <v>2056</v>
      </c>
      <c r="F1129" s="19">
        <f t="shared" si="88"/>
        <v>115</v>
      </c>
      <c r="G1129" s="19" t="str">
        <f t="shared" si="87"/>
        <v>PC</v>
      </c>
      <c r="H1129" s="18" t="s">
        <v>3297</v>
      </c>
      <c r="I1129" s="25" t="s">
        <v>3523</v>
      </c>
    </row>
    <row r="1130" spans="1:9" ht="26.4" x14ac:dyDescent="0.25">
      <c r="A1130" s="17" t="s">
        <v>320</v>
      </c>
      <c r="B1130" s="14" t="s">
        <v>20</v>
      </c>
      <c r="C1130" s="18" t="s">
        <v>2057</v>
      </c>
      <c r="D1130" s="14" t="str">
        <f t="shared" si="86"/>
        <v>1ST-358-1129</v>
      </c>
      <c r="E1130" s="18" t="s">
        <v>739</v>
      </c>
      <c r="F1130" s="19">
        <f t="shared" si="88"/>
        <v>155</v>
      </c>
      <c r="G1130" s="19" t="str">
        <f t="shared" si="87"/>
        <v>PC</v>
      </c>
      <c r="H1130" s="18" t="s">
        <v>3298</v>
      </c>
      <c r="I1130" s="25" t="s">
        <v>3523</v>
      </c>
    </row>
    <row r="1131" spans="1:9" x14ac:dyDescent="0.25">
      <c r="A1131" s="17" t="s">
        <v>320</v>
      </c>
      <c r="B1131" s="14" t="s">
        <v>21</v>
      </c>
      <c r="C1131" s="18" t="s">
        <v>2058</v>
      </c>
      <c r="D1131" s="14" t="str">
        <f t="shared" si="86"/>
        <v>1ST-358-1130</v>
      </c>
      <c r="E1131" s="19" t="s">
        <v>2059</v>
      </c>
      <c r="F1131" s="19">
        <f t="shared" si="88"/>
        <v>65</v>
      </c>
      <c r="G1131" s="19" t="str">
        <f t="shared" si="87"/>
        <v>PAIR</v>
      </c>
      <c r="H1131" s="18" t="s">
        <v>2799</v>
      </c>
      <c r="I1131" s="14" t="s">
        <v>441</v>
      </c>
    </row>
    <row r="1132" spans="1:9" x14ac:dyDescent="0.25">
      <c r="A1132" s="17" t="s">
        <v>320</v>
      </c>
      <c r="B1132" s="14" t="s">
        <v>21</v>
      </c>
      <c r="C1132" s="18" t="s">
        <v>2060</v>
      </c>
      <c r="D1132" s="14" t="str">
        <f t="shared" si="86"/>
        <v>1ST-358-1131</v>
      </c>
      <c r="E1132" s="19" t="s">
        <v>2061</v>
      </c>
      <c r="F1132" s="19">
        <f t="shared" si="88"/>
        <v>72</v>
      </c>
      <c r="G1132" s="19" t="str">
        <f t="shared" si="87"/>
        <v>PAIR</v>
      </c>
      <c r="H1132" s="18" t="s">
        <v>2800</v>
      </c>
      <c r="I1132" s="14" t="s">
        <v>441</v>
      </c>
    </row>
    <row r="1133" spans="1:9" x14ac:dyDescent="0.25">
      <c r="A1133" s="17" t="s">
        <v>320</v>
      </c>
      <c r="B1133" s="14" t="s">
        <v>22</v>
      </c>
      <c r="C1133" s="18" t="s">
        <v>2062</v>
      </c>
      <c r="D1133" s="14" t="str">
        <f t="shared" si="86"/>
        <v>1ST-358-1132</v>
      </c>
      <c r="E1133" s="18" t="s">
        <v>2063</v>
      </c>
      <c r="F1133" s="19">
        <f t="shared" si="88"/>
        <v>52</v>
      </c>
      <c r="G1133" s="19" t="str">
        <f t="shared" si="87"/>
        <v>CARD</v>
      </c>
      <c r="H1133" s="18" t="s">
        <v>2801</v>
      </c>
      <c r="I1133" s="14" t="s">
        <v>441</v>
      </c>
    </row>
    <row r="1134" spans="1:9" x14ac:dyDescent="0.25">
      <c r="A1134" s="17" t="s">
        <v>320</v>
      </c>
      <c r="B1134" s="14" t="s">
        <v>22</v>
      </c>
      <c r="C1134" s="18" t="s">
        <v>2064</v>
      </c>
      <c r="D1134" s="14" t="str">
        <f t="shared" si="86"/>
        <v>1ST-358-1133</v>
      </c>
      <c r="E1134" s="18" t="s">
        <v>2065</v>
      </c>
      <c r="F1134" s="19">
        <f t="shared" si="88"/>
        <v>56</v>
      </c>
      <c r="G1134" s="19" t="str">
        <f t="shared" si="87"/>
        <v>CARD</v>
      </c>
      <c r="H1134" s="18" t="s">
        <v>2802</v>
      </c>
      <c r="I1134" s="14" t="s">
        <v>441</v>
      </c>
    </row>
    <row r="1135" spans="1:9" x14ac:dyDescent="0.25">
      <c r="A1135" s="17" t="s">
        <v>320</v>
      </c>
      <c r="B1135" s="14" t="s">
        <v>22</v>
      </c>
      <c r="C1135" s="18" t="s">
        <v>2066</v>
      </c>
      <c r="D1135" s="14" t="str">
        <f t="shared" si="86"/>
        <v>1ST-358-1134</v>
      </c>
      <c r="E1135" s="18" t="s">
        <v>2067</v>
      </c>
      <c r="F1135" s="19">
        <f t="shared" si="88"/>
        <v>36</v>
      </c>
      <c r="G1135" s="19" t="str">
        <f t="shared" si="87"/>
        <v>CARD</v>
      </c>
      <c r="H1135" s="18" t="s">
        <v>2803</v>
      </c>
      <c r="I1135" s="14" t="s">
        <v>441</v>
      </c>
    </row>
    <row r="1136" spans="1:9" x14ac:dyDescent="0.25">
      <c r="A1136" s="17" t="s">
        <v>320</v>
      </c>
      <c r="B1136" s="14" t="s">
        <v>22</v>
      </c>
      <c r="C1136" s="18" t="s">
        <v>2068</v>
      </c>
      <c r="D1136" s="14" t="str">
        <f t="shared" si="86"/>
        <v>1ST-358-1135</v>
      </c>
      <c r="E1136" s="18" t="s">
        <v>2069</v>
      </c>
      <c r="F1136" s="19">
        <f t="shared" si="88"/>
        <v>42</v>
      </c>
      <c r="G1136" s="19" t="str">
        <f t="shared" si="87"/>
        <v>CARD</v>
      </c>
      <c r="H1136" s="18" t="s">
        <v>2804</v>
      </c>
      <c r="I1136" s="14" t="s">
        <v>441</v>
      </c>
    </row>
    <row r="1137" spans="1:9" x14ac:dyDescent="0.25">
      <c r="A1137" s="17" t="s">
        <v>320</v>
      </c>
      <c r="B1137" s="14" t="s">
        <v>22</v>
      </c>
      <c r="C1137" s="18" t="s">
        <v>2070</v>
      </c>
      <c r="D1137" s="14" t="str">
        <f t="shared" si="86"/>
        <v>1ST-358-1136</v>
      </c>
      <c r="E1137" s="18" t="s">
        <v>2071</v>
      </c>
      <c r="F1137" s="19">
        <f t="shared" si="88"/>
        <v>54</v>
      </c>
      <c r="G1137" s="19" t="str">
        <f t="shared" si="87"/>
        <v>CARD</v>
      </c>
      <c r="H1137" s="18" t="s">
        <v>2805</v>
      </c>
      <c r="I1137" s="14" t="s">
        <v>441</v>
      </c>
    </row>
    <row r="1138" spans="1:9" x14ac:dyDescent="0.25">
      <c r="A1138" s="17" t="s">
        <v>320</v>
      </c>
      <c r="B1138" s="14" t="s">
        <v>23</v>
      </c>
      <c r="C1138" s="18" t="s">
        <v>3833</v>
      </c>
      <c r="D1138" s="14" t="str">
        <f t="shared" si="86"/>
        <v>1ST-358-1137</v>
      </c>
      <c r="E1138" s="18" t="s">
        <v>2072</v>
      </c>
      <c r="F1138" s="19">
        <f t="shared" si="88"/>
        <v>29</v>
      </c>
      <c r="G1138" s="19" t="str">
        <f t="shared" si="87"/>
        <v>DOZ</v>
      </c>
      <c r="H1138" s="18" t="s">
        <v>2806</v>
      </c>
      <c r="I1138" s="14" t="s">
        <v>441</v>
      </c>
    </row>
    <row r="1139" spans="1:9" x14ac:dyDescent="0.25">
      <c r="A1139" s="17" t="s">
        <v>320</v>
      </c>
      <c r="B1139" s="14" t="s">
        <v>23</v>
      </c>
      <c r="C1139" s="18" t="s">
        <v>3834</v>
      </c>
      <c r="D1139" s="14" t="str">
        <f t="shared" si="86"/>
        <v>1ST-358-1138</v>
      </c>
      <c r="E1139" s="18" t="s">
        <v>2073</v>
      </c>
      <c r="F1139" s="19">
        <f t="shared" si="88"/>
        <v>32</v>
      </c>
      <c r="G1139" s="19" t="str">
        <f t="shared" si="87"/>
        <v>DOZ</v>
      </c>
      <c r="H1139" s="18" t="s">
        <v>2807</v>
      </c>
      <c r="I1139" s="14" t="s">
        <v>441</v>
      </c>
    </row>
    <row r="1140" spans="1:9" x14ac:dyDescent="0.25">
      <c r="A1140" s="17" t="s">
        <v>320</v>
      </c>
      <c r="B1140" s="14" t="s">
        <v>23</v>
      </c>
      <c r="C1140" s="18" t="s">
        <v>3835</v>
      </c>
      <c r="D1140" s="14" t="str">
        <f t="shared" si="86"/>
        <v>1ST-358-1139</v>
      </c>
      <c r="E1140" s="18" t="s">
        <v>2074</v>
      </c>
      <c r="F1140" s="19">
        <f t="shared" si="88"/>
        <v>47</v>
      </c>
      <c r="G1140" s="19" t="str">
        <f t="shared" si="87"/>
        <v>DOZ</v>
      </c>
      <c r="H1140" s="18" t="s">
        <v>2808</v>
      </c>
      <c r="I1140" s="14" t="s">
        <v>441</v>
      </c>
    </row>
    <row r="1141" spans="1:9" x14ac:dyDescent="0.25">
      <c r="A1141" s="17" t="s">
        <v>320</v>
      </c>
      <c r="B1141" s="14" t="s">
        <v>23</v>
      </c>
      <c r="C1141" s="18" t="s">
        <v>3836</v>
      </c>
      <c r="D1141" s="14" t="str">
        <f t="shared" si="86"/>
        <v>1ST-358-1140</v>
      </c>
      <c r="E1141" s="18" t="s">
        <v>2075</v>
      </c>
      <c r="F1141" s="19">
        <f t="shared" si="88"/>
        <v>66</v>
      </c>
      <c r="G1141" s="19" t="str">
        <f t="shared" si="87"/>
        <v>DOZ</v>
      </c>
      <c r="H1141" s="18" t="s">
        <v>2809</v>
      </c>
      <c r="I1141" s="14" t="s">
        <v>441</v>
      </c>
    </row>
    <row r="1142" spans="1:9" x14ac:dyDescent="0.25">
      <c r="A1142" s="17" t="s">
        <v>320</v>
      </c>
      <c r="B1142" s="14" t="s">
        <v>23</v>
      </c>
      <c r="C1142" s="18" t="s">
        <v>3837</v>
      </c>
      <c r="D1142" s="14" t="str">
        <f t="shared" si="86"/>
        <v>1ST-358-1141</v>
      </c>
      <c r="E1142" s="18" t="s">
        <v>1769</v>
      </c>
      <c r="F1142" s="19">
        <f t="shared" si="88"/>
        <v>88</v>
      </c>
      <c r="G1142" s="19" t="str">
        <f t="shared" si="87"/>
        <v>DOZ</v>
      </c>
      <c r="H1142" s="18" t="s">
        <v>2810</v>
      </c>
      <c r="I1142" s="14" t="s">
        <v>441</v>
      </c>
    </row>
    <row r="1143" spans="1:9" x14ac:dyDescent="0.25">
      <c r="A1143" s="17" t="s">
        <v>320</v>
      </c>
      <c r="B1143" s="14" t="s">
        <v>23</v>
      </c>
      <c r="C1143" s="18" t="s">
        <v>3838</v>
      </c>
      <c r="D1143" s="14" t="str">
        <f t="shared" si="86"/>
        <v>1ST-358-1142</v>
      </c>
      <c r="E1143" s="18" t="s">
        <v>2076</v>
      </c>
      <c r="F1143" s="19">
        <f t="shared" si="88"/>
        <v>112</v>
      </c>
      <c r="G1143" s="19" t="str">
        <f t="shared" si="87"/>
        <v>DOZ</v>
      </c>
      <c r="H1143" s="18" t="s">
        <v>2811</v>
      </c>
      <c r="I1143" s="14" t="s">
        <v>441</v>
      </c>
    </row>
    <row r="1144" spans="1:9" x14ac:dyDescent="0.25">
      <c r="A1144" s="17" t="s">
        <v>320</v>
      </c>
      <c r="B1144" s="14" t="s">
        <v>23</v>
      </c>
      <c r="C1144" s="18" t="s">
        <v>2077</v>
      </c>
      <c r="D1144" s="14" t="str">
        <f t="shared" si="86"/>
        <v>1ST-358-1143</v>
      </c>
      <c r="E1144" s="18" t="s">
        <v>1976</v>
      </c>
      <c r="F1144" s="19">
        <f t="shared" si="88"/>
        <v>135</v>
      </c>
      <c r="G1144" s="19" t="str">
        <f t="shared" si="87"/>
        <v>DOZ</v>
      </c>
      <c r="H1144" s="18" t="s">
        <v>2812</v>
      </c>
      <c r="I1144" s="14" t="s">
        <v>441</v>
      </c>
    </row>
    <row r="1145" spans="1:9" x14ac:dyDescent="0.25">
      <c r="A1145" s="17" t="s">
        <v>320</v>
      </c>
      <c r="B1145" s="14" t="s">
        <v>24</v>
      </c>
      <c r="C1145" s="18" t="s">
        <v>3839</v>
      </c>
      <c r="D1145" s="14" t="str">
        <f t="shared" si="86"/>
        <v>1ST-358-1144</v>
      </c>
      <c r="E1145" s="18" t="s">
        <v>2078</v>
      </c>
      <c r="F1145" s="19">
        <f t="shared" si="88"/>
        <v>31</v>
      </c>
      <c r="G1145" s="19" t="str">
        <f t="shared" si="87"/>
        <v>DOZ</v>
      </c>
      <c r="H1145" s="18" t="s">
        <v>2813</v>
      </c>
      <c r="I1145" s="14" t="s">
        <v>441</v>
      </c>
    </row>
    <row r="1146" spans="1:9" x14ac:dyDescent="0.25">
      <c r="A1146" s="17" t="s">
        <v>320</v>
      </c>
      <c r="B1146" s="14" t="s">
        <v>24</v>
      </c>
      <c r="C1146" s="18" t="s">
        <v>3840</v>
      </c>
      <c r="D1146" s="14" t="str">
        <f t="shared" si="86"/>
        <v>1ST-358-1145</v>
      </c>
      <c r="E1146" s="18" t="s">
        <v>1582</v>
      </c>
      <c r="F1146" s="19">
        <f t="shared" si="88"/>
        <v>45</v>
      </c>
      <c r="G1146" s="19" t="str">
        <f t="shared" si="87"/>
        <v>DOZ</v>
      </c>
      <c r="H1146" s="18" t="s">
        <v>2814</v>
      </c>
      <c r="I1146" s="14" t="s">
        <v>441</v>
      </c>
    </row>
    <row r="1147" spans="1:9" x14ac:dyDescent="0.25">
      <c r="A1147" s="17" t="s">
        <v>320</v>
      </c>
      <c r="B1147" s="14" t="s">
        <v>24</v>
      </c>
      <c r="C1147" s="18" t="s">
        <v>3841</v>
      </c>
      <c r="D1147" s="14" t="str">
        <f t="shared" si="86"/>
        <v>1ST-358-1146</v>
      </c>
      <c r="E1147" s="18" t="s">
        <v>2079</v>
      </c>
      <c r="F1147" s="19">
        <f t="shared" si="88"/>
        <v>62</v>
      </c>
      <c r="G1147" s="19" t="str">
        <f t="shared" si="87"/>
        <v>DOZ</v>
      </c>
      <c r="H1147" s="18" t="s">
        <v>2815</v>
      </c>
      <c r="I1147" s="14" t="s">
        <v>441</v>
      </c>
    </row>
    <row r="1148" spans="1:9" x14ac:dyDescent="0.25">
      <c r="A1148" s="17" t="s">
        <v>320</v>
      </c>
      <c r="B1148" s="14" t="s">
        <v>24</v>
      </c>
      <c r="C1148" s="18" t="s">
        <v>3842</v>
      </c>
      <c r="D1148" s="14" t="str">
        <f t="shared" si="86"/>
        <v>1ST-358-1147</v>
      </c>
      <c r="E1148" s="18" t="s">
        <v>2080</v>
      </c>
      <c r="F1148" s="19">
        <f t="shared" si="88"/>
        <v>92</v>
      </c>
      <c r="G1148" s="19" t="str">
        <f t="shared" si="87"/>
        <v>DOZ</v>
      </c>
      <c r="H1148" s="18" t="s">
        <v>2816</v>
      </c>
      <c r="I1148" s="14" t="s">
        <v>441</v>
      </c>
    </row>
    <row r="1149" spans="1:9" x14ac:dyDescent="0.25">
      <c r="A1149" s="17" t="s">
        <v>320</v>
      </c>
      <c r="B1149" s="14" t="s">
        <v>24</v>
      </c>
      <c r="C1149" s="18" t="s">
        <v>2081</v>
      </c>
      <c r="D1149" s="14" t="str">
        <f t="shared" si="86"/>
        <v>1ST-358-1148</v>
      </c>
      <c r="E1149" s="18" t="s">
        <v>2082</v>
      </c>
      <c r="F1149" s="19">
        <f t="shared" si="88"/>
        <v>134</v>
      </c>
      <c r="G1149" s="19" t="str">
        <f t="shared" si="87"/>
        <v>DOZ</v>
      </c>
      <c r="H1149" s="18" t="s">
        <v>2817</v>
      </c>
      <c r="I1149" s="14" t="s">
        <v>441</v>
      </c>
    </row>
    <row r="1150" spans="1:9" x14ac:dyDescent="0.25">
      <c r="A1150" s="17" t="s">
        <v>320</v>
      </c>
      <c r="B1150" s="14" t="s">
        <v>24</v>
      </c>
      <c r="C1150" s="18" t="s">
        <v>3843</v>
      </c>
      <c r="D1150" s="14" t="str">
        <f t="shared" si="86"/>
        <v>1ST-358-1149</v>
      </c>
      <c r="E1150" s="18" t="s">
        <v>2083</v>
      </c>
      <c r="F1150" s="19">
        <f t="shared" si="88"/>
        <v>198</v>
      </c>
      <c r="G1150" s="19" t="str">
        <f t="shared" si="87"/>
        <v>DOZ</v>
      </c>
      <c r="H1150" s="18" t="s">
        <v>2818</v>
      </c>
      <c r="I1150" s="14" t="s">
        <v>441</v>
      </c>
    </row>
    <row r="1151" spans="1:9" x14ac:dyDescent="0.25">
      <c r="A1151" s="17" t="s">
        <v>320</v>
      </c>
      <c r="B1151" s="14" t="s">
        <v>24</v>
      </c>
      <c r="C1151" s="18" t="s">
        <v>3844</v>
      </c>
      <c r="D1151" s="14" t="str">
        <f t="shared" si="86"/>
        <v>1ST-358-1150</v>
      </c>
      <c r="E1151" s="18" t="s">
        <v>2084</v>
      </c>
      <c r="F1151" s="19">
        <f t="shared" si="88"/>
        <v>220</v>
      </c>
      <c r="G1151" s="19" t="str">
        <f t="shared" si="87"/>
        <v>DOZ</v>
      </c>
      <c r="H1151" s="18" t="s">
        <v>2819</v>
      </c>
      <c r="I1151" s="14" t="s">
        <v>441</v>
      </c>
    </row>
    <row r="1152" spans="1:9" x14ac:dyDescent="0.25">
      <c r="A1152" s="17" t="s">
        <v>320</v>
      </c>
      <c r="B1152" s="14" t="s">
        <v>25</v>
      </c>
      <c r="C1152" s="18" t="s">
        <v>2085</v>
      </c>
      <c r="D1152" s="14" t="str">
        <f t="shared" si="86"/>
        <v>1ST-358-1151</v>
      </c>
      <c r="E1152" s="19" t="s">
        <v>2086</v>
      </c>
      <c r="F1152" s="19">
        <f t="shared" si="88"/>
        <v>39</v>
      </c>
      <c r="G1152" s="19" t="str">
        <f t="shared" si="87"/>
        <v>DOZ</v>
      </c>
      <c r="H1152" s="18" t="s">
        <v>2820</v>
      </c>
      <c r="I1152" s="14" t="s">
        <v>441</v>
      </c>
    </row>
    <row r="1153" spans="1:9" x14ac:dyDescent="0.25">
      <c r="A1153" s="17" t="s">
        <v>320</v>
      </c>
      <c r="B1153" s="14" t="s">
        <v>25</v>
      </c>
      <c r="C1153" s="18" t="s">
        <v>2087</v>
      </c>
      <c r="D1153" s="14" t="str">
        <f t="shared" si="86"/>
        <v>1ST-358-1152</v>
      </c>
      <c r="E1153" s="18" t="s">
        <v>2088</v>
      </c>
      <c r="F1153" s="19">
        <f t="shared" si="88"/>
        <v>49.5</v>
      </c>
      <c r="G1153" s="19" t="str">
        <f t="shared" si="87"/>
        <v>DOZ</v>
      </c>
      <c r="H1153" s="18" t="s">
        <v>2821</v>
      </c>
      <c r="I1153" s="14" t="s">
        <v>441</v>
      </c>
    </row>
    <row r="1154" spans="1:9" x14ac:dyDescent="0.25">
      <c r="A1154" s="17" t="s">
        <v>320</v>
      </c>
      <c r="B1154" s="14" t="s">
        <v>25</v>
      </c>
      <c r="C1154" s="18" t="s">
        <v>2089</v>
      </c>
      <c r="D1154" s="14" t="str">
        <f t="shared" si="86"/>
        <v>1ST-358-1153</v>
      </c>
      <c r="E1154" s="19" t="s">
        <v>2090</v>
      </c>
      <c r="F1154" s="19">
        <f t="shared" si="88"/>
        <v>87</v>
      </c>
      <c r="G1154" s="19" t="str">
        <f t="shared" si="87"/>
        <v>DOZ</v>
      </c>
      <c r="H1154" s="18" t="s">
        <v>2822</v>
      </c>
      <c r="I1154" s="14" t="s">
        <v>441</v>
      </c>
    </row>
    <row r="1155" spans="1:9" x14ac:dyDescent="0.25">
      <c r="A1155" s="17" t="s">
        <v>320</v>
      </c>
      <c r="B1155" s="14" t="s">
        <v>25</v>
      </c>
      <c r="C1155" s="18" t="s">
        <v>2091</v>
      </c>
      <c r="D1155" s="14" t="str">
        <f t="shared" si="86"/>
        <v>1ST-358-1154</v>
      </c>
      <c r="E1155" s="18" t="s">
        <v>2092</v>
      </c>
      <c r="F1155" s="19">
        <f t="shared" si="88"/>
        <v>117</v>
      </c>
      <c r="G1155" s="19" t="str">
        <f t="shared" si="87"/>
        <v>DOZ</v>
      </c>
      <c r="H1155" s="18" t="s">
        <v>2823</v>
      </c>
      <c r="I1155" s="14" t="s">
        <v>441</v>
      </c>
    </row>
    <row r="1156" spans="1:9" x14ac:dyDescent="0.25">
      <c r="A1156" s="17" t="s">
        <v>320</v>
      </c>
      <c r="B1156" s="14" t="s">
        <v>25</v>
      </c>
      <c r="C1156" s="18" t="s">
        <v>2093</v>
      </c>
      <c r="D1156" s="14" t="str">
        <f t="shared" si="86"/>
        <v>1ST-358-1155</v>
      </c>
      <c r="E1156" s="18" t="s">
        <v>1946</v>
      </c>
      <c r="F1156" s="19">
        <f t="shared" si="88"/>
        <v>155</v>
      </c>
      <c r="G1156" s="19" t="str">
        <f t="shared" si="87"/>
        <v>DOZ</v>
      </c>
      <c r="H1156" s="18" t="s">
        <v>2824</v>
      </c>
      <c r="I1156" s="14" t="s">
        <v>441</v>
      </c>
    </row>
    <row r="1157" spans="1:9" x14ac:dyDescent="0.25">
      <c r="A1157" s="17" t="s">
        <v>320</v>
      </c>
      <c r="B1157" s="14" t="s">
        <v>25</v>
      </c>
      <c r="C1157" s="18" t="s">
        <v>2094</v>
      </c>
      <c r="D1157" s="14" t="str">
        <f t="shared" ref="D1157:D1220" si="89">LEFT($D$2,FIND("-",$D$2,FIND("-",$D$2)+1)) &amp; TEXT(RIGHT($D$2,3)+ROW(D1155),"000")</f>
        <v>1ST-358-1156</v>
      </c>
      <c r="E1157" s="19" t="s">
        <v>2095</v>
      </c>
      <c r="F1157" s="19">
        <f t="shared" si="88"/>
        <v>228</v>
      </c>
      <c r="G1157" s="19" t="str">
        <f t="shared" si="87"/>
        <v>DOZ</v>
      </c>
      <c r="H1157" s="18" t="s">
        <v>2825</v>
      </c>
      <c r="I1157" s="14" t="s">
        <v>441</v>
      </c>
    </row>
    <row r="1158" spans="1:9" x14ac:dyDescent="0.25">
      <c r="A1158" s="17" t="s">
        <v>320</v>
      </c>
      <c r="B1158" s="14" t="s">
        <v>25</v>
      </c>
      <c r="C1158" s="18" t="s">
        <v>2096</v>
      </c>
      <c r="D1158" s="14" t="str">
        <f t="shared" si="89"/>
        <v>1ST-358-1157</v>
      </c>
      <c r="E1158" s="18" t="s">
        <v>2097</v>
      </c>
      <c r="F1158" s="19">
        <f t="shared" si="88"/>
        <v>335</v>
      </c>
      <c r="G1158" s="19" t="str">
        <f t="shared" si="87"/>
        <v>DOZ</v>
      </c>
      <c r="H1158" s="18" t="s">
        <v>2826</v>
      </c>
      <c r="I1158" s="14" t="s">
        <v>441</v>
      </c>
    </row>
    <row r="1159" spans="1:9" x14ac:dyDescent="0.25">
      <c r="A1159" s="17" t="s">
        <v>320</v>
      </c>
      <c r="B1159" s="14" t="s">
        <v>26</v>
      </c>
      <c r="C1159" s="18" t="s">
        <v>3845</v>
      </c>
      <c r="D1159" s="14" t="str">
        <f t="shared" si="89"/>
        <v>1ST-358-1158</v>
      </c>
      <c r="E1159" s="18" t="s">
        <v>1778</v>
      </c>
      <c r="F1159" s="19">
        <f t="shared" si="88"/>
        <v>138</v>
      </c>
      <c r="G1159" s="19" t="str">
        <f t="shared" si="87"/>
        <v>PAIR</v>
      </c>
      <c r="H1159" s="18" t="s">
        <v>2827</v>
      </c>
      <c r="I1159" s="25" t="s">
        <v>3523</v>
      </c>
    </row>
    <row r="1160" spans="1:9" x14ac:dyDescent="0.25">
      <c r="A1160" s="17" t="s">
        <v>320</v>
      </c>
      <c r="B1160" s="14" t="s">
        <v>26</v>
      </c>
      <c r="C1160" s="18" t="s">
        <v>3846</v>
      </c>
      <c r="D1160" s="14" t="str">
        <f t="shared" si="89"/>
        <v>1ST-358-1159</v>
      </c>
      <c r="E1160" s="18" t="s">
        <v>2098</v>
      </c>
      <c r="F1160" s="19">
        <f t="shared" si="88"/>
        <v>168</v>
      </c>
      <c r="G1160" s="19" t="str">
        <f t="shared" si="87"/>
        <v>PAIR</v>
      </c>
      <c r="H1160" s="18" t="s">
        <v>2828</v>
      </c>
      <c r="I1160" s="25" t="s">
        <v>3523</v>
      </c>
    </row>
    <row r="1161" spans="1:9" x14ac:dyDescent="0.25">
      <c r="A1161" s="17" t="s">
        <v>320</v>
      </c>
      <c r="B1161" s="14" t="s">
        <v>26</v>
      </c>
      <c r="C1161" s="18" t="s">
        <v>2099</v>
      </c>
      <c r="D1161" s="14" t="str">
        <f t="shared" si="89"/>
        <v>1ST-358-1160</v>
      </c>
      <c r="E1161" s="18" t="s">
        <v>2100</v>
      </c>
      <c r="F1161" s="19">
        <f t="shared" si="88"/>
        <v>198</v>
      </c>
      <c r="G1161" s="19" t="str">
        <f t="shared" si="87"/>
        <v>PAIR</v>
      </c>
      <c r="H1161" s="18" t="s">
        <v>2829</v>
      </c>
      <c r="I1161" s="25" t="s">
        <v>3523</v>
      </c>
    </row>
    <row r="1162" spans="1:9" ht="26.4" x14ac:dyDescent="0.25">
      <c r="A1162" s="17" t="s">
        <v>320</v>
      </c>
      <c r="B1162" s="14" t="s">
        <v>26</v>
      </c>
      <c r="C1162" s="18" t="s">
        <v>2101</v>
      </c>
      <c r="D1162" s="14" t="str">
        <f t="shared" si="89"/>
        <v>1ST-358-1161</v>
      </c>
      <c r="E1162" s="18" t="s">
        <v>2098</v>
      </c>
      <c r="F1162" s="19">
        <f t="shared" si="88"/>
        <v>168</v>
      </c>
      <c r="G1162" s="19" t="str">
        <f t="shared" ref="G1162:G1225" si="90">TRIM(MID(E1162,FIND("/",E1162)+1,LEN(E1162)))</f>
        <v>PAIR</v>
      </c>
      <c r="H1162" s="18" t="s">
        <v>3299</v>
      </c>
      <c r="I1162" s="25" t="s">
        <v>3523</v>
      </c>
    </row>
    <row r="1163" spans="1:9" ht="26.4" x14ac:dyDescent="0.25">
      <c r="A1163" s="17" t="s">
        <v>320</v>
      </c>
      <c r="B1163" s="14" t="s">
        <v>27</v>
      </c>
      <c r="C1163" s="18" t="s">
        <v>2102</v>
      </c>
      <c r="D1163" s="14" t="str">
        <f t="shared" si="89"/>
        <v>1ST-358-1162</v>
      </c>
      <c r="E1163" s="19" t="s">
        <v>2103</v>
      </c>
      <c r="F1163" s="19">
        <f t="shared" si="88"/>
        <v>40</v>
      </c>
      <c r="G1163" s="19" t="str">
        <f t="shared" si="90"/>
        <v>PAIR</v>
      </c>
      <c r="H1163" s="20" t="s">
        <v>1981</v>
      </c>
      <c r="I1163" s="14" t="s">
        <v>441</v>
      </c>
    </row>
    <row r="1164" spans="1:9" ht="26.4" x14ac:dyDescent="0.25">
      <c r="A1164" s="17" t="s">
        <v>320</v>
      </c>
      <c r="B1164" s="14" t="s">
        <v>27</v>
      </c>
      <c r="C1164" s="18" t="s">
        <v>2104</v>
      </c>
      <c r="D1164" s="14" t="str">
        <f t="shared" si="89"/>
        <v>1ST-358-1163</v>
      </c>
      <c r="E1164" s="19" t="s">
        <v>2105</v>
      </c>
      <c r="F1164" s="19">
        <f t="shared" si="88"/>
        <v>50</v>
      </c>
      <c r="G1164" s="19" t="str">
        <f t="shared" si="90"/>
        <v>PAIR</v>
      </c>
      <c r="H1164" s="20" t="s">
        <v>1981</v>
      </c>
      <c r="I1164" s="14" t="s">
        <v>441</v>
      </c>
    </row>
    <row r="1165" spans="1:9" ht="26.4" x14ac:dyDescent="0.25">
      <c r="A1165" s="17" t="s">
        <v>320</v>
      </c>
      <c r="B1165" s="14" t="s">
        <v>27</v>
      </c>
      <c r="C1165" s="18" t="s">
        <v>3847</v>
      </c>
      <c r="D1165" s="14" t="str">
        <f t="shared" si="89"/>
        <v>1ST-358-1164</v>
      </c>
      <c r="E1165" s="19" t="s">
        <v>2106</v>
      </c>
      <c r="F1165" s="19">
        <f t="shared" si="88"/>
        <v>55</v>
      </c>
      <c r="G1165" s="19" t="str">
        <f t="shared" si="90"/>
        <v>PAIR</v>
      </c>
      <c r="H1165" s="20" t="s">
        <v>1981</v>
      </c>
      <c r="I1165" s="14" t="s">
        <v>441</v>
      </c>
    </row>
    <row r="1166" spans="1:9" x14ac:dyDescent="0.25">
      <c r="A1166" s="17" t="s">
        <v>320</v>
      </c>
      <c r="B1166" s="14" t="s">
        <v>28</v>
      </c>
      <c r="C1166" s="18" t="s">
        <v>2107</v>
      </c>
      <c r="D1166" s="14" t="str">
        <f t="shared" si="89"/>
        <v>1ST-358-1165</v>
      </c>
      <c r="E1166" s="18" t="s">
        <v>2108</v>
      </c>
      <c r="F1166" s="19">
        <f t="shared" si="88"/>
        <v>31</v>
      </c>
      <c r="G1166" s="19" t="str">
        <f t="shared" si="90"/>
        <v>PAIR</v>
      </c>
      <c r="H1166" s="18" t="s">
        <v>2830</v>
      </c>
      <c r="I1166" s="14" t="s">
        <v>441</v>
      </c>
    </row>
    <row r="1167" spans="1:9" x14ac:dyDescent="0.25">
      <c r="A1167" s="17" t="s">
        <v>320</v>
      </c>
      <c r="B1167" s="14" t="s">
        <v>28</v>
      </c>
      <c r="C1167" s="18" t="s">
        <v>2109</v>
      </c>
      <c r="D1167" s="14" t="str">
        <f t="shared" si="89"/>
        <v>1ST-358-1166</v>
      </c>
      <c r="E1167" s="18" t="s">
        <v>2110</v>
      </c>
      <c r="F1167" s="19">
        <f t="shared" si="88"/>
        <v>37</v>
      </c>
      <c r="G1167" s="19" t="str">
        <f t="shared" si="90"/>
        <v>PAIR</v>
      </c>
      <c r="H1167" s="18" t="s">
        <v>2831</v>
      </c>
      <c r="I1167" s="14" t="s">
        <v>441</v>
      </c>
    </row>
    <row r="1168" spans="1:9" x14ac:dyDescent="0.25">
      <c r="A1168" s="17" t="s">
        <v>320</v>
      </c>
      <c r="B1168" s="14" t="s">
        <v>28</v>
      </c>
      <c r="C1168" s="18" t="s">
        <v>2111</v>
      </c>
      <c r="D1168" s="14" t="str">
        <f t="shared" si="89"/>
        <v>1ST-358-1167</v>
      </c>
      <c r="E1168" s="18" t="s">
        <v>2112</v>
      </c>
      <c r="F1168" s="19">
        <f t="shared" si="88"/>
        <v>43</v>
      </c>
      <c r="G1168" s="19" t="str">
        <f t="shared" si="90"/>
        <v>PAIR</v>
      </c>
      <c r="H1168" s="18" t="s">
        <v>2832</v>
      </c>
      <c r="I1168" s="14" t="s">
        <v>441</v>
      </c>
    </row>
    <row r="1169" spans="1:9" ht="26.4" x14ac:dyDescent="0.25">
      <c r="A1169" s="17" t="s">
        <v>320</v>
      </c>
      <c r="B1169" s="14" t="s">
        <v>29</v>
      </c>
      <c r="C1169" s="18" t="s">
        <v>2113</v>
      </c>
      <c r="D1169" s="14" t="str">
        <f t="shared" si="89"/>
        <v>1ST-358-1168</v>
      </c>
      <c r="E1169" s="18" t="s">
        <v>2105</v>
      </c>
      <c r="F1169" s="19">
        <f t="shared" si="88"/>
        <v>50</v>
      </c>
      <c r="G1169" s="19" t="str">
        <f t="shared" si="90"/>
        <v>PAIR</v>
      </c>
      <c r="H1169" s="20" t="s">
        <v>1982</v>
      </c>
      <c r="I1169" s="25" t="s">
        <v>3523</v>
      </c>
    </row>
    <row r="1170" spans="1:9" ht="26.4" x14ac:dyDescent="0.25">
      <c r="A1170" s="17" t="s">
        <v>320</v>
      </c>
      <c r="B1170" s="14" t="s">
        <v>29</v>
      </c>
      <c r="C1170" s="18" t="s">
        <v>3848</v>
      </c>
      <c r="D1170" s="14" t="str">
        <f t="shared" si="89"/>
        <v>1ST-358-1169</v>
      </c>
      <c r="E1170" s="18" t="s">
        <v>2114</v>
      </c>
      <c r="F1170" s="19">
        <f t="shared" si="88"/>
        <v>60</v>
      </c>
      <c r="G1170" s="19" t="str">
        <f t="shared" si="90"/>
        <v>PAIR</v>
      </c>
      <c r="H1170" s="20" t="s">
        <v>1982</v>
      </c>
      <c r="I1170" s="25" t="s">
        <v>3523</v>
      </c>
    </row>
    <row r="1171" spans="1:9" ht="26.4" x14ac:dyDescent="0.25">
      <c r="A1171" s="17" t="s">
        <v>320</v>
      </c>
      <c r="B1171" s="14" t="s">
        <v>29</v>
      </c>
      <c r="C1171" s="18" t="s">
        <v>3849</v>
      </c>
      <c r="D1171" s="14" t="str">
        <f t="shared" si="89"/>
        <v>1ST-358-1170</v>
      </c>
      <c r="E1171" s="18" t="s">
        <v>2115</v>
      </c>
      <c r="F1171" s="19">
        <f t="shared" si="88"/>
        <v>70</v>
      </c>
      <c r="G1171" s="19" t="str">
        <f t="shared" si="90"/>
        <v>PAIR</v>
      </c>
      <c r="H1171" s="20" t="s">
        <v>1982</v>
      </c>
      <c r="I1171" s="25" t="s">
        <v>3523</v>
      </c>
    </row>
    <row r="1172" spans="1:9" ht="26.4" x14ac:dyDescent="0.25">
      <c r="A1172" s="17" t="s">
        <v>320</v>
      </c>
      <c r="B1172" s="14" t="s">
        <v>30</v>
      </c>
      <c r="C1172" s="18" t="s">
        <v>2116</v>
      </c>
      <c r="D1172" s="14" t="str">
        <f t="shared" si="89"/>
        <v>1ST-358-1171</v>
      </c>
      <c r="E1172" s="19" t="s">
        <v>2056</v>
      </c>
      <c r="F1172" s="19">
        <f t="shared" si="88"/>
        <v>115</v>
      </c>
      <c r="G1172" s="19" t="str">
        <f t="shared" si="90"/>
        <v>PC</v>
      </c>
      <c r="H1172" s="18" t="s">
        <v>3300</v>
      </c>
      <c r="I1172" s="25" t="s">
        <v>3523</v>
      </c>
    </row>
    <row r="1173" spans="1:9" x14ac:dyDescent="0.25">
      <c r="A1173" s="17" t="s">
        <v>320</v>
      </c>
      <c r="B1173" s="14" t="s">
        <v>30</v>
      </c>
      <c r="C1173" s="18" t="s">
        <v>2117</v>
      </c>
      <c r="D1173" s="14" t="str">
        <f t="shared" si="89"/>
        <v>1ST-358-1172</v>
      </c>
      <c r="E1173" s="19" t="s">
        <v>2118</v>
      </c>
      <c r="F1173" s="19">
        <f t="shared" si="88"/>
        <v>225</v>
      </c>
      <c r="G1173" s="19" t="str">
        <f t="shared" si="90"/>
        <v>PC</v>
      </c>
      <c r="H1173" s="18" t="s">
        <v>2833</v>
      </c>
      <c r="I1173" s="25" t="s">
        <v>3523</v>
      </c>
    </row>
    <row r="1174" spans="1:9" ht="26.4" x14ac:dyDescent="0.25">
      <c r="A1174" s="17" t="s">
        <v>320</v>
      </c>
      <c r="B1174" s="14" t="s">
        <v>31</v>
      </c>
      <c r="C1174" s="18" t="s">
        <v>2119</v>
      </c>
      <c r="D1174" s="14" t="str">
        <f t="shared" si="89"/>
        <v>1ST-358-1173</v>
      </c>
      <c r="E1174" s="19" t="s">
        <v>2120</v>
      </c>
      <c r="F1174" s="19">
        <f t="shared" si="88"/>
        <v>215</v>
      </c>
      <c r="G1174" s="19" t="str">
        <f t="shared" si="90"/>
        <v>PC</v>
      </c>
      <c r="H1174" s="18" t="s">
        <v>2834</v>
      </c>
      <c r="I1174" s="25" t="s">
        <v>3523</v>
      </c>
    </row>
    <row r="1175" spans="1:9" x14ac:dyDescent="0.25">
      <c r="A1175" s="17" t="s">
        <v>320</v>
      </c>
      <c r="B1175" s="14" t="s">
        <v>31</v>
      </c>
      <c r="C1175" s="18" t="s">
        <v>2121</v>
      </c>
      <c r="D1175" s="14" t="str">
        <f t="shared" si="89"/>
        <v>1ST-358-1174</v>
      </c>
      <c r="E1175" s="19" t="s">
        <v>2056</v>
      </c>
      <c r="F1175" s="19">
        <f t="shared" si="88"/>
        <v>115</v>
      </c>
      <c r="G1175" s="19" t="str">
        <f t="shared" si="90"/>
        <v>PC</v>
      </c>
      <c r="H1175" s="18" t="s">
        <v>2835</v>
      </c>
      <c r="I1175" s="25" t="s">
        <v>3523</v>
      </c>
    </row>
    <row r="1176" spans="1:9" x14ac:dyDescent="0.25">
      <c r="A1176" s="17" t="s">
        <v>320</v>
      </c>
      <c r="B1176" s="14" t="s">
        <v>31</v>
      </c>
      <c r="C1176" s="18" t="s">
        <v>2122</v>
      </c>
      <c r="D1176" s="14" t="str">
        <f t="shared" si="89"/>
        <v>1ST-358-1175</v>
      </c>
      <c r="E1176" s="19" t="s">
        <v>2056</v>
      </c>
      <c r="F1176" s="19">
        <f t="shared" si="88"/>
        <v>115</v>
      </c>
      <c r="G1176" s="19" t="str">
        <f t="shared" si="90"/>
        <v>PC</v>
      </c>
      <c r="H1176" s="18" t="s">
        <v>2835</v>
      </c>
      <c r="I1176" s="25" t="s">
        <v>3523</v>
      </c>
    </row>
    <row r="1177" spans="1:9" x14ac:dyDescent="0.25">
      <c r="A1177" s="17" t="s">
        <v>320</v>
      </c>
      <c r="B1177" s="14" t="s">
        <v>31</v>
      </c>
      <c r="C1177" s="18" t="s">
        <v>2123</v>
      </c>
      <c r="D1177" s="14" t="str">
        <f t="shared" si="89"/>
        <v>1ST-358-1176</v>
      </c>
      <c r="E1177" s="19" t="s">
        <v>712</v>
      </c>
      <c r="F1177" s="19">
        <f t="shared" si="88"/>
        <v>135</v>
      </c>
      <c r="G1177" s="19" t="str">
        <f t="shared" si="90"/>
        <v>PC</v>
      </c>
      <c r="H1177" s="18" t="s">
        <v>2836</v>
      </c>
      <c r="I1177" s="25" t="s">
        <v>3523</v>
      </c>
    </row>
    <row r="1178" spans="1:9" x14ac:dyDescent="0.25">
      <c r="A1178" s="17" t="s">
        <v>320</v>
      </c>
      <c r="B1178" s="14" t="s">
        <v>31</v>
      </c>
      <c r="C1178" s="18" t="s">
        <v>2124</v>
      </c>
      <c r="D1178" s="14" t="str">
        <f t="shared" si="89"/>
        <v>1ST-358-1177</v>
      </c>
      <c r="E1178" s="19" t="s">
        <v>1543</v>
      </c>
      <c r="F1178" s="19">
        <f t="shared" si="88"/>
        <v>150</v>
      </c>
      <c r="G1178" s="19" t="str">
        <f t="shared" si="90"/>
        <v>PC</v>
      </c>
      <c r="H1178" s="18" t="s">
        <v>2837</v>
      </c>
      <c r="I1178" s="25" t="s">
        <v>3523</v>
      </c>
    </row>
    <row r="1179" spans="1:9" x14ac:dyDescent="0.25">
      <c r="A1179" s="17" t="s">
        <v>320</v>
      </c>
      <c r="B1179" s="14" t="s">
        <v>31</v>
      </c>
      <c r="C1179" s="18" t="s">
        <v>2125</v>
      </c>
      <c r="D1179" s="14" t="str">
        <f t="shared" si="89"/>
        <v>1ST-358-1178</v>
      </c>
      <c r="E1179" s="19" t="s">
        <v>714</v>
      </c>
      <c r="F1179" s="19">
        <f t="shared" si="88"/>
        <v>175</v>
      </c>
      <c r="G1179" s="19" t="str">
        <f t="shared" si="90"/>
        <v>PC</v>
      </c>
      <c r="H1179" s="18" t="s">
        <v>2838</v>
      </c>
      <c r="I1179" s="25" t="s">
        <v>3523</v>
      </c>
    </row>
    <row r="1180" spans="1:9" x14ac:dyDescent="0.25">
      <c r="A1180" s="17" t="s">
        <v>320</v>
      </c>
      <c r="B1180" s="14" t="s">
        <v>32</v>
      </c>
      <c r="C1180" s="18" t="s">
        <v>2126</v>
      </c>
      <c r="D1180" s="14" t="str">
        <f t="shared" si="89"/>
        <v>1ST-358-1179</v>
      </c>
      <c r="E1180" s="19" t="s">
        <v>975</v>
      </c>
      <c r="F1180" s="19">
        <f t="shared" si="88"/>
        <v>58</v>
      </c>
      <c r="G1180" s="19" t="str">
        <f t="shared" si="90"/>
        <v>PC</v>
      </c>
      <c r="H1180" s="18" t="s">
        <v>2839</v>
      </c>
      <c r="I1180" s="25" t="s">
        <v>3523</v>
      </c>
    </row>
    <row r="1181" spans="1:9" x14ac:dyDescent="0.25">
      <c r="A1181" s="17" t="s">
        <v>320</v>
      </c>
      <c r="B1181" s="14" t="s">
        <v>32</v>
      </c>
      <c r="C1181" s="18" t="s">
        <v>2127</v>
      </c>
      <c r="D1181" s="14" t="str">
        <f t="shared" si="89"/>
        <v>1ST-358-1180</v>
      </c>
      <c r="E1181" s="19" t="s">
        <v>1236</v>
      </c>
      <c r="F1181" s="19">
        <f t="shared" si="88"/>
        <v>88</v>
      </c>
      <c r="G1181" s="19" t="str">
        <f t="shared" si="90"/>
        <v>PC</v>
      </c>
      <c r="H1181" s="18" t="s">
        <v>2840</v>
      </c>
      <c r="I1181" s="25" t="s">
        <v>3523</v>
      </c>
    </row>
    <row r="1182" spans="1:9" x14ac:dyDescent="0.25">
      <c r="A1182" s="17" t="s">
        <v>320</v>
      </c>
      <c r="B1182" s="14" t="s">
        <v>32</v>
      </c>
      <c r="C1182" s="18" t="s">
        <v>2128</v>
      </c>
      <c r="D1182" s="14" t="str">
        <f t="shared" si="89"/>
        <v>1ST-358-1181</v>
      </c>
      <c r="E1182" s="19" t="s">
        <v>687</v>
      </c>
      <c r="F1182" s="19">
        <f t="shared" si="88"/>
        <v>108</v>
      </c>
      <c r="G1182" s="19" t="str">
        <f t="shared" si="90"/>
        <v>PC</v>
      </c>
      <c r="H1182" s="18" t="s">
        <v>2841</v>
      </c>
      <c r="I1182" s="25" t="s">
        <v>3523</v>
      </c>
    </row>
    <row r="1183" spans="1:9" x14ac:dyDescent="0.25">
      <c r="A1183" s="17" t="s">
        <v>320</v>
      </c>
      <c r="B1183" s="14" t="s">
        <v>32</v>
      </c>
      <c r="C1183" s="18" t="s">
        <v>2129</v>
      </c>
      <c r="D1183" s="14" t="str">
        <f t="shared" si="89"/>
        <v>1ST-358-1182</v>
      </c>
      <c r="E1183" s="19" t="s">
        <v>1013</v>
      </c>
      <c r="F1183" s="19">
        <f t="shared" si="88"/>
        <v>128</v>
      </c>
      <c r="G1183" s="19" t="str">
        <f t="shared" si="90"/>
        <v>PC</v>
      </c>
      <c r="H1183" s="18" t="s">
        <v>2842</v>
      </c>
      <c r="I1183" s="25" t="s">
        <v>3523</v>
      </c>
    </row>
    <row r="1184" spans="1:9" x14ac:dyDescent="0.25">
      <c r="A1184" s="17" t="s">
        <v>320</v>
      </c>
      <c r="B1184" s="14" t="s">
        <v>32</v>
      </c>
      <c r="C1184" s="18" t="s">
        <v>2130</v>
      </c>
      <c r="D1184" s="14" t="str">
        <f t="shared" si="89"/>
        <v>1ST-358-1183</v>
      </c>
      <c r="E1184" s="19" t="s">
        <v>975</v>
      </c>
      <c r="F1184" s="19">
        <f t="shared" si="88"/>
        <v>58</v>
      </c>
      <c r="G1184" s="19" t="str">
        <f t="shared" si="90"/>
        <v>PC</v>
      </c>
      <c r="H1184" s="18" t="s">
        <v>2843</v>
      </c>
      <c r="I1184" s="25" t="s">
        <v>3523</v>
      </c>
    </row>
    <row r="1185" spans="1:9" x14ac:dyDescent="0.25">
      <c r="A1185" s="17" t="s">
        <v>320</v>
      </c>
      <c r="B1185" s="14" t="s">
        <v>32</v>
      </c>
      <c r="C1185" s="18" t="s">
        <v>2131</v>
      </c>
      <c r="D1185" s="14" t="str">
        <f t="shared" si="89"/>
        <v>1ST-358-1184</v>
      </c>
      <c r="E1185" s="19" t="s">
        <v>1236</v>
      </c>
      <c r="F1185" s="19">
        <f t="shared" si="88"/>
        <v>88</v>
      </c>
      <c r="G1185" s="19" t="str">
        <f t="shared" si="90"/>
        <v>PC</v>
      </c>
      <c r="H1185" s="18" t="s">
        <v>2844</v>
      </c>
      <c r="I1185" s="25" t="s">
        <v>3523</v>
      </c>
    </row>
    <row r="1186" spans="1:9" x14ac:dyDescent="0.25">
      <c r="A1186" s="17" t="s">
        <v>320</v>
      </c>
      <c r="B1186" s="14" t="s">
        <v>32</v>
      </c>
      <c r="C1186" s="18" t="s">
        <v>2132</v>
      </c>
      <c r="D1186" s="14" t="str">
        <f t="shared" si="89"/>
        <v>1ST-358-1185</v>
      </c>
      <c r="E1186" s="19" t="s">
        <v>687</v>
      </c>
      <c r="F1186" s="19">
        <f t="shared" si="88"/>
        <v>108</v>
      </c>
      <c r="G1186" s="19" t="str">
        <f t="shared" si="90"/>
        <v>PC</v>
      </c>
      <c r="H1186" s="18" t="s">
        <v>2845</v>
      </c>
      <c r="I1186" s="25" t="s">
        <v>3523</v>
      </c>
    </row>
    <row r="1187" spans="1:9" x14ac:dyDescent="0.25">
      <c r="A1187" s="17" t="s">
        <v>320</v>
      </c>
      <c r="B1187" s="14" t="s">
        <v>32</v>
      </c>
      <c r="C1187" s="18" t="s">
        <v>2133</v>
      </c>
      <c r="D1187" s="14" t="str">
        <f t="shared" si="89"/>
        <v>1ST-358-1186</v>
      </c>
      <c r="E1187" s="19" t="s">
        <v>1013</v>
      </c>
      <c r="F1187" s="19">
        <f t="shared" si="88"/>
        <v>128</v>
      </c>
      <c r="G1187" s="19" t="str">
        <f t="shared" si="90"/>
        <v>PC</v>
      </c>
      <c r="H1187" s="18" t="s">
        <v>2846</v>
      </c>
      <c r="I1187" s="25" t="s">
        <v>3523</v>
      </c>
    </row>
    <row r="1188" spans="1:9" ht="26.4" x14ac:dyDescent="0.25">
      <c r="A1188" s="17" t="s">
        <v>320</v>
      </c>
      <c r="B1188" s="14" t="s">
        <v>33</v>
      </c>
      <c r="C1188" s="18" t="s">
        <v>3850</v>
      </c>
      <c r="D1188" s="14" t="str">
        <f t="shared" si="89"/>
        <v>1ST-358-1187</v>
      </c>
      <c r="E1188" s="19" t="s">
        <v>1161</v>
      </c>
      <c r="F1188" s="19">
        <f t="shared" si="88"/>
        <v>40</v>
      </c>
      <c r="G1188" s="19" t="str">
        <f t="shared" si="90"/>
        <v>PC</v>
      </c>
      <c r="H1188" s="18" t="s">
        <v>3301</v>
      </c>
      <c r="I1188" s="25" t="s">
        <v>3523</v>
      </c>
    </row>
    <row r="1189" spans="1:9" ht="26.4" x14ac:dyDescent="0.25">
      <c r="A1189" s="17" t="s">
        <v>320</v>
      </c>
      <c r="B1189" s="14" t="s">
        <v>33</v>
      </c>
      <c r="C1189" s="18" t="s">
        <v>3851</v>
      </c>
      <c r="D1189" s="14" t="str">
        <f t="shared" si="89"/>
        <v>1ST-358-1188</v>
      </c>
      <c r="E1189" s="19" t="s">
        <v>698</v>
      </c>
      <c r="F1189" s="19">
        <f t="shared" si="88"/>
        <v>55</v>
      </c>
      <c r="G1189" s="19" t="str">
        <f t="shared" si="90"/>
        <v>PC</v>
      </c>
      <c r="H1189" s="18" t="s">
        <v>3302</v>
      </c>
      <c r="I1189" s="25" t="s">
        <v>3523</v>
      </c>
    </row>
    <row r="1190" spans="1:9" ht="26.4" x14ac:dyDescent="0.25">
      <c r="A1190" s="17" t="s">
        <v>320</v>
      </c>
      <c r="B1190" s="14" t="s">
        <v>33</v>
      </c>
      <c r="C1190" s="18" t="s">
        <v>2134</v>
      </c>
      <c r="D1190" s="14" t="str">
        <f t="shared" si="89"/>
        <v>1ST-358-1189</v>
      </c>
      <c r="E1190" s="19" t="s">
        <v>702</v>
      </c>
      <c r="F1190" s="19">
        <f t="shared" si="88"/>
        <v>75</v>
      </c>
      <c r="G1190" s="19" t="str">
        <f t="shared" si="90"/>
        <v>PC</v>
      </c>
      <c r="H1190" s="18" t="s">
        <v>3303</v>
      </c>
      <c r="I1190" s="25" t="s">
        <v>3523</v>
      </c>
    </row>
    <row r="1191" spans="1:9" ht="26.4" x14ac:dyDescent="0.25">
      <c r="A1191" s="17" t="s">
        <v>320</v>
      </c>
      <c r="B1191" s="14" t="s">
        <v>33</v>
      </c>
      <c r="C1191" s="18" t="s">
        <v>3852</v>
      </c>
      <c r="D1191" s="14" t="str">
        <f t="shared" si="89"/>
        <v>1ST-358-1190</v>
      </c>
      <c r="E1191" s="19" t="s">
        <v>708</v>
      </c>
      <c r="F1191" s="19">
        <f t="shared" si="88"/>
        <v>85</v>
      </c>
      <c r="G1191" s="19" t="str">
        <f t="shared" si="90"/>
        <v>PC</v>
      </c>
      <c r="H1191" s="18" t="s">
        <v>3304</v>
      </c>
      <c r="I1191" s="25" t="s">
        <v>3523</v>
      </c>
    </row>
    <row r="1192" spans="1:9" ht="26.4" x14ac:dyDescent="0.25">
      <c r="A1192" s="17" t="s">
        <v>320</v>
      </c>
      <c r="B1192" s="14" t="s">
        <v>33</v>
      </c>
      <c r="C1192" s="18" t="s">
        <v>3853</v>
      </c>
      <c r="D1192" s="14" t="str">
        <f t="shared" si="89"/>
        <v>1ST-358-1191</v>
      </c>
      <c r="E1192" s="19" t="s">
        <v>1100</v>
      </c>
      <c r="F1192" s="19">
        <f t="shared" ref="F1192:F1255" si="91">VALUE(LEFT(E1192,FIND("/",E1192)-1))</f>
        <v>105</v>
      </c>
      <c r="G1192" s="19" t="str">
        <f t="shared" si="90"/>
        <v>PC</v>
      </c>
      <c r="H1192" s="18" t="s">
        <v>3305</v>
      </c>
      <c r="I1192" s="25" t="s">
        <v>3523</v>
      </c>
    </row>
    <row r="1193" spans="1:9" ht="26.4" x14ac:dyDescent="0.25">
      <c r="A1193" s="17" t="s">
        <v>320</v>
      </c>
      <c r="B1193" s="14" t="s">
        <v>34</v>
      </c>
      <c r="C1193" s="18" t="s">
        <v>2135</v>
      </c>
      <c r="D1193" s="14" t="str">
        <f t="shared" si="89"/>
        <v>1ST-358-1192</v>
      </c>
      <c r="E1193" s="18" t="s">
        <v>1484</v>
      </c>
      <c r="F1193" s="19">
        <f t="shared" si="91"/>
        <v>29</v>
      </c>
      <c r="G1193" s="19" t="str">
        <f t="shared" si="90"/>
        <v>PC</v>
      </c>
      <c r="H1193" s="18" t="s">
        <v>3306</v>
      </c>
      <c r="I1193" s="14" t="s">
        <v>441</v>
      </c>
    </row>
    <row r="1194" spans="1:9" ht="26.4" x14ac:dyDescent="0.25">
      <c r="A1194" s="17" t="s">
        <v>320</v>
      </c>
      <c r="B1194" s="14" t="s">
        <v>34</v>
      </c>
      <c r="C1194" s="18" t="s">
        <v>2136</v>
      </c>
      <c r="D1194" s="14" t="str">
        <f t="shared" si="89"/>
        <v>1ST-358-1193</v>
      </c>
      <c r="E1194" s="18" t="s">
        <v>1569</v>
      </c>
      <c r="F1194" s="19">
        <f t="shared" si="91"/>
        <v>31</v>
      </c>
      <c r="G1194" s="19" t="str">
        <f t="shared" si="90"/>
        <v>PC</v>
      </c>
      <c r="H1194" s="18" t="s">
        <v>3307</v>
      </c>
      <c r="I1194" s="14" t="s">
        <v>441</v>
      </c>
    </row>
    <row r="1195" spans="1:9" ht="26.4" x14ac:dyDescent="0.25">
      <c r="A1195" s="17" t="s">
        <v>320</v>
      </c>
      <c r="B1195" s="14" t="s">
        <v>34</v>
      </c>
      <c r="C1195" s="18" t="s">
        <v>2137</v>
      </c>
      <c r="D1195" s="14" t="str">
        <f t="shared" si="89"/>
        <v>1ST-358-1194</v>
      </c>
      <c r="E1195" s="18" t="s">
        <v>1495</v>
      </c>
      <c r="F1195" s="19">
        <f t="shared" si="91"/>
        <v>37</v>
      </c>
      <c r="G1195" s="19" t="str">
        <f t="shared" si="90"/>
        <v>PC</v>
      </c>
      <c r="H1195" s="18" t="s">
        <v>3302</v>
      </c>
      <c r="I1195" s="14" t="s">
        <v>441</v>
      </c>
    </row>
    <row r="1196" spans="1:9" ht="26.4" x14ac:dyDescent="0.25">
      <c r="A1196" s="17" t="s">
        <v>320</v>
      </c>
      <c r="B1196" s="14" t="s">
        <v>34</v>
      </c>
      <c r="C1196" s="18" t="s">
        <v>2138</v>
      </c>
      <c r="D1196" s="14" t="str">
        <f t="shared" si="89"/>
        <v>1ST-358-1195</v>
      </c>
      <c r="E1196" s="18" t="s">
        <v>642</v>
      </c>
      <c r="F1196" s="19">
        <f t="shared" si="91"/>
        <v>47</v>
      </c>
      <c r="G1196" s="19" t="str">
        <f t="shared" si="90"/>
        <v>PC</v>
      </c>
      <c r="H1196" s="18" t="s">
        <v>3303</v>
      </c>
      <c r="I1196" s="14" t="s">
        <v>441</v>
      </c>
    </row>
    <row r="1197" spans="1:9" ht="39.6" x14ac:dyDescent="0.25">
      <c r="A1197" s="17" t="s">
        <v>320</v>
      </c>
      <c r="B1197" s="14" t="s">
        <v>34</v>
      </c>
      <c r="C1197" s="18" t="s">
        <v>2139</v>
      </c>
      <c r="D1197" s="14" t="str">
        <f t="shared" si="89"/>
        <v>1ST-358-1196</v>
      </c>
      <c r="E1197" s="18" t="s">
        <v>698</v>
      </c>
      <c r="F1197" s="19">
        <f t="shared" si="91"/>
        <v>55</v>
      </c>
      <c r="G1197" s="19" t="str">
        <f t="shared" si="90"/>
        <v>PC</v>
      </c>
      <c r="H1197" s="18" t="s">
        <v>3308</v>
      </c>
      <c r="I1197" s="14" t="s">
        <v>441</v>
      </c>
    </row>
    <row r="1198" spans="1:9" ht="26.4" x14ac:dyDescent="0.25">
      <c r="A1198" s="17" t="s">
        <v>320</v>
      </c>
      <c r="B1198" s="14" t="s">
        <v>34</v>
      </c>
      <c r="C1198" s="18" t="s">
        <v>2140</v>
      </c>
      <c r="D1198" s="14" t="str">
        <f t="shared" si="89"/>
        <v>1ST-358-1197</v>
      </c>
      <c r="E1198" s="18" t="s">
        <v>685</v>
      </c>
      <c r="F1198" s="19">
        <f t="shared" si="91"/>
        <v>76</v>
      </c>
      <c r="G1198" s="19" t="str">
        <f t="shared" si="90"/>
        <v>PC</v>
      </c>
      <c r="H1198" s="18" t="s">
        <v>3309</v>
      </c>
      <c r="I1198" s="14" t="s">
        <v>441</v>
      </c>
    </row>
    <row r="1199" spans="1:9" ht="26.4" x14ac:dyDescent="0.25">
      <c r="A1199" s="17" t="s">
        <v>320</v>
      </c>
      <c r="B1199" s="14" t="s">
        <v>34</v>
      </c>
      <c r="C1199" s="18" t="s">
        <v>2141</v>
      </c>
      <c r="D1199" s="14" t="str">
        <f t="shared" si="89"/>
        <v>1ST-358-1198</v>
      </c>
      <c r="E1199" s="18" t="s">
        <v>799</v>
      </c>
      <c r="F1199" s="19">
        <f t="shared" si="91"/>
        <v>86</v>
      </c>
      <c r="G1199" s="19" t="str">
        <f t="shared" si="90"/>
        <v>PC</v>
      </c>
      <c r="H1199" s="18" t="s">
        <v>3310</v>
      </c>
      <c r="I1199" s="14" t="s">
        <v>441</v>
      </c>
    </row>
    <row r="1200" spans="1:9" ht="26.4" x14ac:dyDescent="0.25">
      <c r="A1200" s="17" t="s">
        <v>320</v>
      </c>
      <c r="B1200" s="14" t="s">
        <v>34</v>
      </c>
      <c r="C1200" s="18" t="s">
        <v>2142</v>
      </c>
      <c r="D1200" s="14" t="str">
        <f t="shared" si="89"/>
        <v>1ST-358-1199</v>
      </c>
      <c r="E1200" s="18" t="s">
        <v>687</v>
      </c>
      <c r="F1200" s="19">
        <f t="shared" si="91"/>
        <v>108</v>
      </c>
      <c r="G1200" s="19" t="str">
        <f t="shared" si="90"/>
        <v>PC</v>
      </c>
      <c r="H1200" s="18" t="s">
        <v>3311</v>
      </c>
      <c r="I1200" s="14" t="s">
        <v>441</v>
      </c>
    </row>
    <row r="1201" spans="1:9" ht="26.4" x14ac:dyDescent="0.25">
      <c r="A1201" s="17" t="s">
        <v>320</v>
      </c>
      <c r="B1201" s="14" t="s">
        <v>35</v>
      </c>
      <c r="C1201" s="18" t="s">
        <v>3854</v>
      </c>
      <c r="D1201" s="14" t="str">
        <f t="shared" si="89"/>
        <v>1ST-358-1200</v>
      </c>
      <c r="E1201" s="18" t="s">
        <v>655</v>
      </c>
      <c r="F1201" s="19">
        <f t="shared" si="91"/>
        <v>95</v>
      </c>
      <c r="G1201" s="19" t="str">
        <f t="shared" si="90"/>
        <v>PC</v>
      </c>
      <c r="H1201" s="18" t="s">
        <v>3312</v>
      </c>
      <c r="I1201" s="25" t="s">
        <v>3523</v>
      </c>
    </row>
    <row r="1202" spans="1:9" ht="26.4" x14ac:dyDescent="0.25">
      <c r="A1202" s="17" t="s">
        <v>320</v>
      </c>
      <c r="B1202" s="14" t="s">
        <v>35</v>
      </c>
      <c r="C1202" s="18" t="s">
        <v>3855</v>
      </c>
      <c r="D1202" s="14" t="str">
        <f t="shared" si="89"/>
        <v>1ST-358-1201</v>
      </c>
      <c r="E1202" s="18" t="s">
        <v>2056</v>
      </c>
      <c r="F1202" s="19">
        <f t="shared" si="91"/>
        <v>115</v>
      </c>
      <c r="G1202" s="19" t="str">
        <f t="shared" si="90"/>
        <v>PC</v>
      </c>
      <c r="H1202" s="18" t="s">
        <v>3313</v>
      </c>
      <c r="I1202" s="25" t="s">
        <v>3523</v>
      </c>
    </row>
    <row r="1203" spans="1:9" ht="26.4" x14ac:dyDescent="0.25">
      <c r="A1203" s="17" t="s">
        <v>320</v>
      </c>
      <c r="B1203" s="14" t="s">
        <v>35</v>
      </c>
      <c r="C1203" s="18" t="s">
        <v>2143</v>
      </c>
      <c r="D1203" s="14" t="str">
        <f t="shared" si="89"/>
        <v>1ST-358-1202</v>
      </c>
      <c r="E1203" s="18" t="s">
        <v>712</v>
      </c>
      <c r="F1203" s="19">
        <f t="shared" si="91"/>
        <v>135</v>
      </c>
      <c r="G1203" s="19" t="str">
        <f t="shared" si="90"/>
        <v>PC</v>
      </c>
      <c r="H1203" s="18" t="s">
        <v>3314</v>
      </c>
      <c r="I1203" s="25" t="s">
        <v>3523</v>
      </c>
    </row>
    <row r="1204" spans="1:9" ht="26.4" x14ac:dyDescent="0.25">
      <c r="A1204" s="17" t="s">
        <v>320</v>
      </c>
      <c r="B1204" s="14" t="s">
        <v>35</v>
      </c>
      <c r="C1204" s="18" t="s">
        <v>3856</v>
      </c>
      <c r="D1204" s="14" t="str">
        <f t="shared" si="89"/>
        <v>1ST-358-1203</v>
      </c>
      <c r="E1204" s="18" t="s">
        <v>1869</v>
      </c>
      <c r="F1204" s="19">
        <f t="shared" si="91"/>
        <v>185</v>
      </c>
      <c r="G1204" s="19" t="str">
        <f t="shared" si="90"/>
        <v>PC</v>
      </c>
      <c r="H1204" s="18" t="s">
        <v>3315</v>
      </c>
      <c r="I1204" s="25" t="s">
        <v>3523</v>
      </c>
    </row>
    <row r="1205" spans="1:9" ht="26.4" x14ac:dyDescent="0.25">
      <c r="A1205" s="17" t="s">
        <v>320</v>
      </c>
      <c r="B1205" s="14" t="s">
        <v>35</v>
      </c>
      <c r="C1205" s="18" t="s">
        <v>2144</v>
      </c>
      <c r="D1205" s="14" t="str">
        <f t="shared" si="89"/>
        <v>1ST-358-1204</v>
      </c>
      <c r="E1205" s="18" t="s">
        <v>2145</v>
      </c>
      <c r="F1205" s="19">
        <f t="shared" si="91"/>
        <v>254</v>
      </c>
      <c r="G1205" s="19" t="str">
        <f t="shared" si="90"/>
        <v>PC</v>
      </c>
      <c r="H1205" s="18" t="s">
        <v>3316</v>
      </c>
      <c r="I1205" s="25" t="s">
        <v>3523</v>
      </c>
    </row>
    <row r="1206" spans="1:9" ht="26.4" x14ac:dyDescent="0.25">
      <c r="A1206" s="17" t="s">
        <v>320</v>
      </c>
      <c r="B1206" s="14" t="s">
        <v>35</v>
      </c>
      <c r="C1206" s="18" t="s">
        <v>3857</v>
      </c>
      <c r="D1206" s="14" t="str">
        <f t="shared" si="89"/>
        <v>1ST-358-1205</v>
      </c>
      <c r="E1206" s="18" t="s">
        <v>506</v>
      </c>
      <c r="F1206" s="19">
        <f t="shared" si="91"/>
        <v>345</v>
      </c>
      <c r="G1206" s="19" t="str">
        <f t="shared" si="90"/>
        <v>PC</v>
      </c>
      <c r="H1206" s="18" t="s">
        <v>3317</v>
      </c>
      <c r="I1206" s="25" t="s">
        <v>3523</v>
      </c>
    </row>
    <row r="1207" spans="1:9" ht="26.4" x14ac:dyDescent="0.25">
      <c r="A1207" s="17" t="s">
        <v>320</v>
      </c>
      <c r="B1207" s="14" t="s">
        <v>35</v>
      </c>
      <c r="C1207" s="18" t="s">
        <v>2146</v>
      </c>
      <c r="D1207" s="14" t="str">
        <f t="shared" si="89"/>
        <v>1ST-358-1206</v>
      </c>
      <c r="E1207" s="18" t="s">
        <v>1132</v>
      </c>
      <c r="F1207" s="19">
        <f t="shared" si="91"/>
        <v>98</v>
      </c>
      <c r="G1207" s="19" t="str">
        <f t="shared" si="90"/>
        <v>PC</v>
      </c>
      <c r="H1207" s="18" t="s">
        <v>3318</v>
      </c>
      <c r="I1207" s="25" t="s">
        <v>3523</v>
      </c>
    </row>
    <row r="1208" spans="1:9" ht="26.4" x14ac:dyDescent="0.25">
      <c r="A1208" s="17" t="s">
        <v>320</v>
      </c>
      <c r="B1208" s="14" t="s">
        <v>35</v>
      </c>
      <c r="C1208" s="18" t="s">
        <v>2147</v>
      </c>
      <c r="D1208" s="14" t="str">
        <f t="shared" si="89"/>
        <v>1ST-358-1207</v>
      </c>
      <c r="E1208" s="18" t="s">
        <v>710</v>
      </c>
      <c r="F1208" s="19">
        <f t="shared" si="91"/>
        <v>120</v>
      </c>
      <c r="G1208" s="19" t="str">
        <f t="shared" si="90"/>
        <v>PC</v>
      </c>
      <c r="H1208" s="18" t="s">
        <v>3319</v>
      </c>
      <c r="I1208" s="25" t="s">
        <v>3523</v>
      </c>
    </row>
    <row r="1209" spans="1:9" ht="26.4" x14ac:dyDescent="0.25">
      <c r="A1209" s="17" t="s">
        <v>320</v>
      </c>
      <c r="B1209" s="14" t="s">
        <v>35</v>
      </c>
      <c r="C1209" s="18" t="s">
        <v>2148</v>
      </c>
      <c r="D1209" s="14" t="str">
        <f t="shared" si="89"/>
        <v>1ST-358-1208</v>
      </c>
      <c r="E1209" s="18" t="s">
        <v>703</v>
      </c>
      <c r="F1209" s="19">
        <f t="shared" si="91"/>
        <v>145</v>
      </c>
      <c r="G1209" s="19" t="str">
        <f t="shared" si="90"/>
        <v>PC</v>
      </c>
      <c r="H1209" s="18" t="s">
        <v>3320</v>
      </c>
      <c r="I1209" s="25" t="s">
        <v>3523</v>
      </c>
    </row>
    <row r="1210" spans="1:9" ht="26.4" x14ac:dyDescent="0.25">
      <c r="A1210" s="17" t="s">
        <v>320</v>
      </c>
      <c r="B1210" s="14" t="s">
        <v>35</v>
      </c>
      <c r="C1210" s="18" t="s">
        <v>2149</v>
      </c>
      <c r="D1210" s="14" t="str">
        <f t="shared" si="89"/>
        <v>1ST-358-1209</v>
      </c>
      <c r="E1210" s="18" t="s">
        <v>844</v>
      </c>
      <c r="F1210" s="19">
        <f t="shared" si="91"/>
        <v>195</v>
      </c>
      <c r="G1210" s="19" t="str">
        <f t="shared" si="90"/>
        <v>PC</v>
      </c>
      <c r="H1210" s="18" t="s">
        <v>3321</v>
      </c>
      <c r="I1210" s="25" t="s">
        <v>3523</v>
      </c>
    </row>
    <row r="1211" spans="1:9" ht="39.6" x14ac:dyDescent="0.25">
      <c r="A1211" s="17" t="s">
        <v>320</v>
      </c>
      <c r="B1211" s="14" t="s">
        <v>35</v>
      </c>
      <c r="C1211" s="18" t="s">
        <v>2150</v>
      </c>
      <c r="D1211" s="14" t="str">
        <f t="shared" si="89"/>
        <v>1ST-358-1210</v>
      </c>
      <c r="E1211" s="18" t="s">
        <v>504</v>
      </c>
      <c r="F1211" s="19">
        <f t="shared" si="91"/>
        <v>275</v>
      </c>
      <c r="G1211" s="19" t="str">
        <f t="shared" si="90"/>
        <v>PC</v>
      </c>
      <c r="H1211" s="18" t="s">
        <v>3322</v>
      </c>
      <c r="I1211" s="25" t="s">
        <v>3523</v>
      </c>
    </row>
    <row r="1212" spans="1:9" ht="26.4" x14ac:dyDescent="0.25">
      <c r="A1212" s="17" t="s">
        <v>320</v>
      </c>
      <c r="B1212" s="14" t="s">
        <v>35</v>
      </c>
      <c r="C1212" s="18" t="s">
        <v>2151</v>
      </c>
      <c r="D1212" s="14" t="str">
        <f t="shared" si="89"/>
        <v>1ST-358-1211</v>
      </c>
      <c r="E1212" s="18" t="s">
        <v>2152</v>
      </c>
      <c r="F1212" s="19">
        <f t="shared" si="91"/>
        <v>385</v>
      </c>
      <c r="G1212" s="19" t="str">
        <f t="shared" si="90"/>
        <v>PC</v>
      </c>
      <c r="H1212" s="18" t="s">
        <v>3323</v>
      </c>
      <c r="I1212" s="25" t="s">
        <v>3523</v>
      </c>
    </row>
    <row r="1213" spans="1:9" ht="26.4" x14ac:dyDescent="0.25">
      <c r="A1213" s="17" t="s">
        <v>320</v>
      </c>
      <c r="B1213" s="14" t="s">
        <v>36</v>
      </c>
      <c r="C1213" s="19" t="s">
        <v>2153</v>
      </c>
      <c r="D1213" s="14" t="str">
        <f t="shared" si="89"/>
        <v>1ST-358-1212</v>
      </c>
      <c r="E1213" s="19" t="s">
        <v>1539</v>
      </c>
      <c r="F1213" s="19">
        <f t="shared" si="91"/>
        <v>178</v>
      </c>
      <c r="G1213" s="19" t="str">
        <f t="shared" si="90"/>
        <v>PC</v>
      </c>
      <c r="H1213" s="18" t="s">
        <v>3324</v>
      </c>
      <c r="I1213" s="25" t="s">
        <v>3523</v>
      </c>
    </row>
    <row r="1214" spans="1:9" x14ac:dyDescent="0.25">
      <c r="A1214" s="17" t="s">
        <v>320</v>
      </c>
      <c r="B1214" s="14" t="s">
        <v>36</v>
      </c>
      <c r="C1214" s="18" t="s">
        <v>2154</v>
      </c>
      <c r="D1214" s="14" t="str">
        <f t="shared" si="89"/>
        <v>1ST-358-1213</v>
      </c>
      <c r="E1214" s="18" t="s">
        <v>2155</v>
      </c>
      <c r="F1214" s="19">
        <f t="shared" si="91"/>
        <v>218</v>
      </c>
      <c r="G1214" s="19" t="str">
        <f t="shared" si="90"/>
        <v>PC</v>
      </c>
      <c r="H1214" s="18" t="s">
        <v>2847</v>
      </c>
      <c r="I1214" s="25" t="s">
        <v>3523</v>
      </c>
    </row>
    <row r="1215" spans="1:9" x14ac:dyDescent="0.25">
      <c r="A1215" s="17" t="s">
        <v>320</v>
      </c>
      <c r="B1215" s="14" t="s">
        <v>36</v>
      </c>
      <c r="C1215" s="18" t="s">
        <v>2156</v>
      </c>
      <c r="D1215" s="14" t="str">
        <f t="shared" si="89"/>
        <v>1ST-358-1214</v>
      </c>
      <c r="E1215" s="18" t="s">
        <v>2157</v>
      </c>
      <c r="F1215" s="19">
        <f t="shared" si="91"/>
        <v>188</v>
      </c>
      <c r="G1215" s="19" t="str">
        <f t="shared" si="90"/>
        <v>PC</v>
      </c>
      <c r="H1215" s="18" t="s">
        <v>2848</v>
      </c>
      <c r="I1215" s="25" t="s">
        <v>3523</v>
      </c>
    </row>
    <row r="1216" spans="1:9" x14ac:dyDescent="0.25">
      <c r="A1216" s="17" t="s">
        <v>320</v>
      </c>
      <c r="B1216" s="14" t="s">
        <v>36</v>
      </c>
      <c r="C1216" s="18" t="s">
        <v>2158</v>
      </c>
      <c r="D1216" s="14" t="str">
        <f t="shared" si="89"/>
        <v>1ST-358-1215</v>
      </c>
      <c r="E1216" s="18" t="s">
        <v>723</v>
      </c>
      <c r="F1216" s="19">
        <f t="shared" si="91"/>
        <v>228</v>
      </c>
      <c r="G1216" s="19" t="str">
        <f t="shared" si="90"/>
        <v>PC</v>
      </c>
      <c r="H1216" s="18" t="s">
        <v>2849</v>
      </c>
      <c r="I1216" s="25" t="s">
        <v>3523</v>
      </c>
    </row>
    <row r="1217" spans="1:9" ht="26.4" x14ac:dyDescent="0.25">
      <c r="A1217" s="17" t="s">
        <v>320</v>
      </c>
      <c r="B1217" s="14" t="s">
        <v>37</v>
      </c>
      <c r="C1217" s="18" t="s">
        <v>3858</v>
      </c>
      <c r="D1217" s="14" t="str">
        <f t="shared" si="89"/>
        <v>1ST-358-1216</v>
      </c>
      <c r="E1217" s="19" t="s">
        <v>2056</v>
      </c>
      <c r="F1217" s="19">
        <f t="shared" si="91"/>
        <v>115</v>
      </c>
      <c r="G1217" s="19" t="str">
        <f t="shared" si="90"/>
        <v>PC</v>
      </c>
      <c r="H1217" s="18" t="s">
        <v>3325</v>
      </c>
      <c r="I1217" s="25" t="s">
        <v>3523</v>
      </c>
    </row>
    <row r="1218" spans="1:9" ht="26.4" x14ac:dyDescent="0.25">
      <c r="A1218" s="17" t="s">
        <v>320</v>
      </c>
      <c r="B1218" s="14" t="s">
        <v>37</v>
      </c>
      <c r="C1218" s="18" t="s">
        <v>3859</v>
      </c>
      <c r="D1218" s="14" t="str">
        <f t="shared" si="89"/>
        <v>1ST-358-1217</v>
      </c>
      <c r="E1218" s="19" t="s">
        <v>1543</v>
      </c>
      <c r="F1218" s="19">
        <f t="shared" si="91"/>
        <v>150</v>
      </c>
      <c r="G1218" s="19" t="str">
        <f t="shared" si="90"/>
        <v>PC</v>
      </c>
      <c r="H1218" s="18" t="s">
        <v>3326</v>
      </c>
      <c r="I1218" s="25" t="s">
        <v>3523</v>
      </c>
    </row>
    <row r="1219" spans="1:9" x14ac:dyDescent="0.25">
      <c r="A1219" s="17" t="s">
        <v>320</v>
      </c>
      <c r="B1219" s="14" t="s">
        <v>37</v>
      </c>
      <c r="C1219" s="18" t="s">
        <v>3860</v>
      </c>
      <c r="D1219" s="14" t="str">
        <f t="shared" si="89"/>
        <v>1ST-358-1218</v>
      </c>
      <c r="E1219" s="19" t="s">
        <v>2159</v>
      </c>
      <c r="F1219" s="19">
        <f t="shared" si="91"/>
        <v>210</v>
      </c>
      <c r="G1219" s="19" t="str">
        <f t="shared" si="90"/>
        <v>PC</v>
      </c>
      <c r="H1219" s="18" t="s">
        <v>2850</v>
      </c>
      <c r="I1219" s="25" t="s">
        <v>3523</v>
      </c>
    </row>
    <row r="1220" spans="1:9" x14ac:dyDescent="0.25">
      <c r="A1220" s="17" t="s">
        <v>320</v>
      </c>
      <c r="B1220" s="14" t="s">
        <v>37</v>
      </c>
      <c r="C1220" s="18" t="s">
        <v>3861</v>
      </c>
      <c r="D1220" s="14" t="str">
        <f t="shared" si="89"/>
        <v>1ST-358-1219</v>
      </c>
      <c r="E1220" s="19" t="s">
        <v>1753</v>
      </c>
      <c r="F1220" s="19">
        <f t="shared" si="91"/>
        <v>365</v>
      </c>
      <c r="G1220" s="19" t="str">
        <f t="shared" si="90"/>
        <v>PC</v>
      </c>
      <c r="H1220" s="18" t="s">
        <v>2851</v>
      </c>
      <c r="I1220" s="25" t="s">
        <v>3523</v>
      </c>
    </row>
    <row r="1221" spans="1:9" ht="26.4" x14ac:dyDescent="0.25">
      <c r="A1221" s="17" t="s">
        <v>320</v>
      </c>
      <c r="B1221" s="14" t="s">
        <v>38</v>
      </c>
      <c r="C1221" s="18" t="s">
        <v>3862</v>
      </c>
      <c r="D1221" s="14" t="str">
        <f t="shared" ref="D1221:D1284" si="92">LEFT($D$2,FIND("-",$D$2,FIND("-",$D$2)+1)) &amp; TEXT(RIGHT($D$2,3)+ROW(D1219),"000")</f>
        <v>1ST-358-1220</v>
      </c>
      <c r="E1221" s="18" t="s">
        <v>1100</v>
      </c>
      <c r="F1221" s="19">
        <f t="shared" si="91"/>
        <v>105</v>
      </c>
      <c r="G1221" s="19" t="str">
        <f t="shared" si="90"/>
        <v>PC</v>
      </c>
      <c r="H1221" s="18" t="s">
        <v>3327</v>
      </c>
      <c r="I1221" s="25" t="s">
        <v>3523</v>
      </c>
    </row>
    <row r="1222" spans="1:9" ht="26.4" x14ac:dyDescent="0.25">
      <c r="A1222" s="17" t="s">
        <v>320</v>
      </c>
      <c r="B1222" s="14" t="s">
        <v>38</v>
      </c>
      <c r="C1222" s="18" t="s">
        <v>2160</v>
      </c>
      <c r="D1222" s="14" t="str">
        <f t="shared" si="92"/>
        <v>1ST-358-1221</v>
      </c>
      <c r="E1222" s="18" t="s">
        <v>715</v>
      </c>
      <c r="F1222" s="19">
        <f t="shared" si="91"/>
        <v>140</v>
      </c>
      <c r="G1222" s="19" t="str">
        <f t="shared" si="90"/>
        <v>PC</v>
      </c>
      <c r="H1222" s="18" t="s">
        <v>3328</v>
      </c>
      <c r="I1222" s="25" t="s">
        <v>3523</v>
      </c>
    </row>
    <row r="1223" spans="1:9" x14ac:dyDescent="0.25">
      <c r="A1223" s="17" t="s">
        <v>320</v>
      </c>
      <c r="B1223" s="14" t="s">
        <v>38</v>
      </c>
      <c r="C1223" s="18" t="s">
        <v>2161</v>
      </c>
      <c r="D1223" s="14" t="str">
        <f t="shared" si="92"/>
        <v>1ST-358-1222</v>
      </c>
      <c r="E1223" s="18" t="s">
        <v>2162</v>
      </c>
      <c r="F1223" s="19">
        <f t="shared" si="91"/>
        <v>200</v>
      </c>
      <c r="G1223" s="19" t="str">
        <f t="shared" si="90"/>
        <v>PC</v>
      </c>
      <c r="H1223" s="18" t="s">
        <v>2852</v>
      </c>
      <c r="I1223" s="25" t="s">
        <v>3523</v>
      </c>
    </row>
    <row r="1224" spans="1:9" x14ac:dyDescent="0.25">
      <c r="A1224" s="17" t="s">
        <v>320</v>
      </c>
      <c r="B1224" s="14" t="s">
        <v>38</v>
      </c>
      <c r="C1224" s="18" t="s">
        <v>2163</v>
      </c>
      <c r="D1224" s="14" t="str">
        <f t="shared" si="92"/>
        <v>1ST-358-1223</v>
      </c>
      <c r="E1224" s="18" t="s">
        <v>2164</v>
      </c>
      <c r="F1224" s="19">
        <f t="shared" si="91"/>
        <v>350</v>
      </c>
      <c r="G1224" s="19" t="str">
        <f t="shared" si="90"/>
        <v>PC</v>
      </c>
      <c r="H1224" s="18" t="s">
        <v>2853</v>
      </c>
      <c r="I1224" s="25" t="s">
        <v>3523</v>
      </c>
    </row>
    <row r="1225" spans="1:9" ht="26.4" x14ac:dyDescent="0.25">
      <c r="A1225" s="17" t="s">
        <v>320</v>
      </c>
      <c r="B1225" s="14" t="s">
        <v>39</v>
      </c>
      <c r="C1225" s="18" t="s">
        <v>2165</v>
      </c>
      <c r="D1225" s="14" t="str">
        <f t="shared" si="92"/>
        <v>1ST-358-1224</v>
      </c>
      <c r="E1225" s="18" t="s">
        <v>2166</v>
      </c>
      <c r="F1225" s="19">
        <f t="shared" si="91"/>
        <v>80</v>
      </c>
      <c r="G1225" s="19" t="str">
        <f t="shared" si="90"/>
        <v>D.P</v>
      </c>
      <c r="H1225" s="18" t="s">
        <v>3329</v>
      </c>
      <c r="I1225" s="14" t="s">
        <v>441</v>
      </c>
    </row>
    <row r="1226" spans="1:9" ht="26.4" x14ac:dyDescent="0.25">
      <c r="A1226" s="17" t="s">
        <v>320</v>
      </c>
      <c r="B1226" s="14" t="s">
        <v>39</v>
      </c>
      <c r="C1226" s="18" t="s">
        <v>2167</v>
      </c>
      <c r="D1226" s="14" t="str">
        <f t="shared" si="92"/>
        <v>1ST-358-1225</v>
      </c>
      <c r="E1226" s="18" t="s">
        <v>2168</v>
      </c>
      <c r="F1226" s="19">
        <f t="shared" si="91"/>
        <v>90</v>
      </c>
      <c r="G1226" s="19" t="str">
        <f t="shared" ref="G1226:G1289" si="93">TRIM(MID(E1226,FIND("/",E1226)+1,LEN(E1226)))</f>
        <v>DP</v>
      </c>
      <c r="H1226" s="18" t="s">
        <v>3330</v>
      </c>
      <c r="I1226" s="14" t="s">
        <v>441</v>
      </c>
    </row>
    <row r="1227" spans="1:9" ht="26.4" x14ac:dyDescent="0.25">
      <c r="A1227" s="17" t="s">
        <v>320</v>
      </c>
      <c r="B1227" s="14" t="s">
        <v>39</v>
      </c>
      <c r="C1227" s="18" t="s">
        <v>2169</v>
      </c>
      <c r="D1227" s="14" t="str">
        <f t="shared" si="92"/>
        <v>1ST-358-1226</v>
      </c>
      <c r="E1227" s="18" t="s">
        <v>2170</v>
      </c>
      <c r="F1227" s="19">
        <f t="shared" si="91"/>
        <v>120</v>
      </c>
      <c r="G1227" s="19" t="str">
        <f t="shared" si="93"/>
        <v>DP</v>
      </c>
      <c r="H1227" s="18" t="s">
        <v>3331</v>
      </c>
      <c r="I1227" s="14" t="s">
        <v>441</v>
      </c>
    </row>
    <row r="1228" spans="1:9" ht="26.4" x14ac:dyDescent="0.25">
      <c r="A1228" s="17" t="s">
        <v>320</v>
      </c>
      <c r="B1228" s="14" t="s">
        <v>39</v>
      </c>
      <c r="C1228" s="18" t="s">
        <v>2171</v>
      </c>
      <c r="D1228" s="14" t="str">
        <f t="shared" si="92"/>
        <v>1ST-358-1227</v>
      </c>
      <c r="E1228" s="18" t="s">
        <v>2172</v>
      </c>
      <c r="F1228" s="19">
        <f t="shared" si="91"/>
        <v>170</v>
      </c>
      <c r="G1228" s="19" t="str">
        <f t="shared" si="93"/>
        <v>DP</v>
      </c>
      <c r="H1228" s="18" t="s">
        <v>3332</v>
      </c>
      <c r="I1228" s="14" t="s">
        <v>441</v>
      </c>
    </row>
    <row r="1229" spans="1:9" ht="26.4" x14ac:dyDescent="0.25">
      <c r="A1229" s="17" t="s">
        <v>320</v>
      </c>
      <c r="B1229" s="14" t="s">
        <v>39</v>
      </c>
      <c r="C1229" s="18" t="s">
        <v>2173</v>
      </c>
      <c r="D1229" s="14" t="str">
        <f t="shared" si="92"/>
        <v>1ST-358-1228</v>
      </c>
      <c r="E1229" s="18" t="s">
        <v>2174</v>
      </c>
      <c r="F1229" s="19">
        <f t="shared" si="91"/>
        <v>240</v>
      </c>
      <c r="G1229" s="19" t="str">
        <f t="shared" si="93"/>
        <v>DP</v>
      </c>
      <c r="H1229" s="18" t="s">
        <v>3333</v>
      </c>
      <c r="I1229" s="14" t="s">
        <v>441</v>
      </c>
    </row>
    <row r="1230" spans="1:9" ht="26.4" x14ac:dyDescent="0.25">
      <c r="A1230" s="17" t="s">
        <v>320</v>
      </c>
      <c r="B1230" s="14" t="s">
        <v>39</v>
      </c>
      <c r="C1230" s="18" t="s">
        <v>2175</v>
      </c>
      <c r="D1230" s="14" t="str">
        <f t="shared" si="92"/>
        <v>1ST-358-1229</v>
      </c>
      <c r="E1230" s="18" t="s">
        <v>2176</v>
      </c>
      <c r="F1230" s="19">
        <f t="shared" si="91"/>
        <v>300</v>
      </c>
      <c r="G1230" s="19" t="str">
        <f t="shared" si="93"/>
        <v>DP</v>
      </c>
      <c r="H1230" s="18" t="s">
        <v>3334</v>
      </c>
      <c r="I1230" s="14" t="s">
        <v>441</v>
      </c>
    </row>
    <row r="1231" spans="1:9" x14ac:dyDescent="0.25">
      <c r="A1231" s="17" t="s">
        <v>320</v>
      </c>
      <c r="B1231" s="14" t="s">
        <v>40</v>
      </c>
      <c r="C1231" s="19" t="s">
        <v>2177</v>
      </c>
      <c r="D1231" s="14" t="str">
        <f t="shared" si="92"/>
        <v>1ST-358-1230</v>
      </c>
      <c r="E1231" s="19" t="s">
        <v>2178</v>
      </c>
      <c r="F1231" s="19">
        <f t="shared" si="91"/>
        <v>805</v>
      </c>
      <c r="G1231" s="19" t="str">
        <f t="shared" si="93"/>
        <v>PC</v>
      </c>
      <c r="H1231" s="18" t="s">
        <v>2854</v>
      </c>
      <c r="I1231" s="25" t="s">
        <v>3523</v>
      </c>
    </row>
    <row r="1232" spans="1:9" x14ac:dyDescent="0.25">
      <c r="A1232" s="17" t="s">
        <v>320</v>
      </c>
      <c r="B1232" s="14" t="s">
        <v>40</v>
      </c>
      <c r="C1232" s="19" t="s">
        <v>3863</v>
      </c>
      <c r="D1232" s="14" t="str">
        <f t="shared" si="92"/>
        <v>1ST-358-1231</v>
      </c>
      <c r="E1232" s="19" t="s">
        <v>2179</v>
      </c>
      <c r="F1232" s="19">
        <f t="shared" si="91"/>
        <v>975</v>
      </c>
      <c r="G1232" s="19" t="str">
        <f t="shared" si="93"/>
        <v>PC</v>
      </c>
      <c r="H1232" s="18" t="s">
        <v>2855</v>
      </c>
      <c r="I1232" s="25" t="s">
        <v>3523</v>
      </c>
    </row>
    <row r="1233" spans="1:9" x14ac:dyDescent="0.25">
      <c r="A1233" s="17" t="s">
        <v>320</v>
      </c>
      <c r="B1233" s="14" t="s">
        <v>40</v>
      </c>
      <c r="C1233" s="19" t="s">
        <v>2180</v>
      </c>
      <c r="D1233" s="14" t="str">
        <f t="shared" si="92"/>
        <v>1ST-358-1232</v>
      </c>
      <c r="E1233" s="19" t="s">
        <v>2178</v>
      </c>
      <c r="F1233" s="19">
        <f t="shared" si="91"/>
        <v>805</v>
      </c>
      <c r="G1233" s="19" t="str">
        <f t="shared" si="93"/>
        <v>PC</v>
      </c>
      <c r="H1233" s="18" t="s">
        <v>2854</v>
      </c>
      <c r="I1233" s="25" t="s">
        <v>3523</v>
      </c>
    </row>
    <row r="1234" spans="1:9" x14ac:dyDescent="0.25">
      <c r="A1234" s="17" t="s">
        <v>320</v>
      </c>
      <c r="B1234" s="14" t="s">
        <v>40</v>
      </c>
      <c r="C1234" s="19" t="s">
        <v>2181</v>
      </c>
      <c r="D1234" s="14" t="str">
        <f t="shared" si="92"/>
        <v>1ST-358-1233</v>
      </c>
      <c r="E1234" s="19" t="s">
        <v>2179</v>
      </c>
      <c r="F1234" s="19">
        <f t="shared" si="91"/>
        <v>975</v>
      </c>
      <c r="G1234" s="19" t="str">
        <f t="shared" si="93"/>
        <v>PC</v>
      </c>
      <c r="H1234" s="18" t="s">
        <v>2855</v>
      </c>
      <c r="I1234" s="25" t="s">
        <v>3523</v>
      </c>
    </row>
    <row r="1235" spans="1:9" ht="26.4" x14ac:dyDescent="0.25">
      <c r="A1235" s="17" t="s">
        <v>320</v>
      </c>
      <c r="B1235" s="14" t="s">
        <v>41</v>
      </c>
      <c r="C1235" s="18" t="s">
        <v>2182</v>
      </c>
      <c r="D1235" s="14" t="str">
        <f t="shared" si="92"/>
        <v>1ST-358-1234</v>
      </c>
      <c r="E1235" s="19" t="s">
        <v>2155</v>
      </c>
      <c r="F1235" s="19">
        <f t="shared" si="91"/>
        <v>218</v>
      </c>
      <c r="G1235" s="19" t="str">
        <f t="shared" si="93"/>
        <v>PC</v>
      </c>
      <c r="H1235" s="20" t="s">
        <v>1983</v>
      </c>
      <c r="I1235" s="25" t="s">
        <v>3523</v>
      </c>
    </row>
    <row r="1236" spans="1:9" ht="26.4" x14ac:dyDescent="0.25">
      <c r="A1236" s="17" t="s">
        <v>320</v>
      </c>
      <c r="B1236" s="14" t="s">
        <v>41</v>
      </c>
      <c r="C1236" s="18" t="s">
        <v>2183</v>
      </c>
      <c r="D1236" s="14" t="str">
        <f t="shared" si="92"/>
        <v>1ST-358-1235</v>
      </c>
      <c r="E1236" s="19" t="s">
        <v>2155</v>
      </c>
      <c r="F1236" s="19">
        <f t="shared" si="91"/>
        <v>218</v>
      </c>
      <c r="G1236" s="19" t="str">
        <f t="shared" si="93"/>
        <v>PC</v>
      </c>
      <c r="H1236" s="20" t="s">
        <v>1984</v>
      </c>
      <c r="I1236" s="25" t="s">
        <v>3523</v>
      </c>
    </row>
    <row r="1237" spans="1:9" x14ac:dyDescent="0.25">
      <c r="A1237" s="17" t="s">
        <v>320</v>
      </c>
      <c r="B1237" s="14" t="s">
        <v>42</v>
      </c>
      <c r="C1237" s="18" t="s">
        <v>2184</v>
      </c>
      <c r="D1237" s="14" t="str">
        <f t="shared" si="92"/>
        <v>1ST-358-1236</v>
      </c>
      <c r="E1237" s="18" t="s">
        <v>2185</v>
      </c>
      <c r="F1237" s="19">
        <f t="shared" si="91"/>
        <v>108</v>
      </c>
      <c r="G1237" s="19" t="str">
        <f t="shared" si="93"/>
        <v>PAIR</v>
      </c>
      <c r="H1237" s="18" t="s">
        <v>2721</v>
      </c>
      <c r="I1237" s="14" t="s">
        <v>441</v>
      </c>
    </row>
    <row r="1238" spans="1:9" x14ac:dyDescent="0.25">
      <c r="A1238" s="17" t="s">
        <v>320</v>
      </c>
      <c r="B1238" s="14" t="s">
        <v>42</v>
      </c>
      <c r="C1238" s="18" t="s">
        <v>2186</v>
      </c>
      <c r="D1238" s="14" t="str">
        <f t="shared" si="92"/>
        <v>1ST-358-1237</v>
      </c>
      <c r="E1238" s="18" t="s">
        <v>2187</v>
      </c>
      <c r="F1238" s="19">
        <f t="shared" si="91"/>
        <v>119</v>
      </c>
      <c r="G1238" s="19" t="str">
        <f t="shared" si="93"/>
        <v>PAIR</v>
      </c>
      <c r="H1238" s="18" t="s">
        <v>2856</v>
      </c>
      <c r="I1238" s="14" t="s">
        <v>441</v>
      </c>
    </row>
    <row r="1239" spans="1:9" x14ac:dyDescent="0.25">
      <c r="A1239" s="17" t="s">
        <v>320</v>
      </c>
      <c r="B1239" s="14" t="s">
        <v>42</v>
      </c>
      <c r="C1239" s="18" t="s">
        <v>2188</v>
      </c>
      <c r="D1239" s="14" t="str">
        <f t="shared" si="92"/>
        <v>1ST-358-1238</v>
      </c>
      <c r="E1239" s="18" t="s">
        <v>2189</v>
      </c>
      <c r="F1239" s="19">
        <f t="shared" si="91"/>
        <v>130</v>
      </c>
      <c r="G1239" s="19" t="str">
        <f t="shared" si="93"/>
        <v>PAIR</v>
      </c>
      <c r="H1239" s="18" t="s">
        <v>2849</v>
      </c>
      <c r="I1239" s="14" t="s">
        <v>441</v>
      </c>
    </row>
    <row r="1240" spans="1:9" x14ac:dyDescent="0.25">
      <c r="A1240" s="17" t="s">
        <v>320</v>
      </c>
      <c r="B1240" s="14" t="s">
        <v>42</v>
      </c>
      <c r="C1240" s="18" t="s">
        <v>2190</v>
      </c>
      <c r="D1240" s="14" t="str">
        <f t="shared" si="92"/>
        <v>1ST-358-1239</v>
      </c>
      <c r="E1240" s="18" t="s">
        <v>2191</v>
      </c>
      <c r="F1240" s="19">
        <f t="shared" si="91"/>
        <v>141</v>
      </c>
      <c r="G1240" s="19" t="str">
        <f t="shared" si="93"/>
        <v>PAIR</v>
      </c>
      <c r="H1240" s="18" t="s">
        <v>2857</v>
      </c>
      <c r="I1240" s="14" t="s">
        <v>441</v>
      </c>
    </row>
    <row r="1241" spans="1:9" x14ac:dyDescent="0.25">
      <c r="A1241" s="17" t="s">
        <v>320</v>
      </c>
      <c r="B1241" s="14" t="s">
        <v>42</v>
      </c>
      <c r="C1241" s="18" t="s">
        <v>2192</v>
      </c>
      <c r="D1241" s="14" t="str">
        <f t="shared" si="92"/>
        <v>1ST-358-1240</v>
      </c>
      <c r="E1241" s="18" t="s">
        <v>2193</v>
      </c>
      <c r="F1241" s="19">
        <f t="shared" si="91"/>
        <v>152</v>
      </c>
      <c r="G1241" s="19" t="str">
        <f t="shared" si="93"/>
        <v>PAIR</v>
      </c>
      <c r="H1241" s="18" t="s">
        <v>2858</v>
      </c>
      <c r="I1241" s="14" t="s">
        <v>441</v>
      </c>
    </row>
    <row r="1242" spans="1:9" x14ac:dyDescent="0.25">
      <c r="A1242" s="17" t="s">
        <v>320</v>
      </c>
      <c r="B1242" s="14" t="s">
        <v>42</v>
      </c>
      <c r="C1242" s="18" t="s">
        <v>2194</v>
      </c>
      <c r="D1242" s="14" t="str">
        <f t="shared" si="92"/>
        <v>1ST-358-1241</v>
      </c>
      <c r="E1242" s="18" t="s">
        <v>2195</v>
      </c>
      <c r="F1242" s="19">
        <f t="shared" si="91"/>
        <v>163</v>
      </c>
      <c r="G1242" s="19" t="str">
        <f t="shared" si="93"/>
        <v>PAIR</v>
      </c>
      <c r="H1242" s="18" t="s">
        <v>2859</v>
      </c>
      <c r="I1242" s="14" t="s">
        <v>441</v>
      </c>
    </row>
    <row r="1243" spans="1:9" x14ac:dyDescent="0.25">
      <c r="A1243" s="17" t="s">
        <v>320</v>
      </c>
      <c r="B1243" s="14" t="s">
        <v>42</v>
      </c>
      <c r="C1243" s="18" t="s">
        <v>2196</v>
      </c>
      <c r="D1243" s="14" t="str">
        <f t="shared" si="92"/>
        <v>1ST-358-1242</v>
      </c>
      <c r="E1243" s="18" t="s">
        <v>2197</v>
      </c>
      <c r="F1243" s="19">
        <f t="shared" si="91"/>
        <v>172</v>
      </c>
      <c r="G1243" s="19" t="str">
        <f t="shared" si="93"/>
        <v>PAIR</v>
      </c>
      <c r="H1243" s="18" t="s">
        <v>2860</v>
      </c>
      <c r="I1243" s="14" t="s">
        <v>441</v>
      </c>
    </row>
    <row r="1244" spans="1:9" x14ac:dyDescent="0.25">
      <c r="A1244" s="17" t="s">
        <v>320</v>
      </c>
      <c r="B1244" s="14" t="s">
        <v>43</v>
      </c>
      <c r="C1244" s="18" t="s">
        <v>2198</v>
      </c>
      <c r="D1244" s="14" t="str">
        <f t="shared" si="92"/>
        <v>1ST-358-1243</v>
      </c>
      <c r="E1244" s="18" t="s">
        <v>2199</v>
      </c>
      <c r="F1244" s="19">
        <f t="shared" si="91"/>
        <v>202</v>
      </c>
      <c r="G1244" s="19" t="str">
        <f t="shared" si="93"/>
        <v>PAIR</v>
      </c>
      <c r="H1244" s="18" t="s">
        <v>2721</v>
      </c>
      <c r="I1244" s="25" t="s">
        <v>3523</v>
      </c>
    </row>
    <row r="1245" spans="1:9" x14ac:dyDescent="0.25">
      <c r="A1245" s="17" t="s">
        <v>320</v>
      </c>
      <c r="B1245" s="14" t="s">
        <v>43</v>
      </c>
      <c r="C1245" s="18" t="s">
        <v>2200</v>
      </c>
      <c r="D1245" s="14" t="str">
        <f t="shared" si="92"/>
        <v>1ST-358-1244</v>
      </c>
      <c r="E1245" s="18" t="s">
        <v>2201</v>
      </c>
      <c r="F1245" s="19">
        <f t="shared" si="91"/>
        <v>222</v>
      </c>
      <c r="G1245" s="19" t="str">
        <f t="shared" si="93"/>
        <v>PAIR</v>
      </c>
      <c r="H1245" s="18" t="s">
        <v>2856</v>
      </c>
      <c r="I1245" s="25" t="s">
        <v>3523</v>
      </c>
    </row>
    <row r="1246" spans="1:9" x14ac:dyDescent="0.25">
      <c r="A1246" s="17" t="s">
        <v>320</v>
      </c>
      <c r="B1246" s="14" t="s">
        <v>43</v>
      </c>
      <c r="C1246" s="18" t="s">
        <v>2202</v>
      </c>
      <c r="D1246" s="14" t="str">
        <f t="shared" si="92"/>
        <v>1ST-358-1245</v>
      </c>
      <c r="E1246" s="18" t="s">
        <v>2203</v>
      </c>
      <c r="F1246" s="19">
        <f t="shared" si="91"/>
        <v>242</v>
      </c>
      <c r="G1246" s="19" t="str">
        <f t="shared" si="93"/>
        <v>PAIR</v>
      </c>
      <c r="H1246" s="18" t="s">
        <v>2849</v>
      </c>
      <c r="I1246" s="25" t="s">
        <v>3523</v>
      </c>
    </row>
    <row r="1247" spans="1:9" x14ac:dyDescent="0.25">
      <c r="A1247" s="17" t="s">
        <v>320</v>
      </c>
      <c r="B1247" s="14" t="s">
        <v>43</v>
      </c>
      <c r="C1247" s="18" t="s">
        <v>2204</v>
      </c>
      <c r="D1247" s="14" t="str">
        <f t="shared" si="92"/>
        <v>1ST-358-1246</v>
      </c>
      <c r="E1247" s="18" t="s">
        <v>2205</v>
      </c>
      <c r="F1247" s="19">
        <f t="shared" si="91"/>
        <v>262</v>
      </c>
      <c r="G1247" s="19" t="str">
        <f t="shared" si="93"/>
        <v>PAIR</v>
      </c>
      <c r="H1247" s="18" t="s">
        <v>2857</v>
      </c>
      <c r="I1247" s="25" t="s">
        <v>3523</v>
      </c>
    </row>
    <row r="1248" spans="1:9" x14ac:dyDescent="0.25">
      <c r="A1248" s="17" t="s">
        <v>320</v>
      </c>
      <c r="B1248" s="14" t="s">
        <v>43</v>
      </c>
      <c r="C1248" s="18" t="s">
        <v>2206</v>
      </c>
      <c r="D1248" s="14" t="str">
        <f t="shared" si="92"/>
        <v>1ST-358-1247</v>
      </c>
      <c r="E1248" s="18" t="s">
        <v>2207</v>
      </c>
      <c r="F1248" s="19">
        <f t="shared" si="91"/>
        <v>284</v>
      </c>
      <c r="G1248" s="19" t="str">
        <f t="shared" si="93"/>
        <v>PAIR</v>
      </c>
      <c r="H1248" s="18" t="s">
        <v>2858</v>
      </c>
      <c r="I1248" s="25" t="s">
        <v>3523</v>
      </c>
    </row>
    <row r="1249" spans="1:9" x14ac:dyDescent="0.25">
      <c r="A1249" s="17" t="s">
        <v>320</v>
      </c>
      <c r="B1249" s="14" t="s">
        <v>43</v>
      </c>
      <c r="C1249" s="18" t="s">
        <v>2208</v>
      </c>
      <c r="D1249" s="14" t="str">
        <f t="shared" si="92"/>
        <v>1ST-358-1248</v>
      </c>
      <c r="E1249" s="18" t="s">
        <v>2209</v>
      </c>
      <c r="F1249" s="19">
        <f t="shared" si="91"/>
        <v>302</v>
      </c>
      <c r="G1249" s="19" t="str">
        <f t="shared" si="93"/>
        <v>PAIR</v>
      </c>
      <c r="H1249" s="18" t="s">
        <v>2859</v>
      </c>
      <c r="I1249" s="25" t="s">
        <v>3523</v>
      </c>
    </row>
    <row r="1250" spans="1:9" ht="26.4" x14ac:dyDescent="0.25">
      <c r="A1250" s="17" t="s">
        <v>320</v>
      </c>
      <c r="B1250" s="14" t="s">
        <v>44</v>
      </c>
      <c r="C1250" s="18" t="s">
        <v>2210</v>
      </c>
      <c r="D1250" s="14" t="str">
        <f t="shared" si="92"/>
        <v>1ST-358-1249</v>
      </c>
      <c r="E1250" s="18" t="s">
        <v>2211</v>
      </c>
      <c r="F1250" s="19">
        <f t="shared" si="91"/>
        <v>84</v>
      </c>
      <c r="G1250" s="19" t="str">
        <f t="shared" si="93"/>
        <v>PAIR</v>
      </c>
      <c r="H1250" s="20" t="s">
        <v>1985</v>
      </c>
      <c r="I1250" s="25" t="s">
        <v>3523</v>
      </c>
    </row>
    <row r="1251" spans="1:9" ht="26.4" x14ac:dyDescent="0.25">
      <c r="A1251" s="17" t="s">
        <v>320</v>
      </c>
      <c r="B1251" s="14" t="s">
        <v>44</v>
      </c>
      <c r="C1251" s="18" t="s">
        <v>2212</v>
      </c>
      <c r="D1251" s="14" t="str">
        <f t="shared" si="92"/>
        <v>1ST-358-1250</v>
      </c>
      <c r="E1251" s="18" t="s">
        <v>2213</v>
      </c>
      <c r="F1251" s="19">
        <f t="shared" si="91"/>
        <v>102</v>
      </c>
      <c r="G1251" s="19" t="str">
        <f t="shared" si="93"/>
        <v>PAIR</v>
      </c>
      <c r="H1251" s="20" t="s">
        <v>1985</v>
      </c>
      <c r="I1251" s="25" t="s">
        <v>3523</v>
      </c>
    </row>
    <row r="1252" spans="1:9" ht="26.4" x14ac:dyDescent="0.25">
      <c r="A1252" s="17" t="s">
        <v>320</v>
      </c>
      <c r="B1252" s="14" t="s">
        <v>44</v>
      </c>
      <c r="C1252" s="18" t="s">
        <v>2214</v>
      </c>
      <c r="D1252" s="14" t="str">
        <f t="shared" si="92"/>
        <v>1ST-358-1251</v>
      </c>
      <c r="E1252" s="18" t="s">
        <v>2215</v>
      </c>
      <c r="F1252" s="19">
        <f t="shared" si="91"/>
        <v>116</v>
      </c>
      <c r="G1252" s="19" t="str">
        <f t="shared" si="93"/>
        <v>PAIR</v>
      </c>
      <c r="H1252" s="20" t="s">
        <v>1985</v>
      </c>
      <c r="I1252" s="25" t="s">
        <v>3523</v>
      </c>
    </row>
    <row r="1253" spans="1:9" ht="26.4" x14ac:dyDescent="0.25">
      <c r="A1253" s="17" t="s">
        <v>320</v>
      </c>
      <c r="B1253" s="14" t="s">
        <v>44</v>
      </c>
      <c r="C1253" s="18" t="s">
        <v>2216</v>
      </c>
      <c r="D1253" s="14" t="str">
        <f t="shared" si="92"/>
        <v>1ST-358-1252</v>
      </c>
      <c r="E1253" s="18" t="s">
        <v>2217</v>
      </c>
      <c r="F1253" s="19">
        <f t="shared" si="91"/>
        <v>132</v>
      </c>
      <c r="G1253" s="19" t="str">
        <f t="shared" si="93"/>
        <v>PAIR</v>
      </c>
      <c r="H1253" s="20" t="s">
        <v>1985</v>
      </c>
      <c r="I1253" s="25" t="s">
        <v>3523</v>
      </c>
    </row>
    <row r="1254" spans="1:9" ht="26.4" x14ac:dyDescent="0.25">
      <c r="A1254" s="17" t="s">
        <v>320</v>
      </c>
      <c r="B1254" s="14" t="s">
        <v>44</v>
      </c>
      <c r="C1254" s="18" t="s">
        <v>2218</v>
      </c>
      <c r="D1254" s="14" t="str">
        <f t="shared" si="92"/>
        <v>1ST-358-1253</v>
      </c>
      <c r="E1254" s="18" t="s">
        <v>2219</v>
      </c>
      <c r="F1254" s="19">
        <f t="shared" si="91"/>
        <v>148</v>
      </c>
      <c r="G1254" s="19" t="str">
        <f t="shared" si="93"/>
        <v>PAIR</v>
      </c>
      <c r="H1254" s="20" t="s">
        <v>1985</v>
      </c>
      <c r="I1254" s="25" t="s">
        <v>3523</v>
      </c>
    </row>
    <row r="1255" spans="1:9" ht="26.4" x14ac:dyDescent="0.25">
      <c r="A1255" s="17" t="s">
        <v>320</v>
      </c>
      <c r="B1255" s="14" t="s">
        <v>44</v>
      </c>
      <c r="C1255" s="18" t="s">
        <v>2220</v>
      </c>
      <c r="D1255" s="14" t="str">
        <f t="shared" si="92"/>
        <v>1ST-358-1254</v>
      </c>
      <c r="E1255" s="18" t="s">
        <v>2221</v>
      </c>
      <c r="F1255" s="19">
        <f t="shared" si="91"/>
        <v>162</v>
      </c>
      <c r="G1255" s="19" t="str">
        <f t="shared" si="93"/>
        <v>PAIR</v>
      </c>
      <c r="H1255" s="20" t="s">
        <v>1985</v>
      </c>
      <c r="I1255" s="25" t="s">
        <v>3523</v>
      </c>
    </row>
    <row r="1256" spans="1:9" ht="26.4" x14ac:dyDescent="0.25">
      <c r="A1256" s="17" t="s">
        <v>320</v>
      </c>
      <c r="B1256" s="14" t="s">
        <v>44</v>
      </c>
      <c r="C1256" s="18" t="s">
        <v>2222</v>
      </c>
      <c r="D1256" s="14" t="str">
        <f t="shared" si="92"/>
        <v>1ST-358-1255</v>
      </c>
      <c r="E1256" s="18" t="s">
        <v>2223</v>
      </c>
      <c r="F1256" s="19">
        <f t="shared" ref="F1256:F1319" si="94">VALUE(LEFT(E1256,FIND("/",E1256)-1))</f>
        <v>178</v>
      </c>
      <c r="G1256" s="19" t="str">
        <f t="shared" si="93"/>
        <v>PAIR</v>
      </c>
      <c r="H1256" s="20" t="s">
        <v>1985</v>
      </c>
      <c r="I1256" s="25" t="s">
        <v>3523</v>
      </c>
    </row>
    <row r="1257" spans="1:9" ht="26.4" x14ac:dyDescent="0.25">
      <c r="A1257" s="17" t="s">
        <v>320</v>
      </c>
      <c r="B1257" s="14" t="s">
        <v>44</v>
      </c>
      <c r="C1257" s="18" t="s">
        <v>2224</v>
      </c>
      <c r="D1257" s="14" t="str">
        <f t="shared" si="92"/>
        <v>1ST-358-1256</v>
      </c>
      <c r="E1257" s="19" t="s">
        <v>2213</v>
      </c>
      <c r="F1257" s="19">
        <f t="shared" si="94"/>
        <v>102</v>
      </c>
      <c r="G1257" s="19" t="str">
        <f t="shared" si="93"/>
        <v>PAIR</v>
      </c>
      <c r="H1257" s="20" t="s">
        <v>1985</v>
      </c>
      <c r="I1257" s="14" t="s">
        <v>441</v>
      </c>
    </row>
    <row r="1258" spans="1:9" ht="26.4" x14ac:dyDescent="0.25">
      <c r="A1258" s="17" t="s">
        <v>320</v>
      </c>
      <c r="B1258" s="14" t="s">
        <v>44</v>
      </c>
      <c r="C1258" s="18" t="s">
        <v>3864</v>
      </c>
      <c r="D1258" s="14" t="str">
        <f t="shared" si="92"/>
        <v>1ST-358-1257</v>
      </c>
      <c r="E1258" s="18" t="s">
        <v>2225</v>
      </c>
      <c r="F1258" s="19">
        <f t="shared" si="94"/>
        <v>44</v>
      </c>
      <c r="G1258" s="19" t="str">
        <f t="shared" si="93"/>
        <v>PAIR</v>
      </c>
      <c r="H1258" s="20" t="s">
        <v>1985</v>
      </c>
      <c r="I1258" s="14" t="s">
        <v>441</v>
      </c>
    </row>
    <row r="1259" spans="1:9" ht="26.4" x14ac:dyDescent="0.25">
      <c r="A1259" s="17" t="s">
        <v>320</v>
      </c>
      <c r="B1259" s="14" t="s">
        <v>44</v>
      </c>
      <c r="C1259" s="18" t="s">
        <v>3865</v>
      </c>
      <c r="D1259" s="14" t="str">
        <f t="shared" si="92"/>
        <v>1ST-358-1258</v>
      </c>
      <c r="E1259" s="18" t="s">
        <v>2226</v>
      </c>
      <c r="F1259" s="19">
        <f t="shared" si="94"/>
        <v>52</v>
      </c>
      <c r="G1259" s="19" t="str">
        <f t="shared" si="93"/>
        <v>PAIR</v>
      </c>
      <c r="H1259" s="20" t="s">
        <v>1985</v>
      </c>
      <c r="I1259" s="14" t="s">
        <v>441</v>
      </c>
    </row>
    <row r="1260" spans="1:9" ht="26.4" x14ac:dyDescent="0.25">
      <c r="A1260" s="17" t="s">
        <v>320</v>
      </c>
      <c r="B1260" s="14" t="s">
        <v>44</v>
      </c>
      <c r="C1260" s="18" t="s">
        <v>3866</v>
      </c>
      <c r="D1260" s="14" t="str">
        <f t="shared" si="92"/>
        <v>1ST-358-1259</v>
      </c>
      <c r="E1260" s="18" t="s">
        <v>2227</v>
      </c>
      <c r="F1260" s="19">
        <f t="shared" si="94"/>
        <v>60</v>
      </c>
      <c r="G1260" s="19" t="str">
        <f t="shared" si="93"/>
        <v>PAIRS</v>
      </c>
      <c r="H1260" s="20" t="s">
        <v>1985</v>
      </c>
      <c r="I1260" s="14" t="s">
        <v>441</v>
      </c>
    </row>
    <row r="1261" spans="1:9" ht="26.4" x14ac:dyDescent="0.25">
      <c r="A1261" s="17" t="s">
        <v>320</v>
      </c>
      <c r="B1261" s="14" t="s">
        <v>44</v>
      </c>
      <c r="C1261" s="18" t="s">
        <v>3867</v>
      </c>
      <c r="D1261" s="14" t="str">
        <f t="shared" si="92"/>
        <v>1ST-358-1260</v>
      </c>
      <c r="E1261" s="18" t="s">
        <v>2228</v>
      </c>
      <c r="F1261" s="19">
        <f t="shared" si="94"/>
        <v>68</v>
      </c>
      <c r="G1261" s="19" t="str">
        <f t="shared" si="93"/>
        <v>PAIR</v>
      </c>
      <c r="H1261" s="20" t="s">
        <v>1985</v>
      </c>
      <c r="I1261" s="14" t="s">
        <v>441</v>
      </c>
    </row>
    <row r="1262" spans="1:9" ht="26.4" x14ac:dyDescent="0.25">
      <c r="A1262" s="17" t="s">
        <v>320</v>
      </c>
      <c r="B1262" s="14" t="s">
        <v>44</v>
      </c>
      <c r="C1262" s="18" t="s">
        <v>3868</v>
      </c>
      <c r="D1262" s="14" t="str">
        <f t="shared" si="92"/>
        <v>1ST-358-1261</v>
      </c>
      <c r="E1262" s="18" t="s">
        <v>2229</v>
      </c>
      <c r="F1262" s="19">
        <f t="shared" si="94"/>
        <v>76</v>
      </c>
      <c r="G1262" s="19" t="str">
        <f t="shared" si="93"/>
        <v>PAIR</v>
      </c>
      <c r="H1262" s="20" t="s">
        <v>1985</v>
      </c>
      <c r="I1262" s="14" t="s">
        <v>441</v>
      </c>
    </row>
    <row r="1263" spans="1:9" ht="26.4" x14ac:dyDescent="0.25">
      <c r="A1263" s="17" t="s">
        <v>320</v>
      </c>
      <c r="B1263" s="14" t="s">
        <v>44</v>
      </c>
      <c r="C1263" s="18" t="s">
        <v>3869</v>
      </c>
      <c r="D1263" s="14" t="str">
        <f t="shared" si="92"/>
        <v>1ST-358-1262</v>
      </c>
      <c r="E1263" s="18" t="s">
        <v>2211</v>
      </c>
      <c r="F1263" s="19">
        <f t="shared" si="94"/>
        <v>84</v>
      </c>
      <c r="G1263" s="19" t="str">
        <f t="shared" si="93"/>
        <v>PAIR</v>
      </c>
      <c r="H1263" s="20" t="s">
        <v>1985</v>
      </c>
      <c r="I1263" s="14" t="s">
        <v>441</v>
      </c>
    </row>
    <row r="1264" spans="1:9" ht="26.4" x14ac:dyDescent="0.25">
      <c r="A1264" s="17" t="s">
        <v>320</v>
      </c>
      <c r="B1264" s="14" t="s">
        <v>44</v>
      </c>
      <c r="C1264" s="18" t="s">
        <v>3870</v>
      </c>
      <c r="D1264" s="14" t="str">
        <f t="shared" si="92"/>
        <v>1ST-358-1263</v>
      </c>
      <c r="E1264" s="18" t="s">
        <v>2230</v>
      </c>
      <c r="F1264" s="19">
        <f t="shared" si="94"/>
        <v>92</v>
      </c>
      <c r="G1264" s="19" t="str">
        <f t="shared" si="93"/>
        <v>PAIR</v>
      </c>
      <c r="H1264" s="20" t="s">
        <v>1985</v>
      </c>
      <c r="I1264" s="14" t="s">
        <v>441</v>
      </c>
    </row>
    <row r="1265" spans="1:9" ht="26.4" x14ac:dyDescent="0.25">
      <c r="A1265" s="17" t="s">
        <v>320</v>
      </c>
      <c r="B1265" s="14" t="s">
        <v>45</v>
      </c>
      <c r="C1265" s="18" t="s">
        <v>2231</v>
      </c>
      <c r="D1265" s="14" t="str">
        <f t="shared" si="92"/>
        <v>1ST-358-1264</v>
      </c>
      <c r="E1265" s="19" t="s">
        <v>2232</v>
      </c>
      <c r="F1265" s="19">
        <f t="shared" si="94"/>
        <v>4.0999999999999996</v>
      </c>
      <c r="G1265" s="19" t="str">
        <f t="shared" si="93"/>
        <v>PC</v>
      </c>
      <c r="H1265" s="18" t="s">
        <v>3335</v>
      </c>
      <c r="I1265" s="14" t="s">
        <v>441</v>
      </c>
    </row>
    <row r="1266" spans="1:9" ht="26.4" x14ac:dyDescent="0.25">
      <c r="A1266" s="17" t="s">
        <v>320</v>
      </c>
      <c r="B1266" s="14" t="s">
        <v>45</v>
      </c>
      <c r="C1266" s="18" t="s">
        <v>2233</v>
      </c>
      <c r="D1266" s="14" t="str">
        <f t="shared" si="92"/>
        <v>1ST-358-1265</v>
      </c>
      <c r="E1266" s="19" t="s">
        <v>2234</v>
      </c>
      <c r="F1266" s="19">
        <f t="shared" si="94"/>
        <v>5.2</v>
      </c>
      <c r="G1266" s="19" t="str">
        <f t="shared" si="93"/>
        <v>PC</v>
      </c>
      <c r="H1266" s="18" t="s">
        <v>3336</v>
      </c>
      <c r="I1266" s="14" t="s">
        <v>441</v>
      </c>
    </row>
    <row r="1267" spans="1:9" ht="26.4" x14ac:dyDescent="0.25">
      <c r="A1267" s="17" t="s">
        <v>320</v>
      </c>
      <c r="B1267" s="14" t="s">
        <v>45</v>
      </c>
      <c r="C1267" s="18" t="s">
        <v>2235</v>
      </c>
      <c r="D1267" s="14" t="str">
        <f t="shared" si="92"/>
        <v>1ST-358-1266</v>
      </c>
      <c r="E1267" s="19" t="s">
        <v>1640</v>
      </c>
      <c r="F1267" s="19">
        <f t="shared" si="94"/>
        <v>7</v>
      </c>
      <c r="G1267" s="19" t="str">
        <f t="shared" si="93"/>
        <v>PC</v>
      </c>
      <c r="H1267" s="18" t="s">
        <v>3337</v>
      </c>
      <c r="I1267" s="14" t="s">
        <v>441</v>
      </c>
    </row>
    <row r="1268" spans="1:9" ht="26.4" x14ac:dyDescent="0.25">
      <c r="A1268" s="17" t="s">
        <v>320</v>
      </c>
      <c r="B1268" s="14" t="s">
        <v>45</v>
      </c>
      <c r="C1268" s="18" t="s">
        <v>2236</v>
      </c>
      <c r="D1268" s="14" t="str">
        <f t="shared" si="92"/>
        <v>1ST-358-1267</v>
      </c>
      <c r="E1268" s="19" t="s">
        <v>969</v>
      </c>
      <c r="F1268" s="19">
        <f t="shared" si="94"/>
        <v>11</v>
      </c>
      <c r="G1268" s="19" t="str">
        <f t="shared" si="93"/>
        <v>PC</v>
      </c>
      <c r="H1268" s="18" t="s">
        <v>3338</v>
      </c>
      <c r="I1268" s="14" t="s">
        <v>441</v>
      </c>
    </row>
    <row r="1269" spans="1:9" ht="26.4" x14ac:dyDescent="0.25">
      <c r="A1269" s="17" t="s">
        <v>320</v>
      </c>
      <c r="B1269" s="14" t="s">
        <v>45</v>
      </c>
      <c r="C1269" s="18" t="s">
        <v>2237</v>
      </c>
      <c r="D1269" s="14" t="str">
        <f t="shared" si="92"/>
        <v>1ST-358-1268</v>
      </c>
      <c r="E1269" s="19" t="s">
        <v>2238</v>
      </c>
      <c r="F1269" s="19">
        <f t="shared" si="94"/>
        <v>12.1</v>
      </c>
      <c r="G1269" s="19" t="str">
        <f t="shared" si="93"/>
        <v>PC</v>
      </c>
      <c r="H1269" s="18" t="s">
        <v>3339</v>
      </c>
      <c r="I1269" s="14" t="s">
        <v>441</v>
      </c>
    </row>
    <row r="1270" spans="1:9" ht="26.4" x14ac:dyDescent="0.25">
      <c r="A1270" s="17" t="s">
        <v>320</v>
      </c>
      <c r="B1270" s="14" t="s">
        <v>45</v>
      </c>
      <c r="C1270" s="18" t="s">
        <v>2239</v>
      </c>
      <c r="D1270" s="14" t="str">
        <f t="shared" si="92"/>
        <v>1ST-358-1269</v>
      </c>
      <c r="E1270" s="19" t="s">
        <v>2240</v>
      </c>
      <c r="F1270" s="19">
        <f t="shared" si="94"/>
        <v>19.8</v>
      </c>
      <c r="G1270" s="19" t="str">
        <f t="shared" si="93"/>
        <v>PC</v>
      </c>
      <c r="H1270" s="18" t="s">
        <v>3340</v>
      </c>
      <c r="I1270" s="14" t="s">
        <v>441</v>
      </c>
    </row>
    <row r="1271" spans="1:9" ht="26.4" x14ac:dyDescent="0.25">
      <c r="A1271" s="17" t="s">
        <v>320</v>
      </c>
      <c r="B1271" s="14" t="s">
        <v>45</v>
      </c>
      <c r="C1271" s="18" t="s">
        <v>2241</v>
      </c>
      <c r="D1271" s="14" t="str">
        <f t="shared" si="92"/>
        <v>1ST-358-1270</v>
      </c>
      <c r="E1271" s="19" t="s">
        <v>1575</v>
      </c>
      <c r="F1271" s="19">
        <f t="shared" si="94"/>
        <v>22</v>
      </c>
      <c r="G1271" s="19" t="str">
        <f t="shared" si="93"/>
        <v>PC</v>
      </c>
      <c r="H1271" s="18" t="s">
        <v>3341</v>
      </c>
      <c r="I1271" s="14" t="s">
        <v>441</v>
      </c>
    </row>
    <row r="1272" spans="1:9" ht="26.4" x14ac:dyDescent="0.25">
      <c r="A1272" s="17" t="s">
        <v>320</v>
      </c>
      <c r="B1272" s="14" t="s">
        <v>45</v>
      </c>
      <c r="C1272" s="18" t="s">
        <v>2242</v>
      </c>
      <c r="D1272" s="14" t="str">
        <f t="shared" si="92"/>
        <v>1ST-358-1271</v>
      </c>
      <c r="E1272" s="19" t="s">
        <v>694</v>
      </c>
      <c r="F1272" s="19">
        <f t="shared" si="94"/>
        <v>70</v>
      </c>
      <c r="G1272" s="19" t="str">
        <f t="shared" si="93"/>
        <v>PC</v>
      </c>
      <c r="H1272" s="18" t="s">
        <v>3342</v>
      </c>
      <c r="I1272" s="14" t="s">
        <v>441</v>
      </c>
    </row>
    <row r="1273" spans="1:9" ht="26.4" x14ac:dyDescent="0.25">
      <c r="A1273" s="17" t="s">
        <v>320</v>
      </c>
      <c r="B1273" s="14" t="s">
        <v>46</v>
      </c>
      <c r="C1273" s="18" t="s">
        <v>2243</v>
      </c>
      <c r="D1273" s="14" t="str">
        <f t="shared" si="92"/>
        <v>1ST-358-1272</v>
      </c>
      <c r="E1273" s="19" t="s">
        <v>2244</v>
      </c>
      <c r="F1273" s="19">
        <f t="shared" si="94"/>
        <v>100</v>
      </c>
      <c r="G1273" s="19" t="str">
        <f t="shared" si="93"/>
        <v>PAIR</v>
      </c>
      <c r="H1273" s="20" t="s">
        <v>1986</v>
      </c>
      <c r="I1273" s="25" t="s">
        <v>3523</v>
      </c>
    </row>
    <row r="1274" spans="1:9" ht="26.4" x14ac:dyDescent="0.25">
      <c r="A1274" s="17" t="s">
        <v>320</v>
      </c>
      <c r="B1274" s="14" t="s">
        <v>46</v>
      </c>
      <c r="C1274" s="18" t="s">
        <v>2245</v>
      </c>
      <c r="D1274" s="14" t="str">
        <f t="shared" si="92"/>
        <v>1ST-358-1273</v>
      </c>
      <c r="E1274" s="19" t="s">
        <v>2244</v>
      </c>
      <c r="F1274" s="19">
        <f t="shared" si="94"/>
        <v>100</v>
      </c>
      <c r="G1274" s="19" t="str">
        <f t="shared" si="93"/>
        <v>PAIR</v>
      </c>
      <c r="H1274" s="20" t="s">
        <v>1986</v>
      </c>
      <c r="I1274" s="25" t="s">
        <v>3523</v>
      </c>
    </row>
    <row r="1275" spans="1:9" ht="26.4" x14ac:dyDescent="0.25">
      <c r="A1275" s="17" t="s">
        <v>320</v>
      </c>
      <c r="B1275" s="14" t="s">
        <v>46</v>
      </c>
      <c r="C1275" s="18" t="s">
        <v>2246</v>
      </c>
      <c r="D1275" s="14" t="str">
        <f t="shared" si="92"/>
        <v>1ST-358-1274</v>
      </c>
      <c r="E1275" s="19" t="s">
        <v>2244</v>
      </c>
      <c r="F1275" s="19">
        <f t="shared" si="94"/>
        <v>100</v>
      </c>
      <c r="G1275" s="19" t="str">
        <f t="shared" si="93"/>
        <v>PAIR</v>
      </c>
      <c r="H1275" s="20" t="s">
        <v>1986</v>
      </c>
      <c r="I1275" s="25" t="s">
        <v>3523</v>
      </c>
    </row>
    <row r="1276" spans="1:9" ht="52.8" x14ac:dyDescent="0.25">
      <c r="A1276" s="17" t="s">
        <v>320</v>
      </c>
      <c r="B1276" s="14" t="s">
        <v>47</v>
      </c>
      <c r="C1276" s="18" t="s">
        <v>2247</v>
      </c>
      <c r="D1276" s="14" t="str">
        <f t="shared" si="92"/>
        <v>1ST-358-1275</v>
      </c>
      <c r="E1276" s="18" t="s">
        <v>963</v>
      </c>
      <c r="F1276" s="19">
        <f t="shared" si="94"/>
        <v>8.5</v>
      </c>
      <c r="G1276" s="19" t="str">
        <f t="shared" si="93"/>
        <v>PC</v>
      </c>
      <c r="H1276" s="20" t="s">
        <v>1987</v>
      </c>
      <c r="I1276" s="14" t="s">
        <v>441</v>
      </c>
    </row>
    <row r="1277" spans="1:9" ht="52.8" x14ac:dyDescent="0.25">
      <c r="A1277" s="17" t="s">
        <v>320</v>
      </c>
      <c r="B1277" s="14" t="s">
        <v>47</v>
      </c>
      <c r="C1277" s="18" t="s">
        <v>2248</v>
      </c>
      <c r="D1277" s="14" t="str">
        <f t="shared" si="92"/>
        <v>1ST-358-1276</v>
      </c>
      <c r="E1277" s="18" t="s">
        <v>963</v>
      </c>
      <c r="F1277" s="19">
        <f t="shared" si="94"/>
        <v>8.5</v>
      </c>
      <c r="G1277" s="19" t="str">
        <f t="shared" si="93"/>
        <v>PC</v>
      </c>
      <c r="H1277" s="20" t="s">
        <v>1987</v>
      </c>
      <c r="I1277" s="14" t="s">
        <v>441</v>
      </c>
    </row>
    <row r="1278" spans="1:9" ht="52.8" x14ac:dyDescent="0.25">
      <c r="A1278" s="17" t="s">
        <v>320</v>
      </c>
      <c r="B1278" s="14" t="s">
        <v>47</v>
      </c>
      <c r="C1278" s="18" t="s">
        <v>2249</v>
      </c>
      <c r="D1278" s="14" t="str">
        <f t="shared" si="92"/>
        <v>1ST-358-1277</v>
      </c>
      <c r="E1278" s="18" t="s">
        <v>963</v>
      </c>
      <c r="F1278" s="19">
        <f t="shared" si="94"/>
        <v>8.5</v>
      </c>
      <c r="G1278" s="19" t="str">
        <f t="shared" si="93"/>
        <v>PC</v>
      </c>
      <c r="H1278" s="20" t="s">
        <v>1987</v>
      </c>
      <c r="I1278" s="14" t="s">
        <v>441</v>
      </c>
    </row>
    <row r="1279" spans="1:9" ht="26.4" x14ac:dyDescent="0.25">
      <c r="A1279" s="17" t="s">
        <v>320</v>
      </c>
      <c r="B1279" s="14" t="s">
        <v>48</v>
      </c>
      <c r="C1279" s="18" t="s">
        <v>2250</v>
      </c>
      <c r="D1279" s="14" t="str">
        <f t="shared" si="92"/>
        <v>1ST-358-1278</v>
      </c>
      <c r="E1279" s="18" t="s">
        <v>2059</v>
      </c>
      <c r="F1279" s="19">
        <f t="shared" si="94"/>
        <v>65</v>
      </c>
      <c r="G1279" s="19" t="str">
        <f t="shared" si="93"/>
        <v>PAIR</v>
      </c>
      <c r="H1279" s="20" t="s">
        <v>1988</v>
      </c>
      <c r="I1279" s="14" t="s">
        <v>441</v>
      </c>
    </row>
    <row r="1280" spans="1:9" ht="26.4" x14ac:dyDescent="0.25">
      <c r="A1280" s="17" t="s">
        <v>320</v>
      </c>
      <c r="B1280" s="14" t="s">
        <v>48</v>
      </c>
      <c r="C1280" s="18" t="s">
        <v>2251</v>
      </c>
      <c r="D1280" s="14" t="str">
        <f t="shared" si="92"/>
        <v>1ST-358-1279</v>
      </c>
      <c r="E1280" s="18" t="s">
        <v>2059</v>
      </c>
      <c r="F1280" s="19">
        <f t="shared" si="94"/>
        <v>65</v>
      </c>
      <c r="G1280" s="19" t="str">
        <f t="shared" si="93"/>
        <v>PAIR</v>
      </c>
      <c r="H1280" s="20" t="s">
        <v>1988</v>
      </c>
      <c r="I1280" s="14" t="s">
        <v>441</v>
      </c>
    </row>
    <row r="1281" spans="1:9" ht="26.4" x14ac:dyDescent="0.25">
      <c r="A1281" s="17" t="s">
        <v>320</v>
      </c>
      <c r="B1281" s="14" t="s">
        <v>48</v>
      </c>
      <c r="C1281" s="18" t="s">
        <v>2252</v>
      </c>
      <c r="D1281" s="14" t="str">
        <f t="shared" si="92"/>
        <v>1ST-358-1280</v>
      </c>
      <c r="E1281" s="18" t="s">
        <v>2059</v>
      </c>
      <c r="F1281" s="19">
        <f t="shared" si="94"/>
        <v>65</v>
      </c>
      <c r="G1281" s="19" t="str">
        <f t="shared" si="93"/>
        <v>PAIR</v>
      </c>
      <c r="H1281" s="20" t="s">
        <v>1988</v>
      </c>
      <c r="I1281" s="14" t="s">
        <v>441</v>
      </c>
    </row>
    <row r="1282" spans="1:9" ht="39.6" x14ac:dyDescent="0.25">
      <c r="A1282" s="17" t="s">
        <v>320</v>
      </c>
      <c r="B1282" s="14" t="s">
        <v>49</v>
      </c>
      <c r="C1282" s="18" t="s">
        <v>2253</v>
      </c>
      <c r="D1282" s="14" t="str">
        <f t="shared" si="92"/>
        <v>1ST-358-1281</v>
      </c>
      <c r="E1282" s="18" t="s">
        <v>583</v>
      </c>
      <c r="F1282" s="19">
        <f t="shared" si="94"/>
        <v>18.5</v>
      </c>
      <c r="G1282" s="19" t="str">
        <f t="shared" si="93"/>
        <v>PC</v>
      </c>
      <c r="H1282" s="20" t="s">
        <v>1989</v>
      </c>
      <c r="I1282" s="14" t="s">
        <v>441</v>
      </c>
    </row>
    <row r="1283" spans="1:9" ht="39.6" x14ac:dyDescent="0.25">
      <c r="A1283" s="17" t="s">
        <v>320</v>
      </c>
      <c r="B1283" s="14" t="s">
        <v>49</v>
      </c>
      <c r="C1283" s="18" t="s">
        <v>2254</v>
      </c>
      <c r="D1283" s="14" t="str">
        <f t="shared" si="92"/>
        <v>1ST-358-1282</v>
      </c>
      <c r="E1283" s="18" t="s">
        <v>583</v>
      </c>
      <c r="F1283" s="19">
        <f t="shared" si="94"/>
        <v>18.5</v>
      </c>
      <c r="G1283" s="19" t="str">
        <f t="shared" si="93"/>
        <v>PC</v>
      </c>
      <c r="H1283" s="20" t="s">
        <v>1989</v>
      </c>
      <c r="I1283" s="14" t="s">
        <v>441</v>
      </c>
    </row>
    <row r="1284" spans="1:9" ht="39.6" x14ac:dyDescent="0.25">
      <c r="A1284" s="17" t="s">
        <v>320</v>
      </c>
      <c r="B1284" s="14" t="s">
        <v>49</v>
      </c>
      <c r="C1284" s="18" t="s">
        <v>2255</v>
      </c>
      <c r="D1284" s="14" t="str">
        <f t="shared" si="92"/>
        <v>1ST-358-1283</v>
      </c>
      <c r="E1284" s="18" t="s">
        <v>583</v>
      </c>
      <c r="F1284" s="19">
        <f t="shared" si="94"/>
        <v>18.5</v>
      </c>
      <c r="G1284" s="19" t="str">
        <f t="shared" si="93"/>
        <v>PC</v>
      </c>
      <c r="H1284" s="20" t="s">
        <v>1989</v>
      </c>
      <c r="I1284" s="14" t="s">
        <v>441</v>
      </c>
    </row>
    <row r="1285" spans="1:9" ht="39.6" x14ac:dyDescent="0.25">
      <c r="A1285" s="17" t="s">
        <v>320</v>
      </c>
      <c r="B1285" s="14" t="s">
        <v>50</v>
      </c>
      <c r="C1285" s="18" t="s">
        <v>2256</v>
      </c>
      <c r="D1285" s="14" t="str">
        <f t="shared" ref="D1285:D1348" si="95">LEFT($D$2,FIND("-",$D$2,FIND("-",$D$2)+1)) &amp; TEXT(RIGHT($D$2,3)+ROW(D1283),"000")</f>
        <v>1ST-358-1284</v>
      </c>
      <c r="E1285" s="18" t="s">
        <v>1541</v>
      </c>
      <c r="F1285" s="19">
        <f t="shared" si="94"/>
        <v>83</v>
      </c>
      <c r="G1285" s="19" t="str">
        <f t="shared" si="93"/>
        <v>PC</v>
      </c>
      <c r="H1285" s="20" t="s">
        <v>1990</v>
      </c>
      <c r="I1285" s="14" t="s">
        <v>441</v>
      </c>
    </row>
    <row r="1286" spans="1:9" ht="39.6" x14ac:dyDescent="0.25">
      <c r="A1286" s="17" t="s">
        <v>320</v>
      </c>
      <c r="B1286" s="14" t="s">
        <v>50</v>
      </c>
      <c r="C1286" s="18" t="s">
        <v>2257</v>
      </c>
      <c r="D1286" s="14" t="str">
        <f t="shared" si="95"/>
        <v>1ST-358-1285</v>
      </c>
      <c r="E1286" s="18" t="s">
        <v>1541</v>
      </c>
      <c r="F1286" s="19">
        <f t="shared" si="94"/>
        <v>83</v>
      </c>
      <c r="G1286" s="19" t="str">
        <f t="shared" si="93"/>
        <v>PC</v>
      </c>
      <c r="H1286" s="20" t="s">
        <v>1990</v>
      </c>
      <c r="I1286" s="14" t="s">
        <v>441</v>
      </c>
    </row>
    <row r="1287" spans="1:9" ht="39.6" x14ac:dyDescent="0.25">
      <c r="A1287" s="17" t="s">
        <v>320</v>
      </c>
      <c r="B1287" s="14" t="s">
        <v>50</v>
      </c>
      <c r="C1287" s="18" t="s">
        <v>2258</v>
      </c>
      <c r="D1287" s="14" t="str">
        <f t="shared" si="95"/>
        <v>1ST-358-1286</v>
      </c>
      <c r="E1287" s="18" t="s">
        <v>687</v>
      </c>
      <c r="F1287" s="19">
        <f t="shared" si="94"/>
        <v>108</v>
      </c>
      <c r="G1287" s="19" t="str">
        <f t="shared" si="93"/>
        <v>PC</v>
      </c>
      <c r="H1287" s="20" t="s">
        <v>1991</v>
      </c>
      <c r="I1287" s="14" t="s">
        <v>441</v>
      </c>
    </row>
    <row r="1288" spans="1:9" ht="39.6" x14ac:dyDescent="0.25">
      <c r="A1288" s="17" t="s">
        <v>320</v>
      </c>
      <c r="B1288" s="14" t="s">
        <v>50</v>
      </c>
      <c r="C1288" s="18" t="s">
        <v>2259</v>
      </c>
      <c r="D1288" s="14" t="str">
        <f t="shared" si="95"/>
        <v>1ST-358-1287</v>
      </c>
      <c r="E1288" s="18" t="s">
        <v>687</v>
      </c>
      <c r="F1288" s="19">
        <f t="shared" si="94"/>
        <v>108</v>
      </c>
      <c r="G1288" s="19" t="str">
        <f t="shared" si="93"/>
        <v>PC</v>
      </c>
      <c r="H1288" s="20" t="s">
        <v>1991</v>
      </c>
      <c r="I1288" s="14" t="s">
        <v>441</v>
      </c>
    </row>
    <row r="1289" spans="1:9" ht="39.6" x14ac:dyDescent="0.25">
      <c r="A1289" s="17" t="s">
        <v>320</v>
      </c>
      <c r="B1289" s="14" t="s">
        <v>50</v>
      </c>
      <c r="C1289" s="18" t="s">
        <v>2260</v>
      </c>
      <c r="D1289" s="14" t="str">
        <f t="shared" si="95"/>
        <v>1ST-358-1288</v>
      </c>
      <c r="E1289" s="18" t="s">
        <v>1221</v>
      </c>
      <c r="F1289" s="19">
        <f t="shared" si="94"/>
        <v>92</v>
      </c>
      <c r="G1289" s="19" t="str">
        <f t="shared" si="93"/>
        <v>PC</v>
      </c>
      <c r="H1289" s="20" t="s">
        <v>1991</v>
      </c>
      <c r="I1289" s="14" t="s">
        <v>441</v>
      </c>
    </row>
    <row r="1290" spans="1:9" x14ac:dyDescent="0.25">
      <c r="A1290" s="17" t="s">
        <v>320</v>
      </c>
      <c r="B1290" s="14" t="s">
        <v>51</v>
      </c>
      <c r="C1290" s="18" t="s">
        <v>2261</v>
      </c>
      <c r="D1290" s="14" t="str">
        <f t="shared" si="95"/>
        <v>1ST-358-1289</v>
      </c>
      <c r="E1290" s="18" t="s">
        <v>2262</v>
      </c>
      <c r="F1290" s="19">
        <f t="shared" si="94"/>
        <v>1988</v>
      </c>
      <c r="G1290" s="19" t="str">
        <f t="shared" ref="G1290:G1353" si="96">TRIM(MID(E1290,FIND("/",E1290)+1,LEN(E1290)))</f>
        <v>PC</v>
      </c>
      <c r="H1290" s="14" t="s">
        <v>441</v>
      </c>
      <c r="I1290" s="25" t="s">
        <v>3523</v>
      </c>
    </row>
    <row r="1291" spans="1:9" x14ac:dyDescent="0.25">
      <c r="A1291" s="17" t="s">
        <v>320</v>
      </c>
      <c r="B1291" s="14" t="s">
        <v>51</v>
      </c>
      <c r="C1291" s="18" t="s">
        <v>2263</v>
      </c>
      <c r="D1291" s="14" t="str">
        <f t="shared" si="95"/>
        <v>1ST-358-1290</v>
      </c>
      <c r="E1291" s="18" t="s">
        <v>2262</v>
      </c>
      <c r="F1291" s="19">
        <f t="shared" si="94"/>
        <v>1988</v>
      </c>
      <c r="G1291" s="19" t="str">
        <f t="shared" si="96"/>
        <v>PC</v>
      </c>
      <c r="H1291" s="14" t="s">
        <v>441</v>
      </c>
      <c r="I1291" s="25" t="s">
        <v>3523</v>
      </c>
    </row>
    <row r="1292" spans="1:9" x14ac:dyDescent="0.25">
      <c r="A1292" s="17" t="s">
        <v>320</v>
      </c>
      <c r="B1292" s="14" t="s">
        <v>51</v>
      </c>
      <c r="C1292" s="18" t="s">
        <v>2264</v>
      </c>
      <c r="D1292" s="14" t="str">
        <f t="shared" si="95"/>
        <v>1ST-358-1291</v>
      </c>
      <c r="E1292" s="18" t="s">
        <v>2262</v>
      </c>
      <c r="F1292" s="19">
        <f t="shared" si="94"/>
        <v>1988</v>
      </c>
      <c r="G1292" s="19" t="str">
        <f t="shared" si="96"/>
        <v>PC</v>
      </c>
      <c r="H1292" s="14" t="s">
        <v>441</v>
      </c>
      <c r="I1292" s="25" t="s">
        <v>3523</v>
      </c>
    </row>
    <row r="1293" spans="1:9" x14ac:dyDescent="0.25">
      <c r="A1293" s="17" t="s">
        <v>320</v>
      </c>
      <c r="B1293" s="14" t="s">
        <v>51</v>
      </c>
      <c r="C1293" s="18" t="s">
        <v>2265</v>
      </c>
      <c r="D1293" s="14" t="str">
        <f t="shared" si="95"/>
        <v>1ST-358-1292</v>
      </c>
      <c r="E1293" s="18" t="s">
        <v>2262</v>
      </c>
      <c r="F1293" s="19">
        <f t="shared" si="94"/>
        <v>1988</v>
      </c>
      <c r="G1293" s="19" t="str">
        <f t="shared" si="96"/>
        <v>PC</v>
      </c>
      <c r="H1293" s="14" t="s">
        <v>441</v>
      </c>
      <c r="I1293" s="25" t="s">
        <v>3523</v>
      </c>
    </row>
    <row r="1294" spans="1:9" x14ac:dyDescent="0.25">
      <c r="A1294" s="17" t="s">
        <v>320</v>
      </c>
      <c r="B1294" s="14" t="s">
        <v>51</v>
      </c>
      <c r="C1294" s="18" t="s">
        <v>2266</v>
      </c>
      <c r="D1294" s="14" t="str">
        <f t="shared" si="95"/>
        <v>1ST-358-1293</v>
      </c>
      <c r="E1294" s="18" t="s">
        <v>2262</v>
      </c>
      <c r="F1294" s="19">
        <f t="shared" si="94"/>
        <v>1988</v>
      </c>
      <c r="G1294" s="19" t="str">
        <f t="shared" si="96"/>
        <v>PC</v>
      </c>
      <c r="H1294" s="14" t="s">
        <v>441</v>
      </c>
      <c r="I1294" s="25" t="s">
        <v>3523</v>
      </c>
    </row>
    <row r="1295" spans="1:9" ht="52.8" x14ac:dyDescent="0.25">
      <c r="A1295" s="17" t="s">
        <v>320</v>
      </c>
      <c r="B1295" s="14" t="s">
        <v>53</v>
      </c>
      <c r="C1295" s="18" t="s">
        <v>2267</v>
      </c>
      <c r="D1295" s="14" t="str">
        <f t="shared" si="95"/>
        <v>1ST-358-1294</v>
      </c>
      <c r="E1295" s="18" t="s">
        <v>2268</v>
      </c>
      <c r="F1295" s="19">
        <f t="shared" si="94"/>
        <v>1798</v>
      </c>
      <c r="G1295" s="19" t="str">
        <f t="shared" si="96"/>
        <v>PC</v>
      </c>
      <c r="H1295" s="20" t="s">
        <v>1992</v>
      </c>
      <c r="I1295" s="25" t="s">
        <v>3523</v>
      </c>
    </row>
    <row r="1296" spans="1:9" ht="52.8" x14ac:dyDescent="0.25">
      <c r="A1296" s="17" t="s">
        <v>320</v>
      </c>
      <c r="B1296" s="14" t="s">
        <v>53</v>
      </c>
      <c r="C1296" s="18" t="s">
        <v>2269</v>
      </c>
      <c r="D1296" s="14" t="str">
        <f t="shared" si="95"/>
        <v>1ST-358-1295</v>
      </c>
      <c r="E1296" s="18" t="s">
        <v>2268</v>
      </c>
      <c r="F1296" s="19">
        <f t="shared" si="94"/>
        <v>1798</v>
      </c>
      <c r="G1296" s="19" t="str">
        <f t="shared" si="96"/>
        <v>PC</v>
      </c>
      <c r="H1296" s="20" t="s">
        <v>1992</v>
      </c>
      <c r="I1296" s="25" t="s">
        <v>3523</v>
      </c>
    </row>
    <row r="1297" spans="1:9" ht="52.8" x14ac:dyDescent="0.25">
      <c r="A1297" s="17" t="s">
        <v>320</v>
      </c>
      <c r="B1297" s="14" t="s">
        <v>53</v>
      </c>
      <c r="C1297" s="18" t="s">
        <v>2270</v>
      </c>
      <c r="D1297" s="14" t="str">
        <f t="shared" si="95"/>
        <v>1ST-358-1296</v>
      </c>
      <c r="E1297" s="18" t="s">
        <v>2268</v>
      </c>
      <c r="F1297" s="19">
        <f t="shared" si="94"/>
        <v>1798</v>
      </c>
      <c r="G1297" s="19" t="str">
        <f t="shared" si="96"/>
        <v>PC</v>
      </c>
      <c r="H1297" s="20" t="s">
        <v>1992</v>
      </c>
      <c r="I1297" s="25" t="s">
        <v>3523</v>
      </c>
    </row>
    <row r="1298" spans="1:9" ht="52.8" x14ac:dyDescent="0.25">
      <c r="A1298" s="17" t="s">
        <v>320</v>
      </c>
      <c r="B1298" s="14" t="s">
        <v>53</v>
      </c>
      <c r="C1298" s="18" t="s">
        <v>2271</v>
      </c>
      <c r="D1298" s="14" t="str">
        <f t="shared" si="95"/>
        <v>1ST-358-1297</v>
      </c>
      <c r="E1298" s="18" t="s">
        <v>2268</v>
      </c>
      <c r="F1298" s="19">
        <f t="shared" si="94"/>
        <v>1798</v>
      </c>
      <c r="G1298" s="19" t="str">
        <f t="shared" si="96"/>
        <v>PC</v>
      </c>
      <c r="H1298" s="20" t="s">
        <v>1992</v>
      </c>
      <c r="I1298" s="25" t="s">
        <v>3523</v>
      </c>
    </row>
    <row r="1299" spans="1:9" ht="52.8" x14ac:dyDescent="0.25">
      <c r="A1299" s="17" t="s">
        <v>320</v>
      </c>
      <c r="B1299" s="14" t="s">
        <v>53</v>
      </c>
      <c r="C1299" s="18" t="s">
        <v>2272</v>
      </c>
      <c r="D1299" s="14" t="str">
        <f t="shared" si="95"/>
        <v>1ST-358-1298</v>
      </c>
      <c r="E1299" s="18" t="s">
        <v>2268</v>
      </c>
      <c r="F1299" s="19">
        <f t="shared" si="94"/>
        <v>1798</v>
      </c>
      <c r="G1299" s="19" t="str">
        <f t="shared" si="96"/>
        <v>PC</v>
      </c>
      <c r="H1299" s="20" t="s">
        <v>1992</v>
      </c>
      <c r="I1299" s="25" t="s">
        <v>3523</v>
      </c>
    </row>
    <row r="1300" spans="1:9" ht="52.8" x14ac:dyDescent="0.25">
      <c r="A1300" s="17" t="s">
        <v>320</v>
      </c>
      <c r="B1300" s="14" t="s">
        <v>54</v>
      </c>
      <c r="C1300" s="18" t="s">
        <v>2273</v>
      </c>
      <c r="D1300" s="14" t="str">
        <f t="shared" si="95"/>
        <v>1ST-358-1299</v>
      </c>
      <c r="E1300" s="18" t="s">
        <v>2274</v>
      </c>
      <c r="F1300" s="19">
        <f t="shared" si="94"/>
        <v>1688</v>
      </c>
      <c r="G1300" s="19" t="str">
        <f t="shared" si="96"/>
        <v>PC</v>
      </c>
      <c r="H1300" s="20" t="s">
        <v>1992</v>
      </c>
      <c r="I1300" s="25" t="s">
        <v>3523</v>
      </c>
    </row>
    <row r="1301" spans="1:9" ht="52.8" x14ac:dyDescent="0.25">
      <c r="A1301" s="17" t="s">
        <v>320</v>
      </c>
      <c r="B1301" s="14" t="s">
        <v>54</v>
      </c>
      <c r="C1301" s="18" t="s">
        <v>2275</v>
      </c>
      <c r="D1301" s="14" t="str">
        <f t="shared" si="95"/>
        <v>1ST-358-1300</v>
      </c>
      <c r="E1301" s="18" t="s">
        <v>2274</v>
      </c>
      <c r="F1301" s="19">
        <f t="shared" si="94"/>
        <v>1688</v>
      </c>
      <c r="G1301" s="19" t="str">
        <f t="shared" si="96"/>
        <v>PC</v>
      </c>
      <c r="H1301" s="20" t="s">
        <v>1992</v>
      </c>
      <c r="I1301" s="25" t="s">
        <v>3523</v>
      </c>
    </row>
    <row r="1302" spans="1:9" ht="52.8" x14ac:dyDescent="0.25">
      <c r="A1302" s="17" t="s">
        <v>320</v>
      </c>
      <c r="B1302" s="14" t="s">
        <v>54</v>
      </c>
      <c r="C1302" s="18" t="s">
        <v>3871</v>
      </c>
      <c r="D1302" s="14" t="str">
        <f t="shared" si="95"/>
        <v>1ST-358-1301</v>
      </c>
      <c r="E1302" s="18" t="s">
        <v>2274</v>
      </c>
      <c r="F1302" s="19">
        <f t="shared" si="94"/>
        <v>1688</v>
      </c>
      <c r="G1302" s="19" t="str">
        <f t="shared" si="96"/>
        <v>PC</v>
      </c>
      <c r="H1302" s="20" t="s">
        <v>1992</v>
      </c>
      <c r="I1302" s="25" t="s">
        <v>3523</v>
      </c>
    </row>
    <row r="1303" spans="1:9" ht="52.8" x14ac:dyDescent="0.25">
      <c r="A1303" s="17" t="s">
        <v>320</v>
      </c>
      <c r="B1303" s="14" t="s">
        <v>54</v>
      </c>
      <c r="C1303" s="18" t="s">
        <v>2276</v>
      </c>
      <c r="D1303" s="14" t="str">
        <f t="shared" si="95"/>
        <v>1ST-358-1302</v>
      </c>
      <c r="E1303" s="18" t="s">
        <v>2274</v>
      </c>
      <c r="F1303" s="19">
        <f t="shared" si="94"/>
        <v>1688</v>
      </c>
      <c r="G1303" s="19" t="str">
        <f t="shared" si="96"/>
        <v>PC</v>
      </c>
      <c r="H1303" s="20" t="s">
        <v>1992</v>
      </c>
      <c r="I1303" s="25" t="s">
        <v>3523</v>
      </c>
    </row>
    <row r="1304" spans="1:9" ht="52.8" x14ac:dyDescent="0.25">
      <c r="A1304" s="17" t="s">
        <v>320</v>
      </c>
      <c r="B1304" s="14" t="s">
        <v>54</v>
      </c>
      <c r="C1304" s="18" t="s">
        <v>2277</v>
      </c>
      <c r="D1304" s="14" t="str">
        <f t="shared" si="95"/>
        <v>1ST-358-1303</v>
      </c>
      <c r="E1304" s="18" t="s">
        <v>2274</v>
      </c>
      <c r="F1304" s="19">
        <f t="shared" si="94"/>
        <v>1688</v>
      </c>
      <c r="G1304" s="19" t="str">
        <f t="shared" si="96"/>
        <v>PC</v>
      </c>
      <c r="H1304" s="20" t="s">
        <v>1992</v>
      </c>
      <c r="I1304" s="25" t="s">
        <v>3523</v>
      </c>
    </row>
    <row r="1305" spans="1:9" ht="52.8" x14ac:dyDescent="0.25">
      <c r="A1305" s="17" t="s">
        <v>320</v>
      </c>
      <c r="B1305" s="14" t="s">
        <v>55</v>
      </c>
      <c r="C1305" s="18" t="s">
        <v>2278</v>
      </c>
      <c r="D1305" s="14" t="str">
        <f t="shared" si="95"/>
        <v>1ST-358-1304</v>
      </c>
      <c r="E1305" s="19" t="s">
        <v>2279</v>
      </c>
      <c r="F1305" s="19">
        <f t="shared" si="94"/>
        <v>738</v>
      </c>
      <c r="G1305" s="19" t="str">
        <f t="shared" si="96"/>
        <v>PC</v>
      </c>
      <c r="H1305" s="20" t="s">
        <v>1993</v>
      </c>
      <c r="I1305" s="25" t="s">
        <v>3523</v>
      </c>
    </row>
    <row r="1306" spans="1:9" ht="52.8" x14ac:dyDescent="0.25">
      <c r="A1306" s="17" t="s">
        <v>320</v>
      </c>
      <c r="B1306" s="14" t="s">
        <v>55</v>
      </c>
      <c r="C1306" s="18" t="s">
        <v>2280</v>
      </c>
      <c r="D1306" s="14" t="str">
        <f t="shared" si="95"/>
        <v>1ST-358-1305</v>
      </c>
      <c r="E1306" s="19" t="s">
        <v>2281</v>
      </c>
      <c r="F1306" s="19">
        <f t="shared" si="94"/>
        <v>638</v>
      </c>
      <c r="G1306" s="19" t="str">
        <f t="shared" si="96"/>
        <v>PC</v>
      </c>
      <c r="H1306" s="20" t="s">
        <v>1993</v>
      </c>
      <c r="I1306" s="25" t="s">
        <v>3523</v>
      </c>
    </row>
    <row r="1307" spans="1:9" ht="52.8" x14ac:dyDescent="0.25">
      <c r="A1307" s="17" t="s">
        <v>320</v>
      </c>
      <c r="B1307" s="14" t="s">
        <v>55</v>
      </c>
      <c r="C1307" s="18" t="s">
        <v>2282</v>
      </c>
      <c r="D1307" s="14" t="str">
        <f t="shared" si="95"/>
        <v>1ST-358-1306</v>
      </c>
      <c r="E1307" s="19" t="s">
        <v>2281</v>
      </c>
      <c r="F1307" s="19">
        <f t="shared" si="94"/>
        <v>638</v>
      </c>
      <c r="G1307" s="19" t="str">
        <f t="shared" si="96"/>
        <v>PC</v>
      </c>
      <c r="H1307" s="20" t="s">
        <v>1993</v>
      </c>
      <c r="I1307" s="25" t="s">
        <v>3523</v>
      </c>
    </row>
    <row r="1308" spans="1:9" ht="52.8" x14ac:dyDescent="0.25">
      <c r="A1308" s="17" t="s">
        <v>320</v>
      </c>
      <c r="B1308" s="14" t="s">
        <v>55</v>
      </c>
      <c r="C1308" s="18" t="s">
        <v>2283</v>
      </c>
      <c r="D1308" s="14" t="str">
        <f t="shared" si="95"/>
        <v>1ST-358-1307</v>
      </c>
      <c r="E1308" s="19" t="s">
        <v>2279</v>
      </c>
      <c r="F1308" s="19">
        <f t="shared" si="94"/>
        <v>738</v>
      </c>
      <c r="G1308" s="19" t="str">
        <f t="shared" si="96"/>
        <v>PC</v>
      </c>
      <c r="H1308" s="20" t="s">
        <v>1993</v>
      </c>
      <c r="I1308" s="25" t="s">
        <v>3523</v>
      </c>
    </row>
    <row r="1309" spans="1:9" ht="52.8" x14ac:dyDescent="0.25">
      <c r="A1309" s="17" t="s">
        <v>320</v>
      </c>
      <c r="B1309" s="14" t="s">
        <v>55</v>
      </c>
      <c r="C1309" s="18" t="s">
        <v>2284</v>
      </c>
      <c r="D1309" s="14" t="str">
        <f t="shared" si="95"/>
        <v>1ST-358-1308</v>
      </c>
      <c r="E1309" s="19" t="s">
        <v>2279</v>
      </c>
      <c r="F1309" s="19">
        <f t="shared" si="94"/>
        <v>738</v>
      </c>
      <c r="G1309" s="19" t="str">
        <f t="shared" si="96"/>
        <v>PC</v>
      </c>
      <c r="H1309" s="20" t="s">
        <v>1993</v>
      </c>
      <c r="I1309" s="25" t="s">
        <v>3523</v>
      </c>
    </row>
    <row r="1310" spans="1:9" ht="52.8" x14ac:dyDescent="0.25">
      <c r="A1310" s="17" t="s">
        <v>320</v>
      </c>
      <c r="B1310" s="14" t="s">
        <v>55</v>
      </c>
      <c r="C1310" s="18" t="s">
        <v>2285</v>
      </c>
      <c r="D1310" s="14" t="str">
        <f t="shared" si="95"/>
        <v>1ST-358-1309</v>
      </c>
      <c r="E1310" s="19" t="s">
        <v>2279</v>
      </c>
      <c r="F1310" s="19">
        <f t="shared" si="94"/>
        <v>738</v>
      </c>
      <c r="G1310" s="19" t="str">
        <f t="shared" si="96"/>
        <v>PC</v>
      </c>
      <c r="H1310" s="20" t="s">
        <v>1993</v>
      </c>
      <c r="I1310" s="25" t="s">
        <v>3523</v>
      </c>
    </row>
    <row r="1311" spans="1:9" ht="52.8" x14ac:dyDescent="0.25">
      <c r="A1311" s="17" t="s">
        <v>320</v>
      </c>
      <c r="B1311" s="14" t="s">
        <v>55</v>
      </c>
      <c r="C1311" s="18" t="s">
        <v>2286</v>
      </c>
      <c r="D1311" s="14" t="str">
        <f t="shared" si="95"/>
        <v>1ST-358-1310</v>
      </c>
      <c r="E1311" s="19" t="s">
        <v>2281</v>
      </c>
      <c r="F1311" s="19">
        <f t="shared" si="94"/>
        <v>638</v>
      </c>
      <c r="G1311" s="19" t="str">
        <f t="shared" si="96"/>
        <v>PC</v>
      </c>
      <c r="H1311" s="20" t="s">
        <v>1993</v>
      </c>
      <c r="I1311" s="25" t="s">
        <v>3523</v>
      </c>
    </row>
    <row r="1312" spans="1:9" ht="52.8" x14ac:dyDescent="0.25">
      <c r="A1312" s="17" t="s">
        <v>320</v>
      </c>
      <c r="B1312" s="14" t="s">
        <v>55</v>
      </c>
      <c r="C1312" s="18" t="s">
        <v>2287</v>
      </c>
      <c r="D1312" s="14" t="str">
        <f t="shared" si="95"/>
        <v>1ST-358-1311</v>
      </c>
      <c r="E1312" s="19" t="s">
        <v>2281</v>
      </c>
      <c r="F1312" s="19">
        <f t="shared" si="94"/>
        <v>638</v>
      </c>
      <c r="G1312" s="19" t="str">
        <f t="shared" si="96"/>
        <v>PC</v>
      </c>
      <c r="H1312" s="20" t="s">
        <v>1993</v>
      </c>
      <c r="I1312" s="25" t="s">
        <v>3523</v>
      </c>
    </row>
    <row r="1313" spans="1:9" ht="52.8" x14ac:dyDescent="0.25">
      <c r="A1313" s="17" t="s">
        <v>320</v>
      </c>
      <c r="B1313" s="14" t="s">
        <v>55</v>
      </c>
      <c r="C1313" s="18" t="s">
        <v>2288</v>
      </c>
      <c r="D1313" s="14" t="str">
        <f t="shared" si="95"/>
        <v>1ST-358-1312</v>
      </c>
      <c r="E1313" s="19" t="s">
        <v>2279</v>
      </c>
      <c r="F1313" s="19">
        <f t="shared" si="94"/>
        <v>738</v>
      </c>
      <c r="G1313" s="19" t="str">
        <f t="shared" si="96"/>
        <v>PC</v>
      </c>
      <c r="H1313" s="20" t="s">
        <v>1993</v>
      </c>
      <c r="I1313" s="25" t="s">
        <v>3523</v>
      </c>
    </row>
    <row r="1314" spans="1:9" ht="52.8" x14ac:dyDescent="0.25">
      <c r="A1314" s="17" t="s">
        <v>320</v>
      </c>
      <c r="B1314" s="14" t="s">
        <v>55</v>
      </c>
      <c r="C1314" s="18" t="s">
        <v>2289</v>
      </c>
      <c r="D1314" s="14" t="str">
        <f t="shared" si="95"/>
        <v>1ST-358-1313</v>
      </c>
      <c r="E1314" s="19" t="s">
        <v>2279</v>
      </c>
      <c r="F1314" s="19">
        <f t="shared" si="94"/>
        <v>738</v>
      </c>
      <c r="G1314" s="19" t="str">
        <f t="shared" si="96"/>
        <v>PC</v>
      </c>
      <c r="H1314" s="20" t="s">
        <v>1993</v>
      </c>
      <c r="I1314" s="25" t="s">
        <v>3523</v>
      </c>
    </row>
    <row r="1315" spans="1:9" x14ac:dyDescent="0.25">
      <c r="A1315" s="17" t="s">
        <v>320</v>
      </c>
      <c r="B1315" s="14" t="s">
        <v>56</v>
      </c>
      <c r="C1315" s="18" t="s">
        <v>2290</v>
      </c>
      <c r="D1315" s="14" t="str">
        <f t="shared" si="95"/>
        <v>1ST-358-1314</v>
      </c>
      <c r="E1315" s="18" t="s">
        <v>2291</v>
      </c>
      <c r="F1315" s="19">
        <f t="shared" si="94"/>
        <v>438</v>
      </c>
      <c r="G1315" s="19" t="str">
        <f t="shared" si="96"/>
        <v>PC</v>
      </c>
      <c r="H1315" s="14" t="s">
        <v>1994</v>
      </c>
      <c r="I1315" s="25" t="s">
        <v>3523</v>
      </c>
    </row>
    <row r="1316" spans="1:9" x14ac:dyDescent="0.25">
      <c r="A1316" s="17" t="s">
        <v>320</v>
      </c>
      <c r="B1316" s="14" t="s">
        <v>56</v>
      </c>
      <c r="C1316" s="18" t="s">
        <v>3872</v>
      </c>
      <c r="D1316" s="14" t="str">
        <f t="shared" si="95"/>
        <v>1ST-358-1315</v>
      </c>
      <c r="E1316" s="18" t="s">
        <v>2291</v>
      </c>
      <c r="F1316" s="19">
        <f t="shared" si="94"/>
        <v>438</v>
      </c>
      <c r="G1316" s="19" t="str">
        <f t="shared" si="96"/>
        <v>PC</v>
      </c>
      <c r="H1316" s="14" t="s">
        <v>1994</v>
      </c>
      <c r="I1316" s="25" t="s">
        <v>3523</v>
      </c>
    </row>
    <row r="1317" spans="1:9" x14ac:dyDescent="0.25">
      <c r="A1317" s="17" t="s">
        <v>320</v>
      </c>
      <c r="B1317" s="14" t="s">
        <v>56</v>
      </c>
      <c r="C1317" s="18" t="s">
        <v>2292</v>
      </c>
      <c r="D1317" s="14" t="str">
        <f t="shared" si="95"/>
        <v>1ST-358-1316</v>
      </c>
      <c r="E1317" s="18" t="s">
        <v>2291</v>
      </c>
      <c r="F1317" s="19">
        <f t="shared" si="94"/>
        <v>438</v>
      </c>
      <c r="G1317" s="19" t="str">
        <f t="shared" si="96"/>
        <v>PC</v>
      </c>
      <c r="H1317" s="14" t="s">
        <v>1994</v>
      </c>
      <c r="I1317" s="25" t="s">
        <v>3523</v>
      </c>
    </row>
    <row r="1318" spans="1:9" x14ac:dyDescent="0.25">
      <c r="A1318" s="17" t="s">
        <v>320</v>
      </c>
      <c r="B1318" s="14" t="s">
        <v>56</v>
      </c>
      <c r="C1318" s="18" t="s">
        <v>2293</v>
      </c>
      <c r="D1318" s="14" t="str">
        <f t="shared" si="95"/>
        <v>1ST-358-1317</v>
      </c>
      <c r="E1318" s="18" t="s">
        <v>2291</v>
      </c>
      <c r="F1318" s="19">
        <f t="shared" si="94"/>
        <v>438</v>
      </c>
      <c r="G1318" s="19" t="str">
        <f t="shared" si="96"/>
        <v>PC</v>
      </c>
      <c r="H1318" s="14" t="s">
        <v>1994</v>
      </c>
      <c r="I1318" s="25" t="s">
        <v>3523</v>
      </c>
    </row>
    <row r="1319" spans="1:9" x14ac:dyDescent="0.25">
      <c r="A1319" s="17" t="s">
        <v>320</v>
      </c>
      <c r="B1319" s="14" t="s">
        <v>56</v>
      </c>
      <c r="C1319" s="18" t="s">
        <v>2294</v>
      </c>
      <c r="D1319" s="14" t="str">
        <f t="shared" si="95"/>
        <v>1ST-358-1318</v>
      </c>
      <c r="E1319" s="18" t="s">
        <v>2291</v>
      </c>
      <c r="F1319" s="19">
        <f t="shared" si="94"/>
        <v>438</v>
      </c>
      <c r="G1319" s="19" t="str">
        <f t="shared" si="96"/>
        <v>PC</v>
      </c>
      <c r="H1319" s="14" t="s">
        <v>1994</v>
      </c>
      <c r="I1319" s="25" t="s">
        <v>3523</v>
      </c>
    </row>
    <row r="1320" spans="1:9" ht="66" x14ac:dyDescent="0.25">
      <c r="A1320" s="17" t="s">
        <v>320</v>
      </c>
      <c r="B1320" s="14" t="s">
        <v>57</v>
      </c>
      <c r="C1320" s="18" t="s">
        <v>2295</v>
      </c>
      <c r="D1320" s="14" t="str">
        <f t="shared" si="95"/>
        <v>1ST-358-1319</v>
      </c>
      <c r="E1320" s="18" t="s">
        <v>850</v>
      </c>
      <c r="F1320" s="19">
        <f t="shared" ref="F1320:F1383" si="97">VALUE(LEFT(E1320,FIND("/",E1320)-1))</f>
        <v>230</v>
      </c>
      <c r="G1320" s="19" t="str">
        <f t="shared" si="96"/>
        <v>PC</v>
      </c>
      <c r="H1320" s="20" t="s">
        <v>1995</v>
      </c>
      <c r="I1320" s="14" t="s">
        <v>441</v>
      </c>
    </row>
    <row r="1321" spans="1:9" ht="66" x14ac:dyDescent="0.25">
      <c r="A1321" s="17" t="s">
        <v>320</v>
      </c>
      <c r="B1321" s="14" t="s">
        <v>57</v>
      </c>
      <c r="C1321" s="18" t="s">
        <v>2296</v>
      </c>
      <c r="D1321" s="14" t="str">
        <f t="shared" si="95"/>
        <v>1ST-358-1320</v>
      </c>
      <c r="E1321" s="18" t="s">
        <v>850</v>
      </c>
      <c r="F1321" s="19">
        <f t="shared" si="97"/>
        <v>230</v>
      </c>
      <c r="G1321" s="19" t="str">
        <f t="shared" si="96"/>
        <v>PC</v>
      </c>
      <c r="H1321" s="20" t="s">
        <v>1995</v>
      </c>
      <c r="I1321" s="14" t="s">
        <v>441</v>
      </c>
    </row>
    <row r="1322" spans="1:9" ht="66" x14ac:dyDescent="0.25">
      <c r="A1322" s="17" t="s">
        <v>320</v>
      </c>
      <c r="B1322" s="14" t="s">
        <v>57</v>
      </c>
      <c r="C1322" s="18" t="s">
        <v>3873</v>
      </c>
      <c r="D1322" s="14" t="str">
        <f t="shared" si="95"/>
        <v>1ST-358-1321</v>
      </c>
      <c r="E1322" s="18" t="s">
        <v>1716</v>
      </c>
      <c r="F1322" s="19">
        <f t="shared" si="97"/>
        <v>270</v>
      </c>
      <c r="G1322" s="19" t="str">
        <f t="shared" si="96"/>
        <v>PC</v>
      </c>
      <c r="H1322" s="20" t="s">
        <v>1995</v>
      </c>
      <c r="I1322" s="14" t="s">
        <v>441</v>
      </c>
    </row>
    <row r="1323" spans="1:9" ht="66" x14ac:dyDescent="0.25">
      <c r="A1323" s="17" t="s">
        <v>320</v>
      </c>
      <c r="B1323" s="14" t="s">
        <v>57</v>
      </c>
      <c r="C1323" s="18" t="s">
        <v>3874</v>
      </c>
      <c r="D1323" s="14" t="str">
        <f t="shared" si="95"/>
        <v>1ST-358-1322</v>
      </c>
      <c r="E1323" s="18" t="s">
        <v>1716</v>
      </c>
      <c r="F1323" s="19">
        <f t="shared" si="97"/>
        <v>270</v>
      </c>
      <c r="G1323" s="19" t="str">
        <f t="shared" si="96"/>
        <v>PC</v>
      </c>
      <c r="H1323" s="20" t="s">
        <v>1995</v>
      </c>
      <c r="I1323" s="14" t="s">
        <v>441</v>
      </c>
    </row>
    <row r="1324" spans="1:9" ht="66" x14ac:dyDescent="0.25">
      <c r="A1324" s="17" t="s">
        <v>320</v>
      </c>
      <c r="B1324" s="14" t="s">
        <v>57</v>
      </c>
      <c r="C1324" s="19" t="s">
        <v>2297</v>
      </c>
      <c r="D1324" s="14" t="str">
        <f t="shared" si="95"/>
        <v>1ST-358-1323</v>
      </c>
      <c r="E1324" s="19" t="s">
        <v>1716</v>
      </c>
      <c r="F1324" s="19">
        <f t="shared" si="97"/>
        <v>270</v>
      </c>
      <c r="G1324" s="19" t="str">
        <f t="shared" si="96"/>
        <v>PC</v>
      </c>
      <c r="H1324" s="20" t="s">
        <v>1995</v>
      </c>
      <c r="I1324" s="14" t="s">
        <v>441</v>
      </c>
    </row>
    <row r="1325" spans="1:9" x14ac:dyDescent="0.25">
      <c r="A1325" s="17" t="s">
        <v>320</v>
      </c>
      <c r="B1325" s="14" t="s">
        <v>58</v>
      </c>
      <c r="C1325" s="18" t="s">
        <v>2298</v>
      </c>
      <c r="D1325" s="14" t="str">
        <f t="shared" si="95"/>
        <v>1ST-358-1324</v>
      </c>
      <c r="E1325" s="14" t="s">
        <v>1996</v>
      </c>
      <c r="F1325" s="19">
        <f t="shared" si="97"/>
        <v>630</v>
      </c>
      <c r="G1325" s="19" t="str">
        <f t="shared" si="96"/>
        <v>PC</v>
      </c>
      <c r="H1325" s="14" t="s">
        <v>1997</v>
      </c>
      <c r="I1325" s="14" t="s">
        <v>441</v>
      </c>
    </row>
    <row r="1326" spans="1:9" x14ac:dyDescent="0.25">
      <c r="A1326" s="17" t="s">
        <v>320</v>
      </c>
      <c r="B1326" s="14" t="s">
        <v>58</v>
      </c>
      <c r="C1326" s="18" t="s">
        <v>2299</v>
      </c>
      <c r="D1326" s="14" t="str">
        <f t="shared" si="95"/>
        <v>1ST-358-1325</v>
      </c>
      <c r="E1326" s="14" t="s">
        <v>1996</v>
      </c>
      <c r="F1326" s="19">
        <f t="shared" si="97"/>
        <v>630</v>
      </c>
      <c r="G1326" s="19" t="str">
        <f t="shared" si="96"/>
        <v>PC</v>
      </c>
      <c r="H1326" s="14" t="s">
        <v>1997</v>
      </c>
      <c r="I1326" s="14" t="s">
        <v>441</v>
      </c>
    </row>
    <row r="1327" spans="1:9" x14ac:dyDescent="0.25">
      <c r="A1327" s="17" t="s">
        <v>320</v>
      </c>
      <c r="B1327" s="14" t="s">
        <v>58</v>
      </c>
      <c r="C1327" s="18" t="s">
        <v>2300</v>
      </c>
      <c r="D1327" s="14" t="str">
        <f t="shared" si="95"/>
        <v>1ST-358-1326</v>
      </c>
      <c r="E1327" s="14" t="s">
        <v>1996</v>
      </c>
      <c r="F1327" s="19">
        <f t="shared" si="97"/>
        <v>630</v>
      </c>
      <c r="G1327" s="19" t="str">
        <f t="shared" si="96"/>
        <v>PC</v>
      </c>
      <c r="H1327" s="14" t="s">
        <v>1997</v>
      </c>
      <c r="I1327" s="14" t="s">
        <v>441</v>
      </c>
    </row>
    <row r="1328" spans="1:9" x14ac:dyDescent="0.25">
      <c r="A1328" s="17" t="s">
        <v>320</v>
      </c>
      <c r="B1328" s="14" t="s">
        <v>58</v>
      </c>
      <c r="C1328" s="18" t="s">
        <v>3875</v>
      </c>
      <c r="D1328" s="14" t="str">
        <f t="shared" si="95"/>
        <v>1ST-358-1327</v>
      </c>
      <c r="E1328" s="14" t="s">
        <v>1996</v>
      </c>
      <c r="F1328" s="19">
        <f t="shared" si="97"/>
        <v>630</v>
      </c>
      <c r="G1328" s="19" t="str">
        <f t="shared" si="96"/>
        <v>PC</v>
      </c>
      <c r="H1328" s="14" t="s">
        <v>1997</v>
      </c>
      <c r="I1328" s="14" t="s">
        <v>441</v>
      </c>
    </row>
    <row r="1329" spans="1:9" x14ac:dyDescent="0.25">
      <c r="A1329" s="17" t="s">
        <v>320</v>
      </c>
      <c r="B1329" s="14" t="s">
        <v>58</v>
      </c>
      <c r="C1329" s="18" t="s">
        <v>2301</v>
      </c>
      <c r="D1329" s="14" t="str">
        <f t="shared" si="95"/>
        <v>1ST-358-1328</v>
      </c>
      <c r="E1329" s="14" t="s">
        <v>1996</v>
      </c>
      <c r="F1329" s="19">
        <f t="shared" si="97"/>
        <v>630</v>
      </c>
      <c r="G1329" s="19" t="str">
        <f t="shared" si="96"/>
        <v>PC</v>
      </c>
      <c r="H1329" s="14" t="s">
        <v>1997</v>
      </c>
      <c r="I1329" s="14" t="s">
        <v>441</v>
      </c>
    </row>
    <row r="1330" spans="1:9" x14ac:dyDescent="0.25">
      <c r="A1330" s="17" t="s">
        <v>320</v>
      </c>
      <c r="B1330" s="14" t="s">
        <v>59</v>
      </c>
      <c r="C1330" s="18" t="s">
        <v>3876</v>
      </c>
      <c r="D1330" s="14" t="str">
        <f t="shared" si="95"/>
        <v>1ST-358-1329</v>
      </c>
      <c r="E1330" s="18" t="s">
        <v>2302</v>
      </c>
      <c r="F1330" s="19">
        <f t="shared" si="97"/>
        <v>588</v>
      </c>
      <c r="G1330" s="19" t="str">
        <f t="shared" si="96"/>
        <v>PC</v>
      </c>
      <c r="H1330" s="14"/>
      <c r="I1330" s="25" t="s">
        <v>3523</v>
      </c>
    </row>
    <row r="1331" spans="1:9" x14ac:dyDescent="0.25">
      <c r="A1331" s="17" t="s">
        <v>320</v>
      </c>
      <c r="B1331" s="14" t="s">
        <v>59</v>
      </c>
      <c r="C1331" s="18" t="s">
        <v>3877</v>
      </c>
      <c r="D1331" s="14" t="str">
        <f t="shared" si="95"/>
        <v>1ST-358-1330</v>
      </c>
      <c r="E1331" s="18" t="s">
        <v>2302</v>
      </c>
      <c r="F1331" s="19">
        <f t="shared" si="97"/>
        <v>588</v>
      </c>
      <c r="G1331" s="19" t="str">
        <f t="shared" si="96"/>
        <v>PC</v>
      </c>
      <c r="H1331" s="14"/>
      <c r="I1331" s="25" t="s">
        <v>3523</v>
      </c>
    </row>
    <row r="1332" spans="1:9" x14ac:dyDescent="0.25">
      <c r="A1332" s="17" t="s">
        <v>320</v>
      </c>
      <c r="B1332" s="14" t="s">
        <v>59</v>
      </c>
      <c r="C1332" s="18" t="s">
        <v>2303</v>
      </c>
      <c r="D1332" s="14" t="str">
        <f t="shared" si="95"/>
        <v>1ST-358-1331</v>
      </c>
      <c r="E1332" s="18" t="s">
        <v>2302</v>
      </c>
      <c r="F1332" s="19">
        <f t="shared" si="97"/>
        <v>588</v>
      </c>
      <c r="G1332" s="19" t="str">
        <f t="shared" si="96"/>
        <v>PC</v>
      </c>
      <c r="H1332" s="14"/>
      <c r="I1332" s="25" t="s">
        <v>3523</v>
      </c>
    </row>
    <row r="1333" spans="1:9" x14ac:dyDescent="0.25">
      <c r="A1333" s="17" t="s">
        <v>320</v>
      </c>
      <c r="B1333" s="14" t="s">
        <v>59</v>
      </c>
      <c r="C1333" s="18" t="s">
        <v>2304</v>
      </c>
      <c r="D1333" s="14" t="str">
        <f t="shared" si="95"/>
        <v>1ST-358-1332</v>
      </c>
      <c r="E1333" s="18" t="s">
        <v>2302</v>
      </c>
      <c r="F1333" s="19">
        <f t="shared" si="97"/>
        <v>588</v>
      </c>
      <c r="G1333" s="19" t="str">
        <f t="shared" si="96"/>
        <v>PC</v>
      </c>
      <c r="H1333" s="14"/>
      <c r="I1333" s="25" t="s">
        <v>3523</v>
      </c>
    </row>
    <row r="1334" spans="1:9" x14ac:dyDescent="0.25">
      <c r="A1334" s="17" t="s">
        <v>320</v>
      </c>
      <c r="B1334" s="14" t="s">
        <v>59</v>
      </c>
      <c r="C1334" s="18" t="s">
        <v>2305</v>
      </c>
      <c r="D1334" s="14" t="str">
        <f t="shared" si="95"/>
        <v>1ST-358-1333</v>
      </c>
      <c r="E1334" s="18" t="s">
        <v>2302</v>
      </c>
      <c r="F1334" s="19">
        <f t="shared" si="97"/>
        <v>588</v>
      </c>
      <c r="G1334" s="19" t="str">
        <f t="shared" si="96"/>
        <v>PC</v>
      </c>
      <c r="H1334" s="14"/>
      <c r="I1334" s="25" t="s">
        <v>3523</v>
      </c>
    </row>
    <row r="1335" spans="1:9" x14ac:dyDescent="0.25">
      <c r="A1335" s="17" t="s">
        <v>320</v>
      </c>
      <c r="B1335" s="14" t="s">
        <v>59</v>
      </c>
      <c r="C1335" s="18" t="s">
        <v>3878</v>
      </c>
      <c r="D1335" s="14" t="str">
        <f t="shared" si="95"/>
        <v>1ST-358-1334</v>
      </c>
      <c r="E1335" s="18" t="s">
        <v>2302</v>
      </c>
      <c r="F1335" s="19">
        <f t="shared" si="97"/>
        <v>588</v>
      </c>
      <c r="G1335" s="19" t="str">
        <f t="shared" si="96"/>
        <v>PC</v>
      </c>
      <c r="H1335" s="14"/>
      <c r="I1335" s="25" t="s">
        <v>3523</v>
      </c>
    </row>
    <row r="1336" spans="1:9" x14ac:dyDescent="0.25">
      <c r="A1336" s="17" t="s">
        <v>320</v>
      </c>
      <c r="B1336" s="14" t="s">
        <v>59</v>
      </c>
      <c r="C1336" s="18" t="s">
        <v>2306</v>
      </c>
      <c r="D1336" s="14" t="str">
        <f t="shared" si="95"/>
        <v>1ST-358-1335</v>
      </c>
      <c r="E1336" s="18" t="s">
        <v>2302</v>
      </c>
      <c r="F1336" s="19">
        <f t="shared" si="97"/>
        <v>588</v>
      </c>
      <c r="G1336" s="19" t="str">
        <f t="shared" si="96"/>
        <v>PC</v>
      </c>
      <c r="H1336" s="14"/>
      <c r="I1336" s="25" t="s">
        <v>3523</v>
      </c>
    </row>
    <row r="1337" spans="1:9" x14ac:dyDescent="0.25">
      <c r="A1337" s="17" t="s">
        <v>320</v>
      </c>
      <c r="B1337" s="14" t="s">
        <v>59</v>
      </c>
      <c r="C1337" s="18" t="s">
        <v>3879</v>
      </c>
      <c r="D1337" s="14" t="str">
        <f t="shared" si="95"/>
        <v>1ST-358-1336</v>
      </c>
      <c r="E1337" s="18" t="s">
        <v>2302</v>
      </c>
      <c r="F1337" s="19">
        <f t="shared" si="97"/>
        <v>588</v>
      </c>
      <c r="G1337" s="19" t="str">
        <f t="shared" si="96"/>
        <v>PC</v>
      </c>
      <c r="H1337" s="14"/>
      <c r="I1337" s="25" t="s">
        <v>3523</v>
      </c>
    </row>
    <row r="1338" spans="1:9" x14ac:dyDescent="0.25">
      <c r="A1338" s="17" t="s">
        <v>320</v>
      </c>
      <c r="B1338" s="14" t="s">
        <v>59</v>
      </c>
      <c r="C1338" s="18" t="s">
        <v>2307</v>
      </c>
      <c r="D1338" s="14" t="str">
        <f t="shared" si="95"/>
        <v>1ST-358-1337</v>
      </c>
      <c r="E1338" s="18" t="s">
        <v>2302</v>
      </c>
      <c r="F1338" s="19">
        <f t="shared" si="97"/>
        <v>588</v>
      </c>
      <c r="G1338" s="19" t="str">
        <f t="shared" si="96"/>
        <v>PC</v>
      </c>
      <c r="H1338" s="14"/>
      <c r="I1338" s="25" t="s">
        <v>3523</v>
      </c>
    </row>
    <row r="1339" spans="1:9" x14ac:dyDescent="0.25">
      <c r="A1339" s="17" t="s">
        <v>320</v>
      </c>
      <c r="B1339" s="14" t="s">
        <v>59</v>
      </c>
      <c r="C1339" s="18" t="s">
        <v>2308</v>
      </c>
      <c r="D1339" s="14" t="str">
        <f t="shared" si="95"/>
        <v>1ST-358-1338</v>
      </c>
      <c r="E1339" s="18" t="s">
        <v>2302</v>
      </c>
      <c r="F1339" s="19">
        <f t="shared" si="97"/>
        <v>588</v>
      </c>
      <c r="G1339" s="19" t="str">
        <f t="shared" si="96"/>
        <v>PC</v>
      </c>
      <c r="H1339" s="14"/>
      <c r="I1339" s="25" t="s">
        <v>3523</v>
      </c>
    </row>
    <row r="1340" spans="1:9" x14ac:dyDescent="0.25">
      <c r="A1340" s="17" t="s">
        <v>320</v>
      </c>
      <c r="B1340" s="14" t="s">
        <v>60</v>
      </c>
      <c r="C1340" s="18" t="s">
        <v>2309</v>
      </c>
      <c r="D1340" s="14" t="str">
        <f t="shared" si="95"/>
        <v>1ST-358-1339</v>
      </c>
      <c r="E1340" s="14" t="s">
        <v>1998</v>
      </c>
      <c r="F1340" s="19">
        <f t="shared" si="97"/>
        <v>338</v>
      </c>
      <c r="G1340" s="19" t="str">
        <f t="shared" si="96"/>
        <v>PC</v>
      </c>
      <c r="H1340" s="14"/>
      <c r="I1340" s="25" t="s">
        <v>3523</v>
      </c>
    </row>
    <row r="1341" spans="1:9" x14ac:dyDescent="0.25">
      <c r="A1341" s="17" t="s">
        <v>320</v>
      </c>
      <c r="B1341" s="14" t="s">
        <v>60</v>
      </c>
      <c r="C1341" s="18" t="s">
        <v>3880</v>
      </c>
      <c r="D1341" s="14" t="str">
        <f t="shared" si="95"/>
        <v>1ST-358-1340</v>
      </c>
      <c r="E1341" s="14" t="s">
        <v>1998</v>
      </c>
      <c r="F1341" s="19">
        <f t="shared" si="97"/>
        <v>338</v>
      </c>
      <c r="G1341" s="19" t="str">
        <f t="shared" si="96"/>
        <v>PC</v>
      </c>
      <c r="H1341" s="14"/>
      <c r="I1341" s="25" t="s">
        <v>3523</v>
      </c>
    </row>
    <row r="1342" spans="1:9" x14ac:dyDescent="0.25">
      <c r="A1342" s="17" t="s">
        <v>320</v>
      </c>
      <c r="B1342" s="14" t="s">
        <v>60</v>
      </c>
      <c r="C1342" s="18" t="s">
        <v>2310</v>
      </c>
      <c r="D1342" s="14" t="str">
        <f t="shared" si="95"/>
        <v>1ST-358-1341</v>
      </c>
      <c r="E1342" s="14" t="s">
        <v>1998</v>
      </c>
      <c r="F1342" s="19">
        <f t="shared" si="97"/>
        <v>338</v>
      </c>
      <c r="G1342" s="19" t="str">
        <f t="shared" si="96"/>
        <v>PC</v>
      </c>
      <c r="H1342" s="14"/>
      <c r="I1342" s="25" t="s">
        <v>3523</v>
      </c>
    </row>
    <row r="1343" spans="1:9" x14ac:dyDescent="0.25">
      <c r="A1343" s="17" t="s">
        <v>320</v>
      </c>
      <c r="B1343" s="14" t="s">
        <v>60</v>
      </c>
      <c r="C1343" s="18" t="s">
        <v>2311</v>
      </c>
      <c r="D1343" s="14" t="str">
        <f t="shared" si="95"/>
        <v>1ST-358-1342</v>
      </c>
      <c r="E1343" s="14" t="s">
        <v>1998</v>
      </c>
      <c r="F1343" s="19">
        <f t="shared" si="97"/>
        <v>338</v>
      </c>
      <c r="G1343" s="19" t="str">
        <f t="shared" si="96"/>
        <v>PC</v>
      </c>
      <c r="H1343" s="14"/>
      <c r="I1343" s="25" t="s">
        <v>3523</v>
      </c>
    </row>
    <row r="1344" spans="1:9" x14ac:dyDescent="0.25">
      <c r="A1344" s="17" t="s">
        <v>320</v>
      </c>
      <c r="B1344" s="14" t="s">
        <v>60</v>
      </c>
      <c r="C1344" s="18" t="s">
        <v>2312</v>
      </c>
      <c r="D1344" s="14" t="str">
        <f t="shared" si="95"/>
        <v>1ST-358-1343</v>
      </c>
      <c r="E1344" s="14" t="s">
        <v>1998</v>
      </c>
      <c r="F1344" s="19">
        <f t="shared" si="97"/>
        <v>338</v>
      </c>
      <c r="G1344" s="19" t="str">
        <f t="shared" si="96"/>
        <v>PC</v>
      </c>
      <c r="H1344" s="14"/>
      <c r="I1344" s="25" t="s">
        <v>3523</v>
      </c>
    </row>
    <row r="1345" spans="1:9" x14ac:dyDescent="0.25">
      <c r="A1345" s="17" t="s">
        <v>320</v>
      </c>
      <c r="B1345" s="14" t="s">
        <v>60</v>
      </c>
      <c r="C1345" s="18" t="s">
        <v>3881</v>
      </c>
      <c r="D1345" s="14" t="str">
        <f t="shared" si="95"/>
        <v>1ST-358-1344</v>
      </c>
      <c r="E1345" s="14" t="s">
        <v>1998</v>
      </c>
      <c r="F1345" s="19">
        <f t="shared" si="97"/>
        <v>338</v>
      </c>
      <c r="G1345" s="19" t="str">
        <f t="shared" si="96"/>
        <v>PC</v>
      </c>
      <c r="H1345" s="14"/>
      <c r="I1345" s="25" t="s">
        <v>3523</v>
      </c>
    </row>
    <row r="1346" spans="1:9" x14ac:dyDescent="0.25">
      <c r="A1346" s="17" t="s">
        <v>320</v>
      </c>
      <c r="B1346" s="14" t="s">
        <v>60</v>
      </c>
      <c r="C1346" s="18" t="s">
        <v>2313</v>
      </c>
      <c r="D1346" s="14" t="str">
        <f t="shared" si="95"/>
        <v>1ST-358-1345</v>
      </c>
      <c r="E1346" s="14" t="s">
        <v>1998</v>
      </c>
      <c r="F1346" s="19">
        <f t="shared" si="97"/>
        <v>338</v>
      </c>
      <c r="G1346" s="19" t="str">
        <f t="shared" si="96"/>
        <v>PC</v>
      </c>
      <c r="H1346" s="14"/>
      <c r="I1346" s="25" t="s">
        <v>3523</v>
      </c>
    </row>
    <row r="1347" spans="1:9" x14ac:dyDescent="0.25">
      <c r="A1347" s="17" t="s">
        <v>320</v>
      </c>
      <c r="B1347" s="14" t="s">
        <v>60</v>
      </c>
      <c r="C1347" s="18" t="s">
        <v>3882</v>
      </c>
      <c r="D1347" s="14" t="str">
        <f t="shared" si="95"/>
        <v>1ST-358-1346</v>
      </c>
      <c r="E1347" s="14" t="s">
        <v>1998</v>
      </c>
      <c r="F1347" s="19">
        <f t="shared" si="97"/>
        <v>338</v>
      </c>
      <c r="G1347" s="19" t="str">
        <f t="shared" si="96"/>
        <v>PC</v>
      </c>
      <c r="H1347" s="14"/>
      <c r="I1347" s="25" t="s">
        <v>3523</v>
      </c>
    </row>
    <row r="1348" spans="1:9" x14ac:dyDescent="0.25">
      <c r="A1348" s="17" t="s">
        <v>320</v>
      </c>
      <c r="B1348" s="14" t="s">
        <v>60</v>
      </c>
      <c r="C1348" s="18" t="s">
        <v>3883</v>
      </c>
      <c r="D1348" s="14" t="str">
        <f t="shared" si="95"/>
        <v>1ST-358-1347</v>
      </c>
      <c r="E1348" s="14" t="s">
        <v>1998</v>
      </c>
      <c r="F1348" s="19">
        <f t="shared" si="97"/>
        <v>338</v>
      </c>
      <c r="G1348" s="19" t="str">
        <f t="shared" si="96"/>
        <v>PC</v>
      </c>
      <c r="H1348" s="14"/>
      <c r="I1348" s="25" t="s">
        <v>3523</v>
      </c>
    </row>
    <row r="1349" spans="1:9" x14ac:dyDescent="0.25">
      <c r="A1349" s="17" t="s">
        <v>320</v>
      </c>
      <c r="B1349" s="14" t="s">
        <v>60</v>
      </c>
      <c r="C1349" s="18" t="s">
        <v>2314</v>
      </c>
      <c r="D1349" s="14" t="str">
        <f t="shared" ref="D1349:D1412" si="98">LEFT($D$2,FIND("-",$D$2,FIND("-",$D$2)+1)) &amp; TEXT(RIGHT($D$2,3)+ROW(D1347),"000")</f>
        <v>1ST-358-1348</v>
      </c>
      <c r="E1349" s="14" t="s">
        <v>1998</v>
      </c>
      <c r="F1349" s="19">
        <f t="shared" si="97"/>
        <v>338</v>
      </c>
      <c r="G1349" s="19" t="str">
        <f t="shared" si="96"/>
        <v>PC</v>
      </c>
      <c r="H1349" s="14"/>
      <c r="I1349" s="25" t="s">
        <v>3523</v>
      </c>
    </row>
    <row r="1350" spans="1:9" x14ac:dyDescent="0.25">
      <c r="A1350" s="17" t="s">
        <v>320</v>
      </c>
      <c r="B1350" s="14" t="s">
        <v>61</v>
      </c>
      <c r="C1350" s="18" t="s">
        <v>2315</v>
      </c>
      <c r="D1350" s="14" t="str">
        <f t="shared" si="98"/>
        <v>1ST-358-1349</v>
      </c>
      <c r="E1350" s="19" t="s">
        <v>2316</v>
      </c>
      <c r="F1350" s="19">
        <f t="shared" si="97"/>
        <v>698</v>
      </c>
      <c r="G1350" s="19" t="str">
        <f t="shared" si="96"/>
        <v>PC</v>
      </c>
      <c r="H1350" s="18" t="s">
        <v>2861</v>
      </c>
      <c r="I1350" s="25" t="s">
        <v>3523</v>
      </c>
    </row>
    <row r="1351" spans="1:9" x14ac:dyDescent="0.25">
      <c r="A1351" s="17" t="s">
        <v>320</v>
      </c>
      <c r="B1351" s="14" t="s">
        <v>61</v>
      </c>
      <c r="C1351" s="18" t="s">
        <v>2317</v>
      </c>
      <c r="D1351" s="14" t="str">
        <f t="shared" si="98"/>
        <v>1ST-358-1350</v>
      </c>
      <c r="E1351" s="19" t="s">
        <v>2318</v>
      </c>
      <c r="F1351" s="19">
        <f t="shared" si="97"/>
        <v>798</v>
      </c>
      <c r="G1351" s="19" t="str">
        <f t="shared" si="96"/>
        <v>PC</v>
      </c>
      <c r="H1351" s="18" t="s">
        <v>2862</v>
      </c>
      <c r="I1351" s="25" t="s">
        <v>3523</v>
      </c>
    </row>
    <row r="1352" spans="1:9" x14ac:dyDescent="0.25">
      <c r="A1352" s="17" t="s">
        <v>320</v>
      </c>
      <c r="B1352" s="14" t="s">
        <v>61</v>
      </c>
      <c r="C1352" s="18" t="s">
        <v>2319</v>
      </c>
      <c r="D1352" s="14" t="str">
        <f t="shared" si="98"/>
        <v>1ST-358-1351</v>
      </c>
      <c r="E1352" s="19" t="s">
        <v>2318</v>
      </c>
      <c r="F1352" s="19">
        <f t="shared" si="97"/>
        <v>798</v>
      </c>
      <c r="G1352" s="19" t="str">
        <f t="shared" si="96"/>
        <v>PC</v>
      </c>
      <c r="H1352" s="18" t="s">
        <v>2862</v>
      </c>
      <c r="I1352" s="25" t="s">
        <v>3523</v>
      </c>
    </row>
    <row r="1353" spans="1:9" ht="26.4" x14ac:dyDescent="0.25">
      <c r="A1353" s="17" t="s">
        <v>320</v>
      </c>
      <c r="B1353" s="14" t="s">
        <v>62</v>
      </c>
      <c r="C1353" s="18" t="s">
        <v>2320</v>
      </c>
      <c r="D1353" s="14" t="str">
        <f t="shared" si="98"/>
        <v>1ST-358-1352</v>
      </c>
      <c r="E1353" s="18" t="s">
        <v>2321</v>
      </c>
      <c r="F1353" s="19">
        <f t="shared" si="97"/>
        <v>598</v>
      </c>
      <c r="G1353" s="19" t="str">
        <f t="shared" si="96"/>
        <v>PC</v>
      </c>
      <c r="H1353" s="18" t="s">
        <v>3343</v>
      </c>
      <c r="I1353" s="25" t="s">
        <v>3523</v>
      </c>
    </row>
    <row r="1354" spans="1:9" ht="26.4" x14ac:dyDescent="0.25">
      <c r="A1354" s="17" t="s">
        <v>320</v>
      </c>
      <c r="B1354" s="14" t="s">
        <v>62</v>
      </c>
      <c r="C1354" s="18" t="s">
        <v>2322</v>
      </c>
      <c r="D1354" s="14" t="str">
        <f t="shared" si="98"/>
        <v>1ST-358-1353</v>
      </c>
      <c r="E1354" s="18" t="s">
        <v>2316</v>
      </c>
      <c r="F1354" s="19">
        <f t="shared" si="97"/>
        <v>698</v>
      </c>
      <c r="G1354" s="19" t="str">
        <f t="shared" ref="G1354:G1417" si="99">TRIM(MID(E1354,FIND("/",E1354)+1,LEN(E1354)))</f>
        <v>PC</v>
      </c>
      <c r="H1354" s="18" t="s">
        <v>3344</v>
      </c>
      <c r="I1354" s="25" t="s">
        <v>3523</v>
      </c>
    </row>
    <row r="1355" spans="1:9" ht="26.4" x14ac:dyDescent="0.25">
      <c r="A1355" s="17" t="s">
        <v>320</v>
      </c>
      <c r="B1355" s="14" t="s">
        <v>62</v>
      </c>
      <c r="C1355" s="18" t="s">
        <v>2323</v>
      </c>
      <c r="D1355" s="14" t="str">
        <f t="shared" si="98"/>
        <v>1ST-358-1354</v>
      </c>
      <c r="E1355" s="18" t="s">
        <v>2316</v>
      </c>
      <c r="F1355" s="19">
        <f t="shared" si="97"/>
        <v>698</v>
      </c>
      <c r="G1355" s="19" t="str">
        <f t="shared" si="99"/>
        <v>PC</v>
      </c>
      <c r="H1355" s="18" t="s">
        <v>3344</v>
      </c>
      <c r="I1355" s="25" t="s">
        <v>3523</v>
      </c>
    </row>
    <row r="1356" spans="1:9" x14ac:dyDescent="0.25">
      <c r="A1356" s="17" t="s">
        <v>320</v>
      </c>
      <c r="B1356" s="14" t="s">
        <v>63</v>
      </c>
      <c r="C1356" s="18" t="s">
        <v>2324</v>
      </c>
      <c r="D1356" s="14" t="str">
        <f t="shared" si="98"/>
        <v>1ST-358-1355</v>
      </c>
      <c r="E1356" s="18" t="s">
        <v>2325</v>
      </c>
      <c r="F1356" s="19">
        <f t="shared" si="97"/>
        <v>568</v>
      </c>
      <c r="G1356" s="19" t="str">
        <f t="shared" si="99"/>
        <v>PC</v>
      </c>
      <c r="H1356" s="14" t="s">
        <v>1999</v>
      </c>
      <c r="I1356" s="25" t="s">
        <v>3523</v>
      </c>
    </row>
    <row r="1357" spans="1:9" x14ac:dyDescent="0.25">
      <c r="A1357" s="17" t="s">
        <v>320</v>
      </c>
      <c r="B1357" s="14" t="s">
        <v>63</v>
      </c>
      <c r="C1357" s="18" t="s">
        <v>2326</v>
      </c>
      <c r="D1357" s="14" t="str">
        <f t="shared" si="98"/>
        <v>1ST-358-1356</v>
      </c>
      <c r="E1357" s="18" t="s">
        <v>2325</v>
      </c>
      <c r="F1357" s="19">
        <f t="shared" si="97"/>
        <v>568</v>
      </c>
      <c r="G1357" s="19" t="str">
        <f t="shared" si="99"/>
        <v>PC</v>
      </c>
      <c r="H1357" s="14" t="s">
        <v>1999</v>
      </c>
      <c r="I1357" s="25" t="s">
        <v>3523</v>
      </c>
    </row>
    <row r="1358" spans="1:9" x14ac:dyDescent="0.25">
      <c r="A1358" s="17" t="s">
        <v>320</v>
      </c>
      <c r="B1358" s="14" t="s">
        <v>63</v>
      </c>
      <c r="C1358" s="18" t="s">
        <v>2327</v>
      </c>
      <c r="D1358" s="14" t="str">
        <f t="shared" si="98"/>
        <v>1ST-358-1357</v>
      </c>
      <c r="E1358" s="18" t="s">
        <v>2328</v>
      </c>
      <c r="F1358" s="19">
        <f t="shared" si="97"/>
        <v>468</v>
      </c>
      <c r="G1358" s="19" t="str">
        <f t="shared" si="99"/>
        <v>PC</v>
      </c>
      <c r="H1358" s="14" t="s">
        <v>2000</v>
      </c>
      <c r="I1358" s="25" t="s">
        <v>3523</v>
      </c>
    </row>
    <row r="1359" spans="1:9" x14ac:dyDescent="0.25">
      <c r="A1359" s="17" t="s">
        <v>320</v>
      </c>
      <c r="B1359" s="14" t="s">
        <v>64</v>
      </c>
      <c r="C1359" s="18" t="s">
        <v>2329</v>
      </c>
      <c r="D1359" s="14" t="str">
        <f t="shared" si="98"/>
        <v>1ST-358-1358</v>
      </c>
      <c r="E1359" s="18" t="s">
        <v>2330</v>
      </c>
      <c r="F1359" s="19">
        <f t="shared" si="97"/>
        <v>113</v>
      </c>
      <c r="G1359" s="19" t="str">
        <f t="shared" si="99"/>
        <v>PC</v>
      </c>
      <c r="H1359" s="14"/>
      <c r="I1359" s="14" t="s">
        <v>441</v>
      </c>
    </row>
    <row r="1360" spans="1:9" x14ac:dyDescent="0.25">
      <c r="A1360" s="17" t="s">
        <v>320</v>
      </c>
      <c r="B1360" s="14" t="s">
        <v>64</v>
      </c>
      <c r="C1360" s="18" t="s">
        <v>2331</v>
      </c>
      <c r="D1360" s="14" t="str">
        <f t="shared" si="98"/>
        <v>1ST-358-1359</v>
      </c>
      <c r="E1360" s="18" t="s">
        <v>2330</v>
      </c>
      <c r="F1360" s="19">
        <f t="shared" si="97"/>
        <v>113</v>
      </c>
      <c r="G1360" s="19" t="str">
        <f t="shared" si="99"/>
        <v>PC</v>
      </c>
      <c r="H1360" s="14"/>
      <c r="I1360" s="14" t="s">
        <v>441</v>
      </c>
    </row>
    <row r="1361" spans="1:9" x14ac:dyDescent="0.25">
      <c r="A1361" s="17" t="s">
        <v>320</v>
      </c>
      <c r="B1361" s="14" t="s">
        <v>64</v>
      </c>
      <c r="C1361" s="18" t="s">
        <v>3884</v>
      </c>
      <c r="D1361" s="14" t="str">
        <f t="shared" si="98"/>
        <v>1ST-358-1360</v>
      </c>
      <c r="E1361" s="18" t="s">
        <v>2330</v>
      </c>
      <c r="F1361" s="19">
        <f t="shared" si="97"/>
        <v>113</v>
      </c>
      <c r="G1361" s="19" t="str">
        <f t="shared" si="99"/>
        <v>PC</v>
      </c>
      <c r="H1361" s="14"/>
      <c r="I1361" s="14" t="s">
        <v>441</v>
      </c>
    </row>
    <row r="1362" spans="1:9" x14ac:dyDescent="0.25">
      <c r="A1362" s="17" t="s">
        <v>320</v>
      </c>
      <c r="B1362" s="14" t="s">
        <v>64</v>
      </c>
      <c r="C1362" s="18" t="s">
        <v>2332</v>
      </c>
      <c r="D1362" s="14" t="str">
        <f t="shared" si="98"/>
        <v>1ST-358-1361</v>
      </c>
      <c r="E1362" s="18" t="s">
        <v>703</v>
      </c>
      <c r="F1362" s="19">
        <f t="shared" si="97"/>
        <v>145</v>
      </c>
      <c r="G1362" s="19" t="str">
        <f t="shared" si="99"/>
        <v>PC</v>
      </c>
      <c r="H1362" s="14"/>
      <c r="I1362" s="14" t="s">
        <v>441</v>
      </c>
    </row>
    <row r="1363" spans="1:9" x14ac:dyDescent="0.25">
      <c r="A1363" s="17" t="s">
        <v>320</v>
      </c>
      <c r="B1363" s="14" t="s">
        <v>64</v>
      </c>
      <c r="C1363" s="18" t="s">
        <v>2333</v>
      </c>
      <c r="D1363" s="14" t="str">
        <f t="shared" si="98"/>
        <v>1ST-358-1362</v>
      </c>
      <c r="E1363" s="18" t="s">
        <v>703</v>
      </c>
      <c r="F1363" s="19">
        <f t="shared" si="97"/>
        <v>145</v>
      </c>
      <c r="G1363" s="19" t="str">
        <f t="shared" si="99"/>
        <v>PC</v>
      </c>
      <c r="H1363" s="14"/>
      <c r="I1363" s="14" t="s">
        <v>441</v>
      </c>
    </row>
    <row r="1364" spans="1:9" ht="52.8" x14ac:dyDescent="0.25">
      <c r="A1364" s="17" t="s">
        <v>320</v>
      </c>
      <c r="B1364" s="14" t="s">
        <v>65</v>
      </c>
      <c r="C1364" s="18" t="s">
        <v>2334</v>
      </c>
      <c r="D1364" s="14" t="str">
        <f t="shared" si="98"/>
        <v>1ST-358-1363</v>
      </c>
      <c r="E1364" s="19" t="s">
        <v>674</v>
      </c>
      <c r="F1364" s="19">
        <f t="shared" si="97"/>
        <v>320</v>
      </c>
      <c r="G1364" s="19" t="str">
        <f t="shared" si="99"/>
        <v>PC</v>
      </c>
      <c r="H1364" s="20" t="s">
        <v>2001</v>
      </c>
      <c r="I1364" s="25" t="s">
        <v>3523</v>
      </c>
    </row>
    <row r="1365" spans="1:9" ht="52.8" x14ac:dyDescent="0.25">
      <c r="A1365" s="17" t="s">
        <v>320</v>
      </c>
      <c r="B1365" s="14" t="s">
        <v>65</v>
      </c>
      <c r="C1365" s="18" t="s">
        <v>2335</v>
      </c>
      <c r="D1365" s="14" t="str">
        <f t="shared" si="98"/>
        <v>1ST-358-1364</v>
      </c>
      <c r="E1365" s="19" t="s">
        <v>674</v>
      </c>
      <c r="F1365" s="19">
        <f t="shared" si="97"/>
        <v>320</v>
      </c>
      <c r="G1365" s="19" t="str">
        <f t="shared" si="99"/>
        <v>PC</v>
      </c>
      <c r="H1365" s="20" t="s">
        <v>2001</v>
      </c>
      <c r="I1365" s="25" t="s">
        <v>3523</v>
      </c>
    </row>
    <row r="1366" spans="1:9" ht="52.8" x14ac:dyDescent="0.25">
      <c r="A1366" s="17" t="s">
        <v>320</v>
      </c>
      <c r="B1366" s="14" t="s">
        <v>65</v>
      </c>
      <c r="C1366" s="18" t="s">
        <v>2336</v>
      </c>
      <c r="D1366" s="14" t="str">
        <f t="shared" si="98"/>
        <v>1ST-358-1365</v>
      </c>
      <c r="E1366" s="18" t="s">
        <v>2337</v>
      </c>
      <c r="F1366" s="19">
        <f t="shared" si="97"/>
        <v>335</v>
      </c>
      <c r="G1366" s="19" t="str">
        <f t="shared" si="99"/>
        <v>PC</v>
      </c>
      <c r="H1366" s="20" t="s">
        <v>2001</v>
      </c>
      <c r="I1366" s="25" t="s">
        <v>3523</v>
      </c>
    </row>
    <row r="1367" spans="1:9" ht="52.8" x14ac:dyDescent="0.25">
      <c r="A1367" s="17" t="s">
        <v>320</v>
      </c>
      <c r="B1367" s="14" t="s">
        <v>65</v>
      </c>
      <c r="C1367" s="18" t="s">
        <v>3885</v>
      </c>
      <c r="D1367" s="14" t="str">
        <f t="shared" si="98"/>
        <v>1ST-358-1366</v>
      </c>
      <c r="E1367" s="18" t="s">
        <v>2337</v>
      </c>
      <c r="F1367" s="19">
        <f t="shared" si="97"/>
        <v>335</v>
      </c>
      <c r="G1367" s="19" t="str">
        <f t="shared" si="99"/>
        <v>PC</v>
      </c>
      <c r="H1367" s="20" t="s">
        <v>2001</v>
      </c>
      <c r="I1367" s="25" t="s">
        <v>3523</v>
      </c>
    </row>
    <row r="1368" spans="1:9" ht="52.8" x14ac:dyDescent="0.25">
      <c r="A1368" s="17" t="s">
        <v>320</v>
      </c>
      <c r="B1368" s="14" t="s">
        <v>65</v>
      </c>
      <c r="C1368" s="18" t="s">
        <v>2338</v>
      </c>
      <c r="D1368" s="14" t="str">
        <f t="shared" si="98"/>
        <v>1ST-358-1367</v>
      </c>
      <c r="E1368" s="18" t="s">
        <v>2337</v>
      </c>
      <c r="F1368" s="19">
        <f t="shared" si="97"/>
        <v>335</v>
      </c>
      <c r="G1368" s="19" t="str">
        <f t="shared" si="99"/>
        <v>PC</v>
      </c>
      <c r="H1368" s="20" t="s">
        <v>2001</v>
      </c>
      <c r="I1368" s="25" t="s">
        <v>3523</v>
      </c>
    </row>
    <row r="1369" spans="1:9" ht="52.8" x14ac:dyDescent="0.25">
      <c r="A1369" s="17" t="s">
        <v>320</v>
      </c>
      <c r="B1369" s="14" t="s">
        <v>65</v>
      </c>
      <c r="C1369" s="18" t="s">
        <v>2339</v>
      </c>
      <c r="D1369" s="14" t="str">
        <f t="shared" si="98"/>
        <v>1ST-358-1368</v>
      </c>
      <c r="E1369" s="19" t="s">
        <v>2337</v>
      </c>
      <c r="F1369" s="19">
        <f t="shared" si="97"/>
        <v>335</v>
      </c>
      <c r="G1369" s="19" t="str">
        <f t="shared" si="99"/>
        <v>PC</v>
      </c>
      <c r="H1369" s="20" t="s">
        <v>2001</v>
      </c>
      <c r="I1369" s="25" t="s">
        <v>3523</v>
      </c>
    </row>
    <row r="1370" spans="1:9" x14ac:dyDescent="0.25">
      <c r="A1370" s="17" t="s">
        <v>320</v>
      </c>
      <c r="B1370" s="14" t="s">
        <v>66</v>
      </c>
      <c r="C1370" s="19" t="s">
        <v>3345</v>
      </c>
      <c r="D1370" s="14" t="str">
        <f t="shared" si="98"/>
        <v>1ST-358-1369</v>
      </c>
      <c r="E1370" s="19" t="s">
        <v>2340</v>
      </c>
      <c r="F1370" s="19">
        <f t="shared" si="97"/>
        <v>30</v>
      </c>
      <c r="G1370" s="19" t="str">
        <f t="shared" si="99"/>
        <v>BAG</v>
      </c>
      <c r="H1370" s="18" t="s">
        <v>2863</v>
      </c>
      <c r="I1370" s="14" t="s">
        <v>441</v>
      </c>
    </row>
    <row r="1371" spans="1:9" x14ac:dyDescent="0.25">
      <c r="A1371" s="17" t="s">
        <v>320</v>
      </c>
      <c r="B1371" s="14" t="s">
        <v>66</v>
      </c>
      <c r="C1371" s="19" t="s">
        <v>3346</v>
      </c>
      <c r="D1371" s="14" t="str">
        <f t="shared" si="98"/>
        <v>1ST-358-1370</v>
      </c>
      <c r="E1371" s="19" t="s">
        <v>2341</v>
      </c>
      <c r="F1371" s="19">
        <f t="shared" si="97"/>
        <v>37</v>
      </c>
      <c r="G1371" s="19" t="str">
        <f t="shared" si="99"/>
        <v>BAG</v>
      </c>
      <c r="H1371" s="18" t="s">
        <v>2864</v>
      </c>
      <c r="I1371" s="14" t="s">
        <v>441</v>
      </c>
    </row>
    <row r="1372" spans="1:9" x14ac:dyDescent="0.25">
      <c r="A1372" s="17" t="s">
        <v>320</v>
      </c>
      <c r="B1372" s="14" t="s">
        <v>66</v>
      </c>
      <c r="C1372" s="19" t="s">
        <v>3886</v>
      </c>
      <c r="D1372" s="14" t="str">
        <f t="shared" si="98"/>
        <v>1ST-358-1371</v>
      </c>
      <c r="E1372" s="19" t="s">
        <v>2342</v>
      </c>
      <c r="F1372" s="19">
        <f t="shared" si="97"/>
        <v>36</v>
      </c>
      <c r="G1372" s="19" t="str">
        <f t="shared" si="99"/>
        <v>BAG</v>
      </c>
      <c r="H1372" s="18" t="s">
        <v>2865</v>
      </c>
      <c r="I1372" s="14" t="s">
        <v>441</v>
      </c>
    </row>
    <row r="1373" spans="1:9" x14ac:dyDescent="0.25">
      <c r="A1373" s="17" t="s">
        <v>320</v>
      </c>
      <c r="B1373" s="14" t="s">
        <v>66</v>
      </c>
      <c r="C1373" s="18" t="s">
        <v>3887</v>
      </c>
      <c r="D1373" s="14" t="str">
        <f t="shared" si="98"/>
        <v>1ST-358-1372</v>
      </c>
      <c r="E1373" s="19" t="s">
        <v>2343</v>
      </c>
      <c r="F1373" s="19">
        <f t="shared" si="97"/>
        <v>26.5</v>
      </c>
      <c r="G1373" s="19" t="str">
        <f t="shared" si="99"/>
        <v>BAG</v>
      </c>
      <c r="H1373" s="18" t="s">
        <v>2866</v>
      </c>
      <c r="I1373" s="14" t="s">
        <v>441</v>
      </c>
    </row>
    <row r="1374" spans="1:9" x14ac:dyDescent="0.25">
      <c r="A1374" s="17" t="s">
        <v>320</v>
      </c>
      <c r="B1374" s="14" t="s">
        <v>67</v>
      </c>
      <c r="C1374" s="19" t="s">
        <v>2344</v>
      </c>
      <c r="D1374" s="14" t="str">
        <f t="shared" si="98"/>
        <v>1ST-358-1373</v>
      </c>
      <c r="E1374" s="19" t="s">
        <v>2345</v>
      </c>
      <c r="F1374" s="19">
        <f t="shared" si="97"/>
        <v>8.1</v>
      </c>
      <c r="G1374" s="19" t="str">
        <f t="shared" si="99"/>
        <v>BAG</v>
      </c>
      <c r="H1374" s="18" t="s">
        <v>2867</v>
      </c>
      <c r="I1374" s="14" t="s">
        <v>441</v>
      </c>
    </row>
    <row r="1375" spans="1:9" x14ac:dyDescent="0.25">
      <c r="A1375" s="17" t="s">
        <v>320</v>
      </c>
      <c r="B1375" s="14" t="s">
        <v>67</v>
      </c>
      <c r="C1375" s="19" t="s">
        <v>2346</v>
      </c>
      <c r="D1375" s="14" t="str">
        <f t="shared" si="98"/>
        <v>1ST-358-1374</v>
      </c>
      <c r="E1375" s="19" t="s">
        <v>2347</v>
      </c>
      <c r="F1375" s="19">
        <f t="shared" si="97"/>
        <v>10</v>
      </c>
      <c r="G1375" s="19" t="str">
        <f t="shared" si="99"/>
        <v>BAG</v>
      </c>
      <c r="H1375" s="18" t="s">
        <v>2868</v>
      </c>
      <c r="I1375" s="14" t="s">
        <v>441</v>
      </c>
    </row>
    <row r="1376" spans="1:9" x14ac:dyDescent="0.25">
      <c r="A1376" s="17" t="s">
        <v>320</v>
      </c>
      <c r="B1376" s="14" t="s">
        <v>67</v>
      </c>
      <c r="C1376" s="19" t="s">
        <v>2348</v>
      </c>
      <c r="D1376" s="14" t="str">
        <f t="shared" si="98"/>
        <v>1ST-358-1375</v>
      </c>
      <c r="E1376" s="19" t="s">
        <v>2349</v>
      </c>
      <c r="F1376" s="19">
        <f t="shared" si="97"/>
        <v>20</v>
      </c>
      <c r="G1376" s="19" t="str">
        <f t="shared" si="99"/>
        <v>BAG</v>
      </c>
      <c r="H1376" s="18" t="s">
        <v>2869</v>
      </c>
      <c r="I1376" s="14" t="s">
        <v>441</v>
      </c>
    </row>
    <row r="1377" spans="1:9" x14ac:dyDescent="0.25">
      <c r="A1377" s="17" t="s">
        <v>320</v>
      </c>
      <c r="B1377" s="14" t="s">
        <v>67</v>
      </c>
      <c r="C1377" s="19" t="s">
        <v>2350</v>
      </c>
      <c r="D1377" s="14" t="str">
        <f t="shared" si="98"/>
        <v>1ST-358-1376</v>
      </c>
      <c r="E1377" s="19" t="s">
        <v>2340</v>
      </c>
      <c r="F1377" s="19">
        <f t="shared" si="97"/>
        <v>30</v>
      </c>
      <c r="G1377" s="19" t="str">
        <f t="shared" si="99"/>
        <v>BAG</v>
      </c>
      <c r="H1377" s="18" t="s">
        <v>2863</v>
      </c>
      <c r="I1377" s="14" t="s">
        <v>441</v>
      </c>
    </row>
    <row r="1378" spans="1:9" x14ac:dyDescent="0.25">
      <c r="A1378" s="17" t="s">
        <v>320</v>
      </c>
      <c r="B1378" s="14" t="s">
        <v>68</v>
      </c>
      <c r="C1378" s="19" t="s">
        <v>2351</v>
      </c>
      <c r="D1378" s="14" t="str">
        <f t="shared" si="98"/>
        <v>1ST-358-1377</v>
      </c>
      <c r="E1378" s="18" t="s">
        <v>2352</v>
      </c>
      <c r="F1378" s="19">
        <f t="shared" si="97"/>
        <v>12.5</v>
      </c>
      <c r="G1378" s="19" t="str">
        <f t="shared" si="99"/>
        <v>S.BOX</v>
      </c>
      <c r="H1378" s="18" t="s">
        <v>2870</v>
      </c>
      <c r="I1378" s="14" t="s">
        <v>441</v>
      </c>
    </row>
    <row r="1379" spans="1:9" x14ac:dyDescent="0.25">
      <c r="A1379" s="17" t="s">
        <v>320</v>
      </c>
      <c r="B1379" s="14" t="s">
        <v>68</v>
      </c>
      <c r="C1379" s="19" t="s">
        <v>2353</v>
      </c>
      <c r="D1379" s="14" t="str">
        <f t="shared" si="98"/>
        <v>1ST-358-1378</v>
      </c>
      <c r="E1379" s="19" t="s">
        <v>2354</v>
      </c>
      <c r="F1379" s="19">
        <f t="shared" si="97"/>
        <v>15</v>
      </c>
      <c r="G1379" s="19" t="str">
        <f t="shared" si="99"/>
        <v>S.BOX</v>
      </c>
      <c r="H1379" s="18" t="s">
        <v>2871</v>
      </c>
      <c r="I1379" s="14" t="s">
        <v>441</v>
      </c>
    </row>
    <row r="1380" spans="1:9" x14ac:dyDescent="0.25">
      <c r="A1380" s="17" t="s">
        <v>320</v>
      </c>
      <c r="B1380" s="14" t="s">
        <v>68</v>
      </c>
      <c r="C1380" s="19" t="s">
        <v>2355</v>
      </c>
      <c r="D1380" s="14" t="str">
        <f t="shared" si="98"/>
        <v>1ST-358-1379</v>
      </c>
      <c r="E1380" s="19" t="s">
        <v>2356</v>
      </c>
      <c r="F1380" s="19">
        <f t="shared" si="97"/>
        <v>19</v>
      </c>
      <c r="G1380" s="19" t="str">
        <f t="shared" si="99"/>
        <v>S.BOX</v>
      </c>
      <c r="H1380" s="18" t="s">
        <v>2872</v>
      </c>
      <c r="I1380" s="14" t="s">
        <v>441</v>
      </c>
    </row>
    <row r="1381" spans="1:9" x14ac:dyDescent="0.25">
      <c r="A1381" s="17" t="s">
        <v>320</v>
      </c>
      <c r="B1381" s="14" t="s">
        <v>68</v>
      </c>
      <c r="C1381" s="19" t="s">
        <v>2357</v>
      </c>
      <c r="D1381" s="14" t="str">
        <f t="shared" si="98"/>
        <v>1ST-358-1380</v>
      </c>
      <c r="E1381" s="19" t="s">
        <v>2358</v>
      </c>
      <c r="F1381" s="19">
        <f t="shared" si="97"/>
        <v>22</v>
      </c>
      <c r="G1381" s="19" t="str">
        <f t="shared" si="99"/>
        <v>S.BOX</v>
      </c>
      <c r="H1381" s="18" t="s">
        <v>2873</v>
      </c>
      <c r="I1381" s="14" t="s">
        <v>441</v>
      </c>
    </row>
    <row r="1382" spans="1:9" x14ac:dyDescent="0.25">
      <c r="A1382" s="17" t="s">
        <v>320</v>
      </c>
      <c r="B1382" s="14" t="s">
        <v>68</v>
      </c>
      <c r="C1382" s="18" t="s">
        <v>2359</v>
      </c>
      <c r="D1382" s="14" t="str">
        <f t="shared" si="98"/>
        <v>1ST-358-1381</v>
      </c>
      <c r="E1382" s="18" t="s">
        <v>2360</v>
      </c>
      <c r="F1382" s="19">
        <f t="shared" si="97"/>
        <v>13</v>
      </c>
      <c r="G1382" s="19" t="str">
        <f t="shared" si="99"/>
        <v>S.BOX</v>
      </c>
      <c r="H1382" s="18" t="s">
        <v>2874</v>
      </c>
      <c r="I1382" s="14" t="s">
        <v>441</v>
      </c>
    </row>
    <row r="1383" spans="1:9" x14ac:dyDescent="0.25">
      <c r="A1383" s="17" t="s">
        <v>320</v>
      </c>
      <c r="B1383" s="14" t="s">
        <v>68</v>
      </c>
      <c r="C1383" s="18" t="s">
        <v>2361</v>
      </c>
      <c r="D1383" s="14" t="str">
        <f t="shared" si="98"/>
        <v>1ST-358-1382</v>
      </c>
      <c r="E1383" s="18" t="s">
        <v>2362</v>
      </c>
      <c r="F1383" s="19">
        <f t="shared" si="97"/>
        <v>16</v>
      </c>
      <c r="G1383" s="19" t="str">
        <f t="shared" si="99"/>
        <v>S.BOX</v>
      </c>
      <c r="H1383" s="18" t="s">
        <v>2875</v>
      </c>
      <c r="I1383" s="14" t="s">
        <v>441</v>
      </c>
    </row>
    <row r="1384" spans="1:9" x14ac:dyDescent="0.25">
      <c r="A1384" s="17" t="s">
        <v>320</v>
      </c>
      <c r="B1384" s="14" t="s">
        <v>68</v>
      </c>
      <c r="C1384" s="18" t="s">
        <v>2363</v>
      </c>
      <c r="D1384" s="14" t="str">
        <f t="shared" si="98"/>
        <v>1ST-358-1383</v>
      </c>
      <c r="E1384" s="18" t="s">
        <v>2364</v>
      </c>
      <c r="F1384" s="19">
        <f t="shared" ref="F1384:F1447" si="100">VALUE(LEFT(E1384,FIND("/",E1384)-1))</f>
        <v>21</v>
      </c>
      <c r="G1384" s="19" t="str">
        <f t="shared" si="99"/>
        <v>S.BOX</v>
      </c>
      <c r="H1384" s="18" t="s">
        <v>2876</v>
      </c>
      <c r="I1384" s="14" t="s">
        <v>441</v>
      </c>
    </row>
    <row r="1385" spans="1:9" x14ac:dyDescent="0.25">
      <c r="A1385" s="17" t="s">
        <v>320</v>
      </c>
      <c r="B1385" s="14" t="s">
        <v>68</v>
      </c>
      <c r="C1385" s="18" t="s">
        <v>2365</v>
      </c>
      <c r="D1385" s="14" t="str">
        <f t="shared" si="98"/>
        <v>1ST-358-1384</v>
      </c>
      <c r="E1385" s="18" t="s">
        <v>2366</v>
      </c>
      <c r="F1385" s="19">
        <f t="shared" si="100"/>
        <v>28</v>
      </c>
      <c r="G1385" s="19" t="str">
        <f t="shared" si="99"/>
        <v>S.BOX</v>
      </c>
      <c r="H1385" s="18" t="s">
        <v>2877</v>
      </c>
      <c r="I1385" s="14" t="s">
        <v>441</v>
      </c>
    </row>
    <row r="1386" spans="1:9" x14ac:dyDescent="0.25">
      <c r="A1386" s="17" t="s">
        <v>320</v>
      </c>
      <c r="B1386" s="14" t="s">
        <v>68</v>
      </c>
      <c r="C1386" s="18" t="s">
        <v>2367</v>
      </c>
      <c r="D1386" s="14" t="str">
        <f t="shared" si="98"/>
        <v>1ST-358-1385</v>
      </c>
      <c r="E1386" s="18" t="s">
        <v>2368</v>
      </c>
      <c r="F1386" s="19">
        <f t="shared" si="100"/>
        <v>62</v>
      </c>
      <c r="G1386" s="19" t="str">
        <f t="shared" si="99"/>
        <v>S.BOX</v>
      </c>
      <c r="H1386" s="18" t="s">
        <v>2878</v>
      </c>
      <c r="I1386" s="14" t="s">
        <v>441</v>
      </c>
    </row>
    <row r="1387" spans="1:9" x14ac:dyDescent="0.25">
      <c r="A1387" s="17" t="s">
        <v>320</v>
      </c>
      <c r="B1387" s="14" t="s">
        <v>68</v>
      </c>
      <c r="C1387" s="18" t="s">
        <v>2369</v>
      </c>
      <c r="D1387" s="14" t="str">
        <f t="shared" si="98"/>
        <v>1ST-358-1386</v>
      </c>
      <c r="E1387" s="18" t="s">
        <v>2368</v>
      </c>
      <c r="F1387" s="19">
        <f t="shared" si="100"/>
        <v>62</v>
      </c>
      <c r="G1387" s="19" t="str">
        <f t="shared" si="99"/>
        <v>S.BOX</v>
      </c>
      <c r="H1387" s="18" t="s">
        <v>2878</v>
      </c>
      <c r="I1387" s="14" t="s">
        <v>441</v>
      </c>
    </row>
    <row r="1388" spans="1:9" x14ac:dyDescent="0.25">
      <c r="A1388" s="17" t="s">
        <v>320</v>
      </c>
      <c r="B1388" s="14" t="s">
        <v>69</v>
      </c>
      <c r="C1388" s="18" t="s">
        <v>2370</v>
      </c>
      <c r="D1388" s="14" t="str">
        <f t="shared" si="98"/>
        <v>1ST-358-1387</v>
      </c>
      <c r="E1388" s="18" t="s">
        <v>2371</v>
      </c>
      <c r="F1388" s="19">
        <f t="shared" si="100"/>
        <v>20</v>
      </c>
      <c r="G1388" s="19" t="str">
        <f t="shared" si="99"/>
        <v>S.BOX</v>
      </c>
      <c r="H1388" s="18" t="s">
        <v>2879</v>
      </c>
      <c r="I1388" s="14" t="s">
        <v>441</v>
      </c>
    </row>
    <row r="1389" spans="1:9" x14ac:dyDescent="0.25">
      <c r="A1389" s="17" t="s">
        <v>320</v>
      </c>
      <c r="B1389" s="14" t="s">
        <v>69</v>
      </c>
      <c r="C1389" s="18" t="s">
        <v>2372</v>
      </c>
      <c r="D1389" s="14" t="str">
        <f t="shared" si="98"/>
        <v>1ST-358-1388</v>
      </c>
      <c r="E1389" s="18" t="s">
        <v>2358</v>
      </c>
      <c r="F1389" s="19">
        <f t="shared" si="100"/>
        <v>22</v>
      </c>
      <c r="G1389" s="19" t="str">
        <f t="shared" si="99"/>
        <v>S.BOX</v>
      </c>
      <c r="H1389" s="18" t="s">
        <v>2880</v>
      </c>
      <c r="I1389" s="14" t="s">
        <v>441</v>
      </c>
    </row>
    <row r="1390" spans="1:9" x14ac:dyDescent="0.25">
      <c r="A1390" s="17" t="s">
        <v>320</v>
      </c>
      <c r="B1390" s="14" t="s">
        <v>69</v>
      </c>
      <c r="C1390" s="18" t="s">
        <v>2373</v>
      </c>
      <c r="D1390" s="14" t="str">
        <f t="shared" si="98"/>
        <v>1ST-358-1389</v>
      </c>
      <c r="E1390" s="18" t="s">
        <v>2374</v>
      </c>
      <c r="F1390" s="19">
        <f t="shared" si="100"/>
        <v>25</v>
      </c>
      <c r="G1390" s="19" t="str">
        <f t="shared" si="99"/>
        <v>S.BOX</v>
      </c>
      <c r="H1390" s="18" t="s">
        <v>2881</v>
      </c>
      <c r="I1390" s="14" t="s">
        <v>441</v>
      </c>
    </row>
    <row r="1391" spans="1:9" x14ac:dyDescent="0.25">
      <c r="A1391" s="17" t="s">
        <v>320</v>
      </c>
      <c r="B1391" s="14" t="s">
        <v>70</v>
      </c>
      <c r="C1391" s="18" t="s">
        <v>2375</v>
      </c>
      <c r="D1391" s="14" t="str">
        <f t="shared" si="98"/>
        <v>1ST-358-1390</v>
      </c>
      <c r="E1391" s="18" t="s">
        <v>2376</v>
      </c>
      <c r="F1391" s="19">
        <f t="shared" si="100"/>
        <v>0.67</v>
      </c>
      <c r="G1391" s="19" t="str">
        <f t="shared" si="99"/>
        <v>PC</v>
      </c>
      <c r="H1391" s="18" t="s">
        <v>2882</v>
      </c>
      <c r="I1391" s="14" t="s">
        <v>441</v>
      </c>
    </row>
    <row r="1392" spans="1:9" x14ac:dyDescent="0.25">
      <c r="A1392" s="17" t="s">
        <v>320</v>
      </c>
      <c r="B1392" s="14" t="s">
        <v>70</v>
      </c>
      <c r="C1392" s="18" t="s">
        <v>2377</v>
      </c>
      <c r="D1392" s="14" t="str">
        <f t="shared" si="98"/>
        <v>1ST-358-1391</v>
      </c>
      <c r="E1392" s="18" t="s">
        <v>2378</v>
      </c>
      <c r="F1392" s="19">
        <f t="shared" si="100"/>
        <v>0.91</v>
      </c>
      <c r="G1392" s="19" t="str">
        <f t="shared" si="99"/>
        <v>PC</v>
      </c>
      <c r="H1392" s="18" t="s">
        <v>2883</v>
      </c>
      <c r="I1392" s="14" t="s">
        <v>441</v>
      </c>
    </row>
    <row r="1393" spans="1:9" x14ac:dyDescent="0.25">
      <c r="A1393" s="17" t="s">
        <v>320</v>
      </c>
      <c r="B1393" s="14" t="s">
        <v>70</v>
      </c>
      <c r="C1393" s="18" t="s">
        <v>2379</v>
      </c>
      <c r="D1393" s="14" t="str">
        <f t="shared" si="98"/>
        <v>1ST-358-1392</v>
      </c>
      <c r="E1393" s="18" t="s">
        <v>2380</v>
      </c>
      <c r="F1393" s="19">
        <f t="shared" si="100"/>
        <v>1.86</v>
      </c>
      <c r="G1393" s="19" t="str">
        <f t="shared" si="99"/>
        <v>PC</v>
      </c>
      <c r="H1393" s="18" t="s">
        <v>2884</v>
      </c>
      <c r="I1393" s="14" t="s">
        <v>441</v>
      </c>
    </row>
    <row r="1394" spans="1:9" x14ac:dyDescent="0.25">
      <c r="A1394" s="17" t="s">
        <v>320</v>
      </c>
      <c r="B1394" s="14" t="s">
        <v>70</v>
      </c>
      <c r="C1394" s="18" t="s">
        <v>2381</v>
      </c>
      <c r="D1394" s="14" t="str">
        <f t="shared" si="98"/>
        <v>1ST-358-1393</v>
      </c>
      <c r="E1394" s="18" t="s">
        <v>2382</v>
      </c>
      <c r="F1394" s="19">
        <f t="shared" si="100"/>
        <v>0.78</v>
      </c>
      <c r="G1394" s="19" t="str">
        <f t="shared" si="99"/>
        <v>PC</v>
      </c>
      <c r="H1394" s="18" t="s">
        <v>2885</v>
      </c>
      <c r="I1394" s="14" t="s">
        <v>441</v>
      </c>
    </row>
    <row r="1395" spans="1:9" x14ac:dyDescent="0.25">
      <c r="A1395" s="17" t="s">
        <v>320</v>
      </c>
      <c r="B1395" s="14" t="s">
        <v>70</v>
      </c>
      <c r="C1395" s="18" t="s">
        <v>2383</v>
      </c>
      <c r="D1395" s="14" t="str">
        <f t="shared" si="98"/>
        <v>1ST-358-1394</v>
      </c>
      <c r="E1395" s="18" t="s">
        <v>2384</v>
      </c>
      <c r="F1395" s="19">
        <f t="shared" si="100"/>
        <v>1.1000000000000001</v>
      </c>
      <c r="G1395" s="19" t="str">
        <f t="shared" si="99"/>
        <v>PC</v>
      </c>
      <c r="H1395" s="18" t="s">
        <v>2886</v>
      </c>
      <c r="I1395" s="14" t="s">
        <v>441</v>
      </c>
    </row>
    <row r="1396" spans="1:9" x14ac:dyDescent="0.25">
      <c r="A1396" s="17" t="s">
        <v>320</v>
      </c>
      <c r="B1396" s="14" t="s">
        <v>70</v>
      </c>
      <c r="C1396" s="18" t="s">
        <v>2385</v>
      </c>
      <c r="D1396" s="14" t="str">
        <f t="shared" si="98"/>
        <v>1ST-358-1395</v>
      </c>
      <c r="E1396" s="18" t="s">
        <v>2386</v>
      </c>
      <c r="F1396" s="19">
        <f t="shared" si="100"/>
        <v>2.15</v>
      </c>
      <c r="G1396" s="19" t="str">
        <f t="shared" si="99"/>
        <v>PC</v>
      </c>
      <c r="H1396" s="18" t="s">
        <v>2887</v>
      </c>
      <c r="I1396" s="14" t="s">
        <v>441</v>
      </c>
    </row>
    <row r="1397" spans="1:9" ht="26.4" x14ac:dyDescent="0.25">
      <c r="A1397" s="17" t="s">
        <v>320</v>
      </c>
      <c r="B1397" s="14" t="s">
        <v>71</v>
      </c>
      <c r="C1397" s="14" t="s">
        <v>2002</v>
      </c>
      <c r="D1397" s="14" t="str">
        <f t="shared" si="98"/>
        <v>1ST-358-1396</v>
      </c>
      <c r="E1397" s="14" t="s">
        <v>700</v>
      </c>
      <c r="F1397" s="19">
        <f t="shared" si="100"/>
        <v>65</v>
      </c>
      <c r="G1397" s="19" t="str">
        <f t="shared" si="99"/>
        <v>PC</v>
      </c>
      <c r="H1397" s="20" t="s">
        <v>2003</v>
      </c>
      <c r="I1397" s="14" t="s">
        <v>441</v>
      </c>
    </row>
    <row r="1398" spans="1:9" ht="26.4" x14ac:dyDescent="0.25">
      <c r="A1398" s="17" t="s">
        <v>320</v>
      </c>
      <c r="B1398" s="14" t="s">
        <v>139</v>
      </c>
      <c r="C1398" s="19" t="s">
        <v>2387</v>
      </c>
      <c r="D1398" s="14" t="str">
        <f t="shared" si="98"/>
        <v>1ST-358-1397</v>
      </c>
      <c r="E1398" s="14" t="s">
        <v>925</v>
      </c>
      <c r="F1398" s="19">
        <f t="shared" si="100"/>
        <v>4</v>
      </c>
      <c r="G1398" s="19" t="str">
        <f t="shared" si="99"/>
        <v>PC</v>
      </c>
      <c r="H1398" s="20" t="s">
        <v>2005</v>
      </c>
      <c r="I1398" s="14" t="s">
        <v>441</v>
      </c>
    </row>
    <row r="1399" spans="1:9" ht="26.4" x14ac:dyDescent="0.25">
      <c r="A1399" s="17" t="s">
        <v>320</v>
      </c>
      <c r="B1399" s="14" t="s">
        <v>139</v>
      </c>
      <c r="C1399" s="19" t="s">
        <v>2388</v>
      </c>
      <c r="D1399" s="14" t="str">
        <f t="shared" si="98"/>
        <v>1ST-358-1398</v>
      </c>
      <c r="E1399" s="14" t="s">
        <v>925</v>
      </c>
      <c r="F1399" s="19">
        <f t="shared" si="100"/>
        <v>4</v>
      </c>
      <c r="G1399" s="19" t="str">
        <f t="shared" si="99"/>
        <v>PC</v>
      </c>
      <c r="H1399" s="20" t="s">
        <v>2005</v>
      </c>
      <c r="I1399" s="14" t="s">
        <v>441</v>
      </c>
    </row>
    <row r="1400" spans="1:9" x14ac:dyDescent="0.25">
      <c r="A1400" s="17" t="s">
        <v>320</v>
      </c>
      <c r="B1400" s="14" t="s">
        <v>139</v>
      </c>
      <c r="C1400" s="18" t="s">
        <v>2389</v>
      </c>
      <c r="D1400" s="14" t="str">
        <f t="shared" si="98"/>
        <v>1ST-358-1399</v>
      </c>
      <c r="E1400" s="14" t="s">
        <v>2004</v>
      </c>
      <c r="F1400" s="19">
        <f t="shared" si="100"/>
        <v>2</v>
      </c>
      <c r="G1400" s="19" t="str">
        <f t="shared" si="99"/>
        <v>PC</v>
      </c>
      <c r="H1400" s="14" t="s">
        <v>803</v>
      </c>
      <c r="I1400" s="14" t="s">
        <v>441</v>
      </c>
    </row>
    <row r="1401" spans="1:9" ht="26.4" x14ac:dyDescent="0.25">
      <c r="A1401" s="17" t="s">
        <v>320</v>
      </c>
      <c r="B1401" s="14" t="s">
        <v>140</v>
      </c>
      <c r="C1401" s="19" t="s">
        <v>2390</v>
      </c>
      <c r="D1401" s="14" t="str">
        <f t="shared" si="98"/>
        <v>1ST-358-1400</v>
      </c>
      <c r="E1401" s="19" t="s">
        <v>1593</v>
      </c>
      <c r="F1401" s="19">
        <f t="shared" si="100"/>
        <v>67</v>
      </c>
      <c r="G1401" s="19" t="str">
        <f t="shared" si="99"/>
        <v>PC</v>
      </c>
      <c r="H1401" s="18" t="s">
        <v>3347</v>
      </c>
      <c r="I1401" s="14" t="s">
        <v>441</v>
      </c>
    </row>
    <row r="1402" spans="1:9" ht="26.4" x14ac:dyDescent="0.25">
      <c r="A1402" s="17" t="s">
        <v>320</v>
      </c>
      <c r="B1402" s="14" t="s">
        <v>140</v>
      </c>
      <c r="C1402" s="19" t="s">
        <v>2391</v>
      </c>
      <c r="D1402" s="14" t="str">
        <f t="shared" si="98"/>
        <v>1ST-358-1401</v>
      </c>
      <c r="E1402" s="19" t="s">
        <v>1138</v>
      </c>
      <c r="F1402" s="19">
        <f t="shared" si="100"/>
        <v>96</v>
      </c>
      <c r="G1402" s="19" t="str">
        <f t="shared" si="99"/>
        <v>PC</v>
      </c>
      <c r="H1402" s="18" t="s">
        <v>3348</v>
      </c>
      <c r="I1402" s="14" t="s">
        <v>441</v>
      </c>
    </row>
    <row r="1403" spans="1:9" ht="52.8" x14ac:dyDescent="0.25">
      <c r="A1403" s="17" t="s">
        <v>320</v>
      </c>
      <c r="B1403" s="14" t="s">
        <v>138</v>
      </c>
      <c r="C1403" s="18" t="s">
        <v>2392</v>
      </c>
      <c r="D1403" s="14" t="str">
        <f t="shared" si="98"/>
        <v>1ST-358-1402</v>
      </c>
      <c r="E1403" s="18" t="s">
        <v>927</v>
      </c>
      <c r="F1403" s="19">
        <f t="shared" si="100"/>
        <v>6</v>
      </c>
      <c r="G1403" s="19" t="str">
        <f t="shared" si="99"/>
        <v>PC</v>
      </c>
      <c r="H1403" s="20" t="s">
        <v>2006</v>
      </c>
      <c r="I1403" s="14" t="s">
        <v>441</v>
      </c>
    </row>
    <row r="1404" spans="1:9" ht="52.8" x14ac:dyDescent="0.25">
      <c r="A1404" s="17" t="s">
        <v>320</v>
      </c>
      <c r="B1404" s="14" t="s">
        <v>138</v>
      </c>
      <c r="C1404" s="18" t="s">
        <v>2393</v>
      </c>
      <c r="D1404" s="14" t="str">
        <f t="shared" si="98"/>
        <v>1ST-358-1403</v>
      </c>
      <c r="E1404" s="18" t="s">
        <v>927</v>
      </c>
      <c r="F1404" s="19">
        <f t="shared" si="100"/>
        <v>6</v>
      </c>
      <c r="G1404" s="19" t="str">
        <f t="shared" si="99"/>
        <v>PC</v>
      </c>
      <c r="H1404" s="20" t="s">
        <v>2006</v>
      </c>
      <c r="I1404" s="14" t="s">
        <v>441</v>
      </c>
    </row>
    <row r="1405" spans="1:9" ht="52.8" x14ac:dyDescent="0.25">
      <c r="A1405" s="17" t="s">
        <v>320</v>
      </c>
      <c r="B1405" s="14" t="s">
        <v>138</v>
      </c>
      <c r="C1405" s="18" t="s">
        <v>2394</v>
      </c>
      <c r="D1405" s="14" t="str">
        <f t="shared" si="98"/>
        <v>1ST-358-1404</v>
      </c>
      <c r="E1405" s="18" t="s">
        <v>927</v>
      </c>
      <c r="F1405" s="19">
        <f t="shared" si="100"/>
        <v>6</v>
      </c>
      <c r="G1405" s="19" t="str">
        <f t="shared" si="99"/>
        <v>PC</v>
      </c>
      <c r="H1405" s="20" t="s">
        <v>2006</v>
      </c>
      <c r="I1405" s="14" t="s">
        <v>441</v>
      </c>
    </row>
    <row r="1406" spans="1:9" ht="52.8" x14ac:dyDescent="0.25">
      <c r="A1406" s="17" t="s">
        <v>320</v>
      </c>
      <c r="B1406" s="14" t="s">
        <v>138</v>
      </c>
      <c r="C1406" s="18" t="s">
        <v>2395</v>
      </c>
      <c r="D1406" s="14" t="str">
        <f t="shared" si="98"/>
        <v>1ST-358-1405</v>
      </c>
      <c r="E1406" s="18" t="s">
        <v>621</v>
      </c>
      <c r="F1406" s="19">
        <f t="shared" si="100"/>
        <v>4.5</v>
      </c>
      <c r="G1406" s="19" t="str">
        <f t="shared" si="99"/>
        <v>PC</v>
      </c>
      <c r="H1406" s="20" t="s">
        <v>2006</v>
      </c>
      <c r="I1406" s="14" t="s">
        <v>441</v>
      </c>
    </row>
    <row r="1407" spans="1:9" ht="52.8" x14ac:dyDescent="0.25">
      <c r="A1407" s="17" t="s">
        <v>320</v>
      </c>
      <c r="B1407" s="14" t="s">
        <v>138</v>
      </c>
      <c r="C1407" s="18" t="s">
        <v>2396</v>
      </c>
      <c r="D1407" s="14" t="str">
        <f t="shared" si="98"/>
        <v>1ST-358-1406</v>
      </c>
      <c r="E1407" s="18" t="s">
        <v>621</v>
      </c>
      <c r="F1407" s="19">
        <f t="shared" si="100"/>
        <v>4.5</v>
      </c>
      <c r="G1407" s="19" t="str">
        <f t="shared" si="99"/>
        <v>PC</v>
      </c>
      <c r="H1407" s="20" t="s">
        <v>2006</v>
      </c>
      <c r="I1407" s="14" t="s">
        <v>441</v>
      </c>
    </row>
    <row r="1408" spans="1:9" ht="52.8" x14ac:dyDescent="0.25">
      <c r="A1408" s="17" t="s">
        <v>320</v>
      </c>
      <c r="B1408" s="14" t="s">
        <v>138</v>
      </c>
      <c r="C1408" s="18" t="s">
        <v>2397</v>
      </c>
      <c r="D1408" s="14" t="str">
        <f t="shared" si="98"/>
        <v>1ST-358-1407</v>
      </c>
      <c r="E1408" s="18" t="s">
        <v>621</v>
      </c>
      <c r="F1408" s="19">
        <f t="shared" si="100"/>
        <v>4.5</v>
      </c>
      <c r="G1408" s="19" t="str">
        <f t="shared" si="99"/>
        <v>PC</v>
      </c>
      <c r="H1408" s="20" t="s">
        <v>2006</v>
      </c>
      <c r="I1408" s="14" t="s">
        <v>441</v>
      </c>
    </row>
    <row r="1409" spans="1:9" ht="52.8" x14ac:dyDescent="0.25">
      <c r="A1409" s="17" t="s">
        <v>320</v>
      </c>
      <c r="B1409" s="14" t="s">
        <v>138</v>
      </c>
      <c r="C1409" s="18" t="s">
        <v>2398</v>
      </c>
      <c r="D1409" s="14" t="str">
        <f t="shared" si="98"/>
        <v>1ST-358-1408</v>
      </c>
      <c r="E1409" s="18" t="s">
        <v>621</v>
      </c>
      <c r="F1409" s="19">
        <f t="shared" si="100"/>
        <v>4.5</v>
      </c>
      <c r="G1409" s="19" t="str">
        <f t="shared" si="99"/>
        <v>PC</v>
      </c>
      <c r="H1409" s="20" t="s">
        <v>2006</v>
      </c>
      <c r="I1409" s="14" t="s">
        <v>441</v>
      </c>
    </row>
    <row r="1410" spans="1:9" ht="52.8" x14ac:dyDescent="0.25">
      <c r="A1410" s="17" t="s">
        <v>320</v>
      </c>
      <c r="B1410" s="14" t="s">
        <v>138</v>
      </c>
      <c r="C1410" s="18" t="s">
        <v>2399</v>
      </c>
      <c r="D1410" s="14" t="str">
        <f t="shared" si="98"/>
        <v>1ST-358-1409</v>
      </c>
      <c r="E1410" s="18" t="s">
        <v>621</v>
      </c>
      <c r="F1410" s="19">
        <f t="shared" si="100"/>
        <v>4.5</v>
      </c>
      <c r="G1410" s="19" t="str">
        <f t="shared" si="99"/>
        <v>PC</v>
      </c>
      <c r="H1410" s="20" t="s">
        <v>2006</v>
      </c>
      <c r="I1410" s="14" t="s">
        <v>441</v>
      </c>
    </row>
    <row r="1411" spans="1:9" ht="52.8" x14ac:dyDescent="0.25">
      <c r="A1411" s="17" t="s">
        <v>320</v>
      </c>
      <c r="B1411" s="14" t="s">
        <v>138</v>
      </c>
      <c r="C1411" s="18" t="s">
        <v>2400</v>
      </c>
      <c r="D1411" s="14" t="str">
        <f t="shared" si="98"/>
        <v>1ST-358-1410</v>
      </c>
      <c r="E1411" s="18" t="s">
        <v>621</v>
      </c>
      <c r="F1411" s="19">
        <f t="shared" si="100"/>
        <v>4.5</v>
      </c>
      <c r="G1411" s="19" t="str">
        <f t="shared" si="99"/>
        <v>PC</v>
      </c>
      <c r="H1411" s="20" t="s">
        <v>2006</v>
      </c>
      <c r="I1411" s="14" t="s">
        <v>441</v>
      </c>
    </row>
    <row r="1412" spans="1:9" ht="52.8" x14ac:dyDescent="0.25">
      <c r="A1412" s="17" t="s">
        <v>320</v>
      </c>
      <c r="B1412" s="14" t="s">
        <v>138</v>
      </c>
      <c r="C1412" s="18" t="s">
        <v>2401</v>
      </c>
      <c r="D1412" s="14" t="str">
        <f t="shared" si="98"/>
        <v>1ST-358-1411</v>
      </c>
      <c r="E1412" s="18" t="s">
        <v>621</v>
      </c>
      <c r="F1412" s="19">
        <f t="shared" si="100"/>
        <v>4.5</v>
      </c>
      <c r="G1412" s="19" t="str">
        <f t="shared" si="99"/>
        <v>PC</v>
      </c>
      <c r="H1412" s="20" t="s">
        <v>2006</v>
      </c>
      <c r="I1412" s="14" t="s">
        <v>441</v>
      </c>
    </row>
    <row r="1413" spans="1:9" ht="52.8" x14ac:dyDescent="0.25">
      <c r="A1413" s="17" t="s">
        <v>320</v>
      </c>
      <c r="B1413" s="14" t="s">
        <v>138</v>
      </c>
      <c r="C1413" s="18" t="s">
        <v>2402</v>
      </c>
      <c r="D1413" s="14" t="str">
        <f t="shared" ref="D1413:D1476" si="101">LEFT($D$2,FIND("-",$D$2,FIND("-",$D$2)+1)) &amp; TEXT(RIGHT($D$2,3)+ROW(D1411),"000")</f>
        <v>1ST-358-1412</v>
      </c>
      <c r="E1413" s="18" t="s">
        <v>621</v>
      </c>
      <c r="F1413" s="19">
        <f t="shared" si="100"/>
        <v>4.5</v>
      </c>
      <c r="G1413" s="19" t="str">
        <f t="shared" si="99"/>
        <v>PC</v>
      </c>
      <c r="H1413" s="20" t="s">
        <v>2006</v>
      </c>
      <c r="I1413" s="14" t="s">
        <v>441</v>
      </c>
    </row>
    <row r="1414" spans="1:9" ht="52.8" x14ac:dyDescent="0.25">
      <c r="A1414" s="17" t="s">
        <v>320</v>
      </c>
      <c r="B1414" s="14" t="s">
        <v>138</v>
      </c>
      <c r="C1414" s="18" t="s">
        <v>2403</v>
      </c>
      <c r="D1414" s="14" t="str">
        <f t="shared" si="101"/>
        <v>1ST-358-1413</v>
      </c>
      <c r="E1414" s="18" t="s">
        <v>621</v>
      </c>
      <c r="F1414" s="19">
        <f t="shared" si="100"/>
        <v>4.5</v>
      </c>
      <c r="G1414" s="19" t="str">
        <f t="shared" si="99"/>
        <v>PC</v>
      </c>
      <c r="H1414" s="20" t="s">
        <v>2006</v>
      </c>
      <c r="I1414" s="14" t="s">
        <v>441</v>
      </c>
    </row>
    <row r="1415" spans="1:9" ht="66" x14ac:dyDescent="0.25">
      <c r="A1415" s="17" t="s">
        <v>320</v>
      </c>
      <c r="B1415" s="14" t="s">
        <v>137</v>
      </c>
      <c r="C1415" s="18" t="s">
        <v>2404</v>
      </c>
      <c r="D1415" s="14" t="str">
        <f t="shared" si="101"/>
        <v>1ST-358-1414</v>
      </c>
      <c r="E1415" s="18" t="s">
        <v>2405</v>
      </c>
      <c r="F1415" s="19">
        <f t="shared" si="100"/>
        <v>2400</v>
      </c>
      <c r="G1415" s="19" t="str">
        <f t="shared" si="99"/>
        <v>ROLL</v>
      </c>
      <c r="H1415" s="20" t="s">
        <v>2007</v>
      </c>
      <c r="I1415" s="14" t="s">
        <v>441</v>
      </c>
    </row>
    <row r="1416" spans="1:9" ht="66" x14ac:dyDescent="0.25">
      <c r="A1416" s="17" t="s">
        <v>320</v>
      </c>
      <c r="B1416" s="14" t="s">
        <v>137</v>
      </c>
      <c r="C1416" s="18" t="s">
        <v>2406</v>
      </c>
      <c r="D1416" s="14" t="str">
        <f t="shared" si="101"/>
        <v>1ST-358-1415</v>
      </c>
      <c r="E1416" s="18" t="s">
        <v>2407</v>
      </c>
      <c r="F1416" s="19">
        <f t="shared" si="100"/>
        <v>2070</v>
      </c>
      <c r="G1416" s="19" t="str">
        <f t="shared" si="99"/>
        <v>ROLL</v>
      </c>
      <c r="H1416" s="20" t="s">
        <v>2007</v>
      </c>
      <c r="I1416" s="14" t="s">
        <v>441</v>
      </c>
    </row>
    <row r="1417" spans="1:9" ht="66" x14ac:dyDescent="0.25">
      <c r="A1417" s="17" t="s">
        <v>320</v>
      </c>
      <c r="B1417" s="14" t="s">
        <v>137</v>
      </c>
      <c r="C1417" s="18" t="s">
        <v>2408</v>
      </c>
      <c r="D1417" s="14" t="str">
        <f t="shared" si="101"/>
        <v>1ST-358-1416</v>
      </c>
      <c r="E1417" s="18" t="s">
        <v>2409</v>
      </c>
      <c r="F1417" s="19">
        <f t="shared" si="100"/>
        <v>1920</v>
      </c>
      <c r="G1417" s="19" t="str">
        <f t="shared" si="99"/>
        <v>ROLL</v>
      </c>
      <c r="H1417" s="20" t="s">
        <v>2007</v>
      </c>
      <c r="I1417" s="14" t="s">
        <v>441</v>
      </c>
    </row>
    <row r="1418" spans="1:9" ht="66" x14ac:dyDescent="0.25">
      <c r="A1418" s="17" t="s">
        <v>320</v>
      </c>
      <c r="B1418" s="14" t="s">
        <v>137</v>
      </c>
      <c r="C1418" s="18" t="s">
        <v>2410</v>
      </c>
      <c r="D1418" s="14" t="str">
        <f t="shared" si="101"/>
        <v>1ST-358-1417</v>
      </c>
      <c r="E1418" s="18" t="s">
        <v>2411</v>
      </c>
      <c r="F1418" s="19">
        <f t="shared" si="100"/>
        <v>1800</v>
      </c>
      <c r="G1418" s="19" t="str">
        <f t="shared" ref="G1418:G1481" si="102">TRIM(MID(E1418,FIND("/",E1418)+1,LEN(E1418)))</f>
        <v>ROLL</v>
      </c>
      <c r="H1418" s="20" t="s">
        <v>2007</v>
      </c>
      <c r="I1418" s="14" t="s">
        <v>441</v>
      </c>
    </row>
    <row r="1419" spans="1:9" ht="79.2" x14ac:dyDescent="0.25">
      <c r="A1419" s="17" t="s">
        <v>320</v>
      </c>
      <c r="B1419" s="14" t="s">
        <v>136</v>
      </c>
      <c r="C1419" s="18" t="s">
        <v>2412</v>
      </c>
      <c r="D1419" s="14" t="str">
        <f t="shared" si="101"/>
        <v>1ST-358-1418</v>
      </c>
      <c r="E1419" s="18" t="s">
        <v>2413</v>
      </c>
      <c r="F1419" s="19">
        <f t="shared" si="100"/>
        <v>1950</v>
      </c>
      <c r="G1419" s="19" t="str">
        <f t="shared" si="102"/>
        <v>ROLL</v>
      </c>
      <c r="H1419" s="20" t="s">
        <v>2008</v>
      </c>
      <c r="I1419" s="14" t="s">
        <v>441</v>
      </c>
    </row>
    <row r="1420" spans="1:9" ht="79.2" x14ac:dyDescent="0.25">
      <c r="A1420" s="17" t="s">
        <v>320</v>
      </c>
      <c r="B1420" s="14" t="s">
        <v>136</v>
      </c>
      <c r="C1420" s="18" t="s">
        <v>2414</v>
      </c>
      <c r="D1420" s="14" t="str">
        <f t="shared" si="101"/>
        <v>1ST-358-1419</v>
      </c>
      <c r="E1420" s="18" t="s">
        <v>2415</v>
      </c>
      <c r="F1420" s="19">
        <f t="shared" si="100"/>
        <v>1600</v>
      </c>
      <c r="G1420" s="19" t="str">
        <f t="shared" si="102"/>
        <v>ROLL</v>
      </c>
      <c r="H1420" s="20" t="s">
        <v>2008</v>
      </c>
      <c r="I1420" s="14" t="s">
        <v>441</v>
      </c>
    </row>
    <row r="1421" spans="1:9" ht="79.2" x14ac:dyDescent="0.25">
      <c r="A1421" s="17" t="s">
        <v>320</v>
      </c>
      <c r="B1421" s="14" t="s">
        <v>136</v>
      </c>
      <c r="C1421" s="18" t="s">
        <v>2416</v>
      </c>
      <c r="D1421" s="14" t="str">
        <f t="shared" si="101"/>
        <v>1ST-358-1420</v>
      </c>
      <c r="E1421" s="18" t="s">
        <v>607</v>
      </c>
      <c r="F1421" s="19">
        <f t="shared" si="100"/>
        <v>1400</v>
      </c>
      <c r="G1421" s="19" t="str">
        <f t="shared" si="102"/>
        <v>ROLL</v>
      </c>
      <c r="H1421" s="20" t="s">
        <v>2008</v>
      </c>
      <c r="I1421" s="14" t="s">
        <v>441</v>
      </c>
    </row>
    <row r="1422" spans="1:9" ht="79.2" x14ac:dyDescent="0.25">
      <c r="A1422" s="17" t="s">
        <v>320</v>
      </c>
      <c r="B1422" s="14" t="s">
        <v>136</v>
      </c>
      <c r="C1422" s="18" t="s">
        <v>2417</v>
      </c>
      <c r="D1422" s="14" t="str">
        <f t="shared" si="101"/>
        <v>1ST-358-1421</v>
      </c>
      <c r="E1422" s="18" t="s">
        <v>563</v>
      </c>
      <c r="F1422" s="19">
        <f t="shared" si="100"/>
        <v>1350</v>
      </c>
      <c r="G1422" s="19" t="str">
        <f t="shared" si="102"/>
        <v>ROLL</v>
      </c>
      <c r="H1422" s="20" t="s">
        <v>2008</v>
      </c>
      <c r="I1422" s="14" t="s">
        <v>441</v>
      </c>
    </row>
    <row r="1423" spans="1:9" x14ac:dyDescent="0.25">
      <c r="A1423" s="17" t="s">
        <v>320</v>
      </c>
      <c r="B1423" s="14" t="s">
        <v>135</v>
      </c>
      <c r="C1423" s="18" t="s">
        <v>3349</v>
      </c>
      <c r="D1423" s="14" t="str">
        <f t="shared" si="101"/>
        <v>1ST-358-1422</v>
      </c>
      <c r="E1423" s="18" t="s">
        <v>2418</v>
      </c>
      <c r="F1423" s="19">
        <f t="shared" si="100"/>
        <v>41.5</v>
      </c>
      <c r="G1423" s="19" t="str">
        <f t="shared" si="102"/>
        <v>pc</v>
      </c>
      <c r="H1423" s="18" t="s">
        <v>2888</v>
      </c>
      <c r="I1423" s="14" t="s">
        <v>441</v>
      </c>
    </row>
    <row r="1424" spans="1:9" x14ac:dyDescent="0.25">
      <c r="A1424" s="17" t="s">
        <v>320</v>
      </c>
      <c r="B1424" s="14" t="s">
        <v>135</v>
      </c>
      <c r="C1424" s="18" t="s">
        <v>3888</v>
      </c>
      <c r="D1424" s="14" t="str">
        <f t="shared" si="101"/>
        <v>1ST-358-1423</v>
      </c>
      <c r="E1424" s="18" t="s">
        <v>2418</v>
      </c>
      <c r="F1424" s="19">
        <f t="shared" si="100"/>
        <v>41.5</v>
      </c>
      <c r="G1424" s="19" t="str">
        <f t="shared" si="102"/>
        <v>pc</v>
      </c>
      <c r="H1424" s="18" t="s">
        <v>2888</v>
      </c>
      <c r="I1424" s="14" t="s">
        <v>441</v>
      </c>
    </row>
    <row r="1425" spans="1:9" x14ac:dyDescent="0.25">
      <c r="A1425" s="17" t="s">
        <v>320</v>
      </c>
      <c r="B1425" s="14" t="s">
        <v>135</v>
      </c>
      <c r="C1425" s="18" t="s">
        <v>3889</v>
      </c>
      <c r="D1425" s="14" t="str">
        <f t="shared" si="101"/>
        <v>1ST-358-1424</v>
      </c>
      <c r="E1425" s="18" t="s">
        <v>2419</v>
      </c>
      <c r="F1425" s="19">
        <f t="shared" si="100"/>
        <v>68.5</v>
      </c>
      <c r="G1425" s="19" t="str">
        <f t="shared" si="102"/>
        <v>pc</v>
      </c>
      <c r="H1425" s="18" t="s">
        <v>2889</v>
      </c>
      <c r="I1425" s="14" t="s">
        <v>441</v>
      </c>
    </row>
    <row r="1426" spans="1:9" x14ac:dyDescent="0.25">
      <c r="A1426" s="17" t="s">
        <v>320</v>
      </c>
      <c r="B1426" s="14" t="s">
        <v>135</v>
      </c>
      <c r="C1426" s="18" t="s">
        <v>3350</v>
      </c>
      <c r="D1426" s="14" t="str">
        <f t="shared" si="101"/>
        <v>1ST-358-1425</v>
      </c>
      <c r="E1426" s="18" t="s">
        <v>2419</v>
      </c>
      <c r="F1426" s="19">
        <f t="shared" si="100"/>
        <v>68.5</v>
      </c>
      <c r="G1426" s="19" t="str">
        <f t="shared" si="102"/>
        <v>pc</v>
      </c>
      <c r="H1426" s="18" t="s">
        <v>2889</v>
      </c>
      <c r="I1426" s="14" t="s">
        <v>441</v>
      </c>
    </row>
    <row r="1427" spans="1:9" x14ac:dyDescent="0.25">
      <c r="A1427" s="17" t="s">
        <v>320</v>
      </c>
      <c r="B1427" s="14" t="s">
        <v>134</v>
      </c>
      <c r="C1427" s="18" t="s">
        <v>3351</v>
      </c>
      <c r="D1427" s="14" t="str">
        <f t="shared" si="101"/>
        <v>1ST-358-1426</v>
      </c>
      <c r="E1427" s="18" t="s">
        <v>2420</v>
      </c>
      <c r="F1427" s="19">
        <f t="shared" si="100"/>
        <v>49</v>
      </c>
      <c r="G1427" s="19" t="str">
        <f t="shared" si="102"/>
        <v>pc</v>
      </c>
      <c r="H1427" s="18" t="s">
        <v>2890</v>
      </c>
      <c r="I1427" s="14" t="s">
        <v>441</v>
      </c>
    </row>
    <row r="1428" spans="1:9" x14ac:dyDescent="0.25">
      <c r="A1428" s="17" t="s">
        <v>320</v>
      </c>
      <c r="B1428" s="14" t="s">
        <v>134</v>
      </c>
      <c r="C1428" s="18" t="s">
        <v>3890</v>
      </c>
      <c r="D1428" s="14" t="str">
        <f t="shared" si="101"/>
        <v>1ST-358-1427</v>
      </c>
      <c r="E1428" s="18" t="s">
        <v>2420</v>
      </c>
      <c r="F1428" s="19">
        <f t="shared" si="100"/>
        <v>49</v>
      </c>
      <c r="G1428" s="19" t="str">
        <f t="shared" si="102"/>
        <v>pc</v>
      </c>
      <c r="H1428" s="18" t="s">
        <v>2890</v>
      </c>
      <c r="I1428" s="14" t="s">
        <v>441</v>
      </c>
    </row>
    <row r="1429" spans="1:9" x14ac:dyDescent="0.25">
      <c r="A1429" s="17" t="s">
        <v>320</v>
      </c>
      <c r="B1429" s="14" t="s">
        <v>134</v>
      </c>
      <c r="C1429" s="18" t="s">
        <v>3891</v>
      </c>
      <c r="D1429" s="14" t="str">
        <f t="shared" si="101"/>
        <v>1ST-358-1428</v>
      </c>
      <c r="E1429" s="18" t="s">
        <v>2421</v>
      </c>
      <c r="F1429" s="19">
        <f t="shared" si="100"/>
        <v>76</v>
      </c>
      <c r="G1429" s="19" t="str">
        <f t="shared" si="102"/>
        <v>pc</v>
      </c>
      <c r="H1429" s="18" t="s">
        <v>2680</v>
      </c>
      <c r="I1429" s="14" t="s">
        <v>441</v>
      </c>
    </row>
    <row r="1430" spans="1:9" x14ac:dyDescent="0.25">
      <c r="A1430" s="17" t="s">
        <v>320</v>
      </c>
      <c r="B1430" s="14" t="s">
        <v>134</v>
      </c>
      <c r="C1430" s="18" t="s">
        <v>3892</v>
      </c>
      <c r="D1430" s="14" t="str">
        <f t="shared" si="101"/>
        <v>1ST-358-1429</v>
      </c>
      <c r="E1430" s="18" t="s">
        <v>2421</v>
      </c>
      <c r="F1430" s="19">
        <f t="shared" si="100"/>
        <v>76</v>
      </c>
      <c r="G1430" s="19" t="str">
        <f t="shared" si="102"/>
        <v>pc</v>
      </c>
      <c r="H1430" s="18" t="s">
        <v>2680</v>
      </c>
      <c r="I1430" s="14" t="s">
        <v>441</v>
      </c>
    </row>
    <row r="1431" spans="1:9" x14ac:dyDescent="0.25">
      <c r="A1431" s="17" t="s">
        <v>320</v>
      </c>
      <c r="B1431" s="14" t="s">
        <v>133</v>
      </c>
      <c r="C1431" s="18" t="s">
        <v>2422</v>
      </c>
      <c r="D1431" s="14" t="str">
        <f t="shared" si="101"/>
        <v>1ST-358-1430</v>
      </c>
      <c r="E1431" s="18" t="s">
        <v>696</v>
      </c>
      <c r="F1431" s="19">
        <f t="shared" si="100"/>
        <v>48</v>
      </c>
      <c r="G1431" s="19" t="str">
        <f t="shared" si="102"/>
        <v>PC</v>
      </c>
      <c r="H1431" s="18" t="s">
        <v>2891</v>
      </c>
      <c r="I1431" s="14" t="s">
        <v>441</v>
      </c>
    </row>
    <row r="1432" spans="1:9" x14ac:dyDescent="0.25">
      <c r="A1432" s="17" t="s">
        <v>320</v>
      </c>
      <c r="B1432" s="14" t="s">
        <v>133</v>
      </c>
      <c r="C1432" s="18" t="s">
        <v>2423</v>
      </c>
      <c r="D1432" s="14" t="str">
        <f t="shared" si="101"/>
        <v>1ST-358-1431</v>
      </c>
      <c r="E1432" s="18" t="s">
        <v>887</v>
      </c>
      <c r="F1432" s="19">
        <f t="shared" si="100"/>
        <v>111</v>
      </c>
      <c r="G1432" s="19" t="str">
        <f t="shared" si="102"/>
        <v>PC</v>
      </c>
      <c r="H1432" s="18" t="s">
        <v>2703</v>
      </c>
      <c r="I1432" s="14" t="s">
        <v>441</v>
      </c>
    </row>
    <row r="1433" spans="1:9" x14ac:dyDescent="0.25">
      <c r="A1433" s="17" t="s">
        <v>320</v>
      </c>
      <c r="B1433" s="14" t="s">
        <v>133</v>
      </c>
      <c r="C1433" s="18" t="s">
        <v>2424</v>
      </c>
      <c r="D1433" s="14" t="str">
        <f t="shared" si="101"/>
        <v>1ST-358-1432</v>
      </c>
      <c r="E1433" s="18" t="s">
        <v>1600</v>
      </c>
      <c r="F1433" s="19">
        <f t="shared" si="100"/>
        <v>141</v>
      </c>
      <c r="G1433" s="19" t="str">
        <f t="shared" si="102"/>
        <v>PC</v>
      </c>
      <c r="H1433" s="18" t="s">
        <v>2892</v>
      </c>
      <c r="I1433" s="14" t="s">
        <v>441</v>
      </c>
    </row>
    <row r="1434" spans="1:9" x14ac:dyDescent="0.25">
      <c r="A1434" s="17" t="s">
        <v>320</v>
      </c>
      <c r="B1434" s="14" t="s">
        <v>132</v>
      </c>
      <c r="C1434" s="18" t="s">
        <v>2425</v>
      </c>
      <c r="D1434" s="14" t="str">
        <f t="shared" si="101"/>
        <v>1ST-358-1433</v>
      </c>
      <c r="E1434" s="19" t="s">
        <v>966</v>
      </c>
      <c r="F1434" s="19">
        <f t="shared" si="100"/>
        <v>5</v>
      </c>
      <c r="G1434" s="19" t="str">
        <f t="shared" si="102"/>
        <v>PC</v>
      </c>
      <c r="H1434" s="14"/>
      <c r="I1434" s="14" t="s">
        <v>441</v>
      </c>
    </row>
    <row r="1435" spans="1:9" x14ac:dyDescent="0.25">
      <c r="A1435" s="17" t="s">
        <v>320</v>
      </c>
      <c r="B1435" s="14" t="s">
        <v>132</v>
      </c>
      <c r="C1435" s="18" t="s">
        <v>2426</v>
      </c>
      <c r="D1435" s="14" t="str">
        <f t="shared" si="101"/>
        <v>1ST-358-1434</v>
      </c>
      <c r="E1435" s="19" t="s">
        <v>927</v>
      </c>
      <c r="F1435" s="19">
        <f t="shared" si="100"/>
        <v>6</v>
      </c>
      <c r="G1435" s="19" t="str">
        <f t="shared" si="102"/>
        <v>PC</v>
      </c>
      <c r="H1435" s="14"/>
      <c r="I1435" s="14" t="s">
        <v>441</v>
      </c>
    </row>
    <row r="1436" spans="1:9" x14ac:dyDescent="0.25">
      <c r="A1436" s="17" t="s">
        <v>320</v>
      </c>
      <c r="B1436" s="14" t="s">
        <v>132</v>
      </c>
      <c r="C1436" s="19" t="s">
        <v>2427</v>
      </c>
      <c r="D1436" s="14" t="str">
        <f t="shared" si="101"/>
        <v>1ST-358-1435</v>
      </c>
      <c r="E1436" s="19" t="s">
        <v>652</v>
      </c>
      <c r="F1436" s="19">
        <f t="shared" si="100"/>
        <v>80</v>
      </c>
      <c r="G1436" s="19" t="str">
        <f t="shared" si="102"/>
        <v>PC</v>
      </c>
      <c r="H1436" s="14"/>
      <c r="I1436" s="14" t="s">
        <v>441</v>
      </c>
    </row>
    <row r="1437" spans="1:9" x14ac:dyDescent="0.25">
      <c r="A1437" s="17" t="s">
        <v>320</v>
      </c>
      <c r="B1437" s="14" t="s">
        <v>132</v>
      </c>
      <c r="C1437" s="19" t="s">
        <v>2428</v>
      </c>
      <c r="D1437" s="14" t="str">
        <f t="shared" si="101"/>
        <v>1ST-358-1436</v>
      </c>
      <c r="E1437" s="19" t="s">
        <v>907</v>
      </c>
      <c r="F1437" s="19">
        <f t="shared" si="100"/>
        <v>12</v>
      </c>
      <c r="G1437" s="19" t="str">
        <f t="shared" si="102"/>
        <v>PC</v>
      </c>
      <c r="H1437" s="14"/>
      <c r="I1437" s="14" t="s">
        <v>441</v>
      </c>
    </row>
    <row r="1438" spans="1:9" x14ac:dyDescent="0.25">
      <c r="A1438" s="17" t="s">
        <v>320</v>
      </c>
      <c r="B1438" s="14" t="s">
        <v>132</v>
      </c>
      <c r="C1438" s="19" t="s">
        <v>2429</v>
      </c>
      <c r="D1438" s="14" t="str">
        <f t="shared" si="101"/>
        <v>1ST-358-1437</v>
      </c>
      <c r="E1438" s="19" t="s">
        <v>690</v>
      </c>
      <c r="F1438" s="19">
        <f t="shared" si="100"/>
        <v>50</v>
      </c>
      <c r="G1438" s="19" t="str">
        <f t="shared" si="102"/>
        <v>PC</v>
      </c>
      <c r="H1438" s="14"/>
      <c r="I1438" s="14" t="s">
        <v>441</v>
      </c>
    </row>
    <row r="1439" spans="1:9" x14ac:dyDescent="0.25">
      <c r="A1439" s="17" t="s">
        <v>320</v>
      </c>
      <c r="B1439" s="14" t="s">
        <v>132</v>
      </c>
      <c r="C1439" s="19" t="s">
        <v>2430</v>
      </c>
      <c r="D1439" s="14" t="str">
        <f t="shared" si="101"/>
        <v>1ST-358-1438</v>
      </c>
      <c r="E1439" s="19" t="s">
        <v>875</v>
      </c>
      <c r="F1439" s="19">
        <f t="shared" si="100"/>
        <v>77</v>
      </c>
      <c r="G1439" s="19" t="str">
        <f t="shared" si="102"/>
        <v>PC</v>
      </c>
      <c r="H1439" s="14"/>
      <c r="I1439" s="14" t="s">
        <v>441</v>
      </c>
    </row>
    <row r="1440" spans="1:9" ht="26.4" x14ac:dyDescent="0.25">
      <c r="A1440" s="17" t="s">
        <v>320</v>
      </c>
      <c r="B1440" s="14" t="s">
        <v>132</v>
      </c>
      <c r="C1440" s="18" t="s">
        <v>2431</v>
      </c>
      <c r="D1440" s="14" t="str">
        <f t="shared" si="101"/>
        <v>1ST-358-1439</v>
      </c>
      <c r="E1440" s="19" t="s">
        <v>690</v>
      </c>
      <c r="F1440" s="19">
        <f t="shared" si="100"/>
        <v>50</v>
      </c>
      <c r="G1440" s="19" t="str">
        <f t="shared" si="102"/>
        <v>PC</v>
      </c>
      <c r="H1440" s="18" t="s">
        <v>3352</v>
      </c>
      <c r="I1440" s="14" t="s">
        <v>441</v>
      </c>
    </row>
    <row r="1441" spans="1:9" ht="26.4" x14ac:dyDescent="0.25">
      <c r="A1441" s="17" t="s">
        <v>320</v>
      </c>
      <c r="B1441" s="14" t="s">
        <v>132</v>
      </c>
      <c r="C1441" s="18" t="s">
        <v>2432</v>
      </c>
      <c r="D1441" s="14" t="str">
        <f t="shared" si="101"/>
        <v>1ST-358-1440</v>
      </c>
      <c r="E1441" s="19" t="s">
        <v>1230</v>
      </c>
      <c r="F1441" s="19">
        <f t="shared" si="100"/>
        <v>142</v>
      </c>
      <c r="G1441" s="19" t="str">
        <f t="shared" si="102"/>
        <v>PC</v>
      </c>
      <c r="H1441" s="18" t="s">
        <v>3353</v>
      </c>
      <c r="I1441" s="14" t="s">
        <v>441</v>
      </c>
    </row>
    <row r="1442" spans="1:9" ht="26.4" x14ac:dyDescent="0.25">
      <c r="A1442" s="17" t="s">
        <v>320</v>
      </c>
      <c r="B1442" s="14" t="s">
        <v>132</v>
      </c>
      <c r="C1442" s="18" t="s">
        <v>3893</v>
      </c>
      <c r="D1442" s="14" t="str">
        <f t="shared" si="101"/>
        <v>1ST-358-1441</v>
      </c>
      <c r="E1442" s="19" t="s">
        <v>1100</v>
      </c>
      <c r="F1442" s="19">
        <f t="shared" si="100"/>
        <v>105</v>
      </c>
      <c r="G1442" s="19" t="str">
        <f t="shared" si="102"/>
        <v>PC</v>
      </c>
      <c r="H1442" s="18" t="s">
        <v>3354</v>
      </c>
      <c r="I1442" s="14" t="s">
        <v>441</v>
      </c>
    </row>
    <row r="1443" spans="1:9" ht="26.4" x14ac:dyDescent="0.25">
      <c r="A1443" s="17" t="s">
        <v>320</v>
      </c>
      <c r="B1443" s="14" t="s">
        <v>132</v>
      </c>
      <c r="C1443" s="18" t="s">
        <v>2433</v>
      </c>
      <c r="D1443" s="14" t="str">
        <f t="shared" si="101"/>
        <v>1ST-358-1442</v>
      </c>
      <c r="E1443" s="19" t="s">
        <v>492</v>
      </c>
      <c r="F1443" s="19">
        <f t="shared" si="100"/>
        <v>290</v>
      </c>
      <c r="G1443" s="19" t="str">
        <f t="shared" si="102"/>
        <v>PC</v>
      </c>
      <c r="H1443" s="18" t="s">
        <v>3354</v>
      </c>
      <c r="I1443" s="14" t="s">
        <v>441</v>
      </c>
    </row>
    <row r="1444" spans="1:9" ht="26.4" x14ac:dyDescent="0.25">
      <c r="A1444" s="17" t="s">
        <v>320</v>
      </c>
      <c r="B1444" s="14" t="s">
        <v>132</v>
      </c>
      <c r="C1444" s="18" t="s">
        <v>2434</v>
      </c>
      <c r="D1444" s="14" t="str">
        <f t="shared" si="101"/>
        <v>1ST-358-1443</v>
      </c>
      <c r="E1444" s="19" t="s">
        <v>703</v>
      </c>
      <c r="F1444" s="19">
        <f t="shared" si="100"/>
        <v>145</v>
      </c>
      <c r="G1444" s="19" t="str">
        <f t="shared" si="102"/>
        <v>PC</v>
      </c>
      <c r="H1444" s="18" t="s">
        <v>3355</v>
      </c>
      <c r="I1444" s="14" t="s">
        <v>441</v>
      </c>
    </row>
    <row r="1445" spans="1:9" x14ac:dyDescent="0.25">
      <c r="A1445" s="17" t="s">
        <v>320</v>
      </c>
      <c r="B1445" s="14" t="s">
        <v>131</v>
      </c>
      <c r="C1445" s="14" t="s">
        <v>2009</v>
      </c>
      <c r="D1445" s="14" t="str">
        <f t="shared" si="101"/>
        <v>1ST-358-1444</v>
      </c>
      <c r="E1445" s="14" t="s">
        <v>698</v>
      </c>
      <c r="F1445" s="19">
        <f t="shared" si="100"/>
        <v>55</v>
      </c>
      <c r="G1445" s="19" t="str">
        <f t="shared" si="102"/>
        <v>PC</v>
      </c>
      <c r="H1445" s="14" t="s">
        <v>2010</v>
      </c>
      <c r="I1445" s="14" t="s">
        <v>441</v>
      </c>
    </row>
    <row r="1446" spans="1:9" ht="26.4" x14ac:dyDescent="0.25">
      <c r="A1446" s="17" t="s">
        <v>320</v>
      </c>
      <c r="B1446" s="14" t="s">
        <v>130</v>
      </c>
      <c r="C1446" s="19" t="s">
        <v>3356</v>
      </c>
      <c r="D1446" s="14" t="str">
        <f t="shared" si="101"/>
        <v>1ST-358-1445</v>
      </c>
      <c r="E1446" s="19" t="s">
        <v>496</v>
      </c>
      <c r="F1446" s="19">
        <f t="shared" si="100"/>
        <v>14</v>
      </c>
      <c r="G1446" s="19" t="str">
        <f t="shared" si="102"/>
        <v>PC</v>
      </c>
      <c r="H1446" s="18" t="s">
        <v>3357</v>
      </c>
      <c r="I1446" s="14" t="s">
        <v>441</v>
      </c>
    </row>
    <row r="1447" spans="1:9" ht="26.4" x14ac:dyDescent="0.25">
      <c r="A1447" s="17" t="s">
        <v>320</v>
      </c>
      <c r="B1447" s="14" t="s">
        <v>130</v>
      </c>
      <c r="C1447" s="19" t="s">
        <v>3358</v>
      </c>
      <c r="D1447" s="14" t="str">
        <f t="shared" si="101"/>
        <v>1ST-358-1446</v>
      </c>
      <c r="E1447" s="19" t="s">
        <v>496</v>
      </c>
      <c r="F1447" s="19">
        <f t="shared" si="100"/>
        <v>14</v>
      </c>
      <c r="G1447" s="19" t="str">
        <f t="shared" si="102"/>
        <v>PC</v>
      </c>
      <c r="H1447" s="18" t="s">
        <v>3357</v>
      </c>
      <c r="I1447" s="14" t="s">
        <v>441</v>
      </c>
    </row>
    <row r="1448" spans="1:9" ht="26.4" x14ac:dyDescent="0.25">
      <c r="A1448" s="17" t="s">
        <v>320</v>
      </c>
      <c r="B1448" s="14" t="s">
        <v>130</v>
      </c>
      <c r="C1448" s="19" t="s">
        <v>3359</v>
      </c>
      <c r="D1448" s="14" t="str">
        <f t="shared" si="101"/>
        <v>1ST-358-1447</v>
      </c>
      <c r="E1448" s="19" t="s">
        <v>940</v>
      </c>
      <c r="F1448" s="19">
        <f t="shared" ref="F1448:F1511" si="103">VALUE(LEFT(E1448,FIND("/",E1448)-1))</f>
        <v>13</v>
      </c>
      <c r="G1448" s="19" t="str">
        <f t="shared" si="102"/>
        <v>PC</v>
      </c>
      <c r="H1448" s="18" t="s">
        <v>3360</v>
      </c>
      <c r="I1448" s="14" t="s">
        <v>441</v>
      </c>
    </row>
    <row r="1449" spans="1:9" ht="26.4" x14ac:dyDescent="0.25">
      <c r="A1449" s="17" t="s">
        <v>320</v>
      </c>
      <c r="B1449" s="14" t="s">
        <v>130</v>
      </c>
      <c r="C1449" s="19" t="s">
        <v>3361</v>
      </c>
      <c r="D1449" s="14" t="str">
        <f t="shared" si="101"/>
        <v>1ST-358-1448</v>
      </c>
      <c r="E1449" s="19" t="s">
        <v>940</v>
      </c>
      <c r="F1449" s="19">
        <f t="shared" si="103"/>
        <v>13</v>
      </c>
      <c r="G1449" s="19" t="str">
        <f t="shared" si="102"/>
        <v>PC</v>
      </c>
      <c r="H1449" s="18" t="s">
        <v>3360</v>
      </c>
      <c r="I1449" s="14" t="s">
        <v>441</v>
      </c>
    </row>
    <row r="1450" spans="1:9" ht="26.4" x14ac:dyDescent="0.25">
      <c r="A1450" s="17" t="s">
        <v>320</v>
      </c>
      <c r="B1450" s="14" t="s">
        <v>130</v>
      </c>
      <c r="C1450" s="19" t="s">
        <v>3362</v>
      </c>
      <c r="D1450" s="14" t="str">
        <f t="shared" si="101"/>
        <v>1ST-358-1449</v>
      </c>
      <c r="E1450" s="19" t="s">
        <v>940</v>
      </c>
      <c r="F1450" s="19">
        <f t="shared" si="103"/>
        <v>13</v>
      </c>
      <c r="G1450" s="19" t="str">
        <f t="shared" si="102"/>
        <v>PC</v>
      </c>
      <c r="H1450" s="18" t="s">
        <v>3360</v>
      </c>
      <c r="I1450" s="14" t="s">
        <v>441</v>
      </c>
    </row>
    <row r="1451" spans="1:9" ht="26.4" x14ac:dyDescent="0.25">
      <c r="A1451" s="17" t="s">
        <v>320</v>
      </c>
      <c r="B1451" s="14" t="s">
        <v>130</v>
      </c>
      <c r="C1451" s="19" t="s">
        <v>3894</v>
      </c>
      <c r="D1451" s="14" t="str">
        <f t="shared" si="101"/>
        <v>1ST-358-1450</v>
      </c>
      <c r="E1451" s="19" t="s">
        <v>940</v>
      </c>
      <c r="F1451" s="19">
        <f t="shared" si="103"/>
        <v>13</v>
      </c>
      <c r="G1451" s="19" t="str">
        <f t="shared" si="102"/>
        <v>PC</v>
      </c>
      <c r="H1451" s="18" t="s">
        <v>3360</v>
      </c>
      <c r="I1451" s="14" t="s">
        <v>441</v>
      </c>
    </row>
    <row r="1452" spans="1:9" ht="26.4" x14ac:dyDescent="0.25">
      <c r="A1452" s="17" t="s">
        <v>320</v>
      </c>
      <c r="B1452" s="14" t="s">
        <v>129</v>
      </c>
      <c r="C1452" s="18" t="s">
        <v>3363</v>
      </c>
      <c r="D1452" s="14" t="str">
        <f t="shared" si="101"/>
        <v>1ST-358-1451</v>
      </c>
      <c r="E1452" s="19" t="s">
        <v>1178</v>
      </c>
      <c r="F1452" s="19">
        <f t="shared" si="103"/>
        <v>24</v>
      </c>
      <c r="G1452" s="19" t="str">
        <f t="shared" si="102"/>
        <v>PC</v>
      </c>
      <c r="H1452" s="20" t="s">
        <v>2011</v>
      </c>
      <c r="I1452" s="14" t="s">
        <v>441</v>
      </c>
    </row>
    <row r="1453" spans="1:9" ht="26.4" x14ac:dyDescent="0.25">
      <c r="A1453" s="17" t="s">
        <v>320</v>
      </c>
      <c r="B1453" s="14" t="s">
        <v>129</v>
      </c>
      <c r="C1453" s="18" t="s">
        <v>3364</v>
      </c>
      <c r="D1453" s="14" t="str">
        <f t="shared" si="101"/>
        <v>1ST-358-1452</v>
      </c>
      <c r="E1453" s="18" t="s">
        <v>1178</v>
      </c>
      <c r="F1453" s="19">
        <f t="shared" si="103"/>
        <v>24</v>
      </c>
      <c r="G1453" s="19" t="str">
        <f t="shared" si="102"/>
        <v>PC</v>
      </c>
      <c r="H1453" s="20" t="s">
        <v>2011</v>
      </c>
      <c r="I1453" s="14" t="s">
        <v>441</v>
      </c>
    </row>
    <row r="1454" spans="1:9" ht="26.4" x14ac:dyDescent="0.25">
      <c r="A1454" s="17" t="s">
        <v>320</v>
      </c>
      <c r="B1454" s="14" t="s">
        <v>129</v>
      </c>
      <c r="C1454" s="18" t="s">
        <v>3365</v>
      </c>
      <c r="D1454" s="14" t="str">
        <f t="shared" si="101"/>
        <v>1ST-358-1453</v>
      </c>
      <c r="E1454" s="18" t="s">
        <v>1178</v>
      </c>
      <c r="F1454" s="19">
        <f t="shared" si="103"/>
        <v>24</v>
      </c>
      <c r="G1454" s="19" t="str">
        <f t="shared" si="102"/>
        <v>PC</v>
      </c>
      <c r="H1454" s="20" t="s">
        <v>2011</v>
      </c>
      <c r="I1454" s="14" t="s">
        <v>441</v>
      </c>
    </row>
    <row r="1455" spans="1:9" ht="26.4" x14ac:dyDescent="0.25">
      <c r="A1455" s="17" t="s">
        <v>320</v>
      </c>
      <c r="B1455" s="14" t="s">
        <v>129</v>
      </c>
      <c r="C1455" s="18" t="s">
        <v>3366</v>
      </c>
      <c r="D1455" s="14" t="str">
        <f t="shared" si="101"/>
        <v>1ST-358-1454</v>
      </c>
      <c r="E1455" s="18" t="s">
        <v>1178</v>
      </c>
      <c r="F1455" s="19">
        <f t="shared" si="103"/>
        <v>24</v>
      </c>
      <c r="G1455" s="19" t="str">
        <f t="shared" si="102"/>
        <v>PC</v>
      </c>
      <c r="H1455" s="20" t="s">
        <v>2011</v>
      </c>
      <c r="I1455" s="14" t="s">
        <v>441</v>
      </c>
    </row>
    <row r="1456" spans="1:9" ht="26.4" x14ac:dyDescent="0.25">
      <c r="A1456" s="17" t="s">
        <v>320</v>
      </c>
      <c r="B1456" s="14" t="s">
        <v>129</v>
      </c>
      <c r="C1456" s="18" t="s">
        <v>3367</v>
      </c>
      <c r="D1456" s="14" t="str">
        <f t="shared" si="101"/>
        <v>1ST-358-1455</v>
      </c>
      <c r="E1456" s="18" t="s">
        <v>1178</v>
      </c>
      <c r="F1456" s="19">
        <f t="shared" si="103"/>
        <v>24</v>
      </c>
      <c r="G1456" s="19" t="str">
        <f t="shared" si="102"/>
        <v>PC</v>
      </c>
      <c r="H1456" s="20" t="s">
        <v>2011</v>
      </c>
      <c r="I1456" s="14" t="s">
        <v>441</v>
      </c>
    </row>
    <row r="1457" spans="1:9" x14ac:dyDescent="0.25">
      <c r="A1457" s="17" t="s">
        <v>320</v>
      </c>
      <c r="B1457" s="14" t="s">
        <v>128</v>
      </c>
      <c r="C1457" s="14" t="s">
        <v>2012</v>
      </c>
      <c r="D1457" s="14" t="str">
        <f t="shared" si="101"/>
        <v>1ST-358-1456</v>
      </c>
      <c r="E1457" s="14" t="s">
        <v>2013</v>
      </c>
      <c r="F1457" s="19">
        <f t="shared" si="103"/>
        <v>165</v>
      </c>
      <c r="G1457" s="19" t="str">
        <f t="shared" si="102"/>
        <v>BOX</v>
      </c>
      <c r="H1457" s="14" t="s">
        <v>2014</v>
      </c>
      <c r="I1457" s="14" t="s">
        <v>441</v>
      </c>
    </row>
    <row r="1458" spans="1:9" x14ac:dyDescent="0.25">
      <c r="A1458" s="17" t="s">
        <v>320</v>
      </c>
      <c r="B1458" s="14" t="s">
        <v>127</v>
      </c>
      <c r="C1458" s="14" t="s">
        <v>3895</v>
      </c>
      <c r="D1458" s="14" t="str">
        <f t="shared" si="101"/>
        <v>1ST-358-1457</v>
      </c>
      <c r="E1458" s="14" t="s">
        <v>449</v>
      </c>
      <c r="F1458" s="19">
        <f t="shared" si="103"/>
        <v>168</v>
      </c>
      <c r="G1458" s="19" t="str">
        <f t="shared" si="102"/>
        <v>PC</v>
      </c>
      <c r="H1458" s="14" t="s">
        <v>2015</v>
      </c>
      <c r="I1458" s="14" t="s">
        <v>441</v>
      </c>
    </row>
    <row r="1459" spans="1:9" ht="26.4" x14ac:dyDescent="0.25">
      <c r="A1459" s="17" t="s">
        <v>320</v>
      </c>
      <c r="B1459" s="14" t="s">
        <v>126</v>
      </c>
      <c r="C1459" s="18" t="s">
        <v>2435</v>
      </c>
      <c r="D1459" s="14" t="str">
        <f t="shared" si="101"/>
        <v>1ST-358-1458</v>
      </c>
      <c r="E1459" s="18" t="s">
        <v>2436</v>
      </c>
      <c r="F1459" s="19">
        <f t="shared" si="103"/>
        <v>12</v>
      </c>
      <c r="G1459" s="19" t="str">
        <f t="shared" si="102"/>
        <v>BOX</v>
      </c>
      <c r="H1459" s="20" t="s">
        <v>2016</v>
      </c>
      <c r="I1459" s="14" t="s">
        <v>441</v>
      </c>
    </row>
    <row r="1460" spans="1:9" ht="26.4" x14ac:dyDescent="0.25">
      <c r="A1460" s="17" t="s">
        <v>320</v>
      </c>
      <c r="B1460" s="14" t="s">
        <v>126</v>
      </c>
      <c r="C1460" s="18" t="s">
        <v>2437</v>
      </c>
      <c r="D1460" s="14" t="str">
        <f t="shared" si="101"/>
        <v>1ST-358-1459</v>
      </c>
      <c r="E1460" s="18" t="s">
        <v>2438</v>
      </c>
      <c r="F1460" s="19">
        <f t="shared" si="103"/>
        <v>13</v>
      </c>
      <c r="G1460" s="19" t="str">
        <f t="shared" si="102"/>
        <v>BOX</v>
      </c>
      <c r="H1460" s="20" t="s">
        <v>2016</v>
      </c>
      <c r="I1460" s="14" t="s">
        <v>441</v>
      </c>
    </row>
    <row r="1461" spans="1:9" ht="26.4" x14ac:dyDescent="0.25">
      <c r="A1461" s="17" t="s">
        <v>320</v>
      </c>
      <c r="B1461" s="14" t="s">
        <v>126</v>
      </c>
      <c r="C1461" s="18" t="s">
        <v>2439</v>
      </c>
      <c r="D1461" s="14" t="str">
        <f t="shared" si="101"/>
        <v>1ST-358-1460</v>
      </c>
      <c r="E1461" s="18" t="s">
        <v>2440</v>
      </c>
      <c r="F1461" s="19">
        <f t="shared" si="103"/>
        <v>14</v>
      </c>
      <c r="G1461" s="19" t="str">
        <f t="shared" si="102"/>
        <v>BOX</v>
      </c>
      <c r="H1461" s="20" t="s">
        <v>2016</v>
      </c>
      <c r="I1461" s="14" t="s">
        <v>441</v>
      </c>
    </row>
    <row r="1462" spans="1:9" x14ac:dyDescent="0.25">
      <c r="A1462" s="17" t="s">
        <v>320</v>
      </c>
      <c r="B1462" s="14" t="s">
        <v>125</v>
      </c>
      <c r="C1462" s="18" t="s">
        <v>3896</v>
      </c>
      <c r="D1462" s="14" t="str">
        <f t="shared" si="101"/>
        <v>1ST-358-1461</v>
      </c>
      <c r="E1462" s="18" t="s">
        <v>2441</v>
      </c>
      <c r="F1462" s="19">
        <f t="shared" si="103"/>
        <v>672</v>
      </c>
      <c r="G1462" s="19" t="str">
        <f t="shared" si="102"/>
        <v>CTN</v>
      </c>
      <c r="H1462" s="14" t="s">
        <v>2017</v>
      </c>
      <c r="I1462" s="14" t="s">
        <v>441</v>
      </c>
    </row>
    <row r="1463" spans="1:9" x14ac:dyDescent="0.25">
      <c r="A1463" s="17" t="s">
        <v>320</v>
      </c>
      <c r="B1463" s="14" t="s">
        <v>125</v>
      </c>
      <c r="C1463" s="18" t="s">
        <v>3897</v>
      </c>
      <c r="D1463" s="14" t="str">
        <f t="shared" si="101"/>
        <v>1ST-358-1462</v>
      </c>
      <c r="E1463" s="18" t="s">
        <v>2441</v>
      </c>
      <c r="F1463" s="19">
        <f t="shared" si="103"/>
        <v>672</v>
      </c>
      <c r="G1463" s="19" t="str">
        <f t="shared" si="102"/>
        <v>CTN</v>
      </c>
      <c r="H1463" s="14" t="s">
        <v>2017</v>
      </c>
      <c r="I1463" s="14" t="s">
        <v>441</v>
      </c>
    </row>
    <row r="1464" spans="1:9" x14ac:dyDescent="0.25">
      <c r="A1464" s="17" t="s">
        <v>320</v>
      </c>
      <c r="B1464" s="14" t="s">
        <v>125</v>
      </c>
      <c r="C1464" s="18" t="s">
        <v>3898</v>
      </c>
      <c r="D1464" s="14" t="str">
        <f t="shared" si="101"/>
        <v>1ST-358-1463</v>
      </c>
      <c r="E1464" s="18" t="s">
        <v>2441</v>
      </c>
      <c r="F1464" s="19">
        <f t="shared" si="103"/>
        <v>672</v>
      </c>
      <c r="G1464" s="19" t="str">
        <f t="shared" si="102"/>
        <v>CTN</v>
      </c>
      <c r="H1464" s="14" t="s">
        <v>2017</v>
      </c>
      <c r="I1464" s="14" t="s">
        <v>441</v>
      </c>
    </row>
    <row r="1465" spans="1:9" x14ac:dyDescent="0.25">
      <c r="A1465" s="17" t="s">
        <v>320</v>
      </c>
      <c r="B1465" s="14" t="s">
        <v>125</v>
      </c>
      <c r="C1465" s="18" t="s">
        <v>3899</v>
      </c>
      <c r="D1465" s="14" t="str">
        <f t="shared" si="101"/>
        <v>1ST-358-1464</v>
      </c>
      <c r="E1465" s="18" t="s">
        <v>2441</v>
      </c>
      <c r="F1465" s="19">
        <f t="shared" si="103"/>
        <v>672</v>
      </c>
      <c r="G1465" s="19" t="str">
        <f t="shared" si="102"/>
        <v>CTN</v>
      </c>
      <c r="H1465" s="14" t="s">
        <v>2017</v>
      </c>
      <c r="I1465" s="14" t="s">
        <v>441</v>
      </c>
    </row>
    <row r="1466" spans="1:9" x14ac:dyDescent="0.25">
      <c r="A1466" s="17" t="s">
        <v>320</v>
      </c>
      <c r="B1466" s="14" t="s">
        <v>125</v>
      </c>
      <c r="C1466" s="18" t="s">
        <v>3900</v>
      </c>
      <c r="D1466" s="14" t="str">
        <f t="shared" si="101"/>
        <v>1ST-358-1465</v>
      </c>
      <c r="E1466" s="18" t="s">
        <v>2441</v>
      </c>
      <c r="F1466" s="19">
        <f t="shared" si="103"/>
        <v>672</v>
      </c>
      <c r="G1466" s="19" t="str">
        <f t="shared" si="102"/>
        <v>CTN</v>
      </c>
      <c r="H1466" s="14" t="s">
        <v>2017</v>
      </c>
      <c r="I1466" s="14" t="s">
        <v>441</v>
      </c>
    </row>
    <row r="1467" spans="1:9" ht="26.4" x14ac:dyDescent="0.25">
      <c r="A1467" s="17" t="s">
        <v>320</v>
      </c>
      <c r="B1467" s="14" t="s">
        <v>124</v>
      </c>
      <c r="C1467" s="20" t="s">
        <v>3901</v>
      </c>
      <c r="D1467" s="14" t="str">
        <f t="shared" si="101"/>
        <v>1ST-358-1466</v>
      </c>
      <c r="E1467" s="14" t="s">
        <v>2018</v>
      </c>
      <c r="F1467" s="19">
        <f t="shared" si="103"/>
        <v>87</v>
      </c>
      <c r="G1467" s="19" t="str">
        <f t="shared" si="102"/>
        <v>ROLL</v>
      </c>
      <c r="H1467" s="20" t="s">
        <v>2019</v>
      </c>
      <c r="I1467" s="14" t="s">
        <v>441</v>
      </c>
    </row>
    <row r="1468" spans="1:9" ht="52.8" x14ac:dyDescent="0.25">
      <c r="A1468" s="17" t="s">
        <v>320</v>
      </c>
      <c r="B1468" s="14" t="s">
        <v>123</v>
      </c>
      <c r="C1468" s="18" t="s">
        <v>3368</v>
      </c>
      <c r="D1468" s="14" t="str">
        <f t="shared" si="101"/>
        <v>1ST-358-1467</v>
      </c>
      <c r="E1468" s="18" t="s">
        <v>650</v>
      </c>
      <c r="F1468" s="19">
        <f t="shared" si="103"/>
        <v>78</v>
      </c>
      <c r="G1468" s="19" t="str">
        <f t="shared" si="102"/>
        <v>PC</v>
      </c>
      <c r="H1468" s="20" t="s">
        <v>2020</v>
      </c>
      <c r="I1468" s="14" t="s">
        <v>441</v>
      </c>
    </row>
    <row r="1469" spans="1:9" ht="52.8" x14ac:dyDescent="0.25">
      <c r="A1469" s="17" t="s">
        <v>320</v>
      </c>
      <c r="B1469" s="14" t="s">
        <v>123</v>
      </c>
      <c r="C1469" s="18" t="s">
        <v>3369</v>
      </c>
      <c r="D1469" s="14" t="str">
        <f t="shared" si="101"/>
        <v>1ST-358-1468</v>
      </c>
      <c r="E1469" s="18" t="s">
        <v>710</v>
      </c>
      <c r="F1469" s="19">
        <f t="shared" si="103"/>
        <v>120</v>
      </c>
      <c r="G1469" s="19" t="str">
        <f t="shared" si="102"/>
        <v>PC</v>
      </c>
      <c r="H1469" s="20" t="s">
        <v>2020</v>
      </c>
      <c r="I1469" s="14" t="s">
        <v>441</v>
      </c>
    </row>
    <row r="1470" spans="1:9" ht="26.4" x14ac:dyDescent="0.25">
      <c r="A1470" s="17" t="s">
        <v>320</v>
      </c>
      <c r="B1470" s="14" t="s">
        <v>122</v>
      </c>
      <c r="C1470" s="18" t="s">
        <v>2442</v>
      </c>
      <c r="D1470" s="14" t="str">
        <f t="shared" si="101"/>
        <v>1ST-358-1469</v>
      </c>
      <c r="E1470" s="14" t="s">
        <v>2021</v>
      </c>
      <c r="F1470" s="19">
        <f t="shared" si="103"/>
        <v>66</v>
      </c>
      <c r="G1470" s="19" t="str">
        <f t="shared" si="102"/>
        <v>PC</v>
      </c>
      <c r="H1470" s="20" t="s">
        <v>2022</v>
      </c>
      <c r="I1470" s="14" t="s">
        <v>441</v>
      </c>
    </row>
    <row r="1471" spans="1:9" ht="26.4" x14ac:dyDescent="0.25">
      <c r="A1471" s="17" t="s">
        <v>320</v>
      </c>
      <c r="B1471" s="14" t="s">
        <v>122</v>
      </c>
      <c r="C1471" s="18" t="s">
        <v>2443</v>
      </c>
      <c r="D1471" s="14" t="str">
        <f t="shared" si="101"/>
        <v>1ST-358-1470</v>
      </c>
      <c r="E1471" s="14" t="s">
        <v>2021</v>
      </c>
      <c r="F1471" s="19">
        <f t="shared" si="103"/>
        <v>66</v>
      </c>
      <c r="G1471" s="19" t="str">
        <f t="shared" si="102"/>
        <v>PC</v>
      </c>
      <c r="H1471" s="20" t="s">
        <v>2022</v>
      </c>
      <c r="I1471" s="14" t="s">
        <v>441</v>
      </c>
    </row>
    <row r="1472" spans="1:9" ht="26.4" x14ac:dyDescent="0.25">
      <c r="A1472" s="17" t="s">
        <v>320</v>
      </c>
      <c r="B1472" s="14" t="s">
        <v>122</v>
      </c>
      <c r="C1472" s="18" t="s">
        <v>2444</v>
      </c>
      <c r="D1472" s="14" t="str">
        <f t="shared" si="101"/>
        <v>1ST-358-1471</v>
      </c>
      <c r="E1472" s="14" t="s">
        <v>2021</v>
      </c>
      <c r="F1472" s="19">
        <f t="shared" si="103"/>
        <v>66</v>
      </c>
      <c r="G1472" s="19" t="str">
        <f t="shared" si="102"/>
        <v>PC</v>
      </c>
      <c r="H1472" s="20" t="s">
        <v>2022</v>
      </c>
      <c r="I1472" s="14" t="s">
        <v>441</v>
      </c>
    </row>
    <row r="1473" spans="1:9" ht="26.4" x14ac:dyDescent="0.25">
      <c r="A1473" s="17" t="s">
        <v>320</v>
      </c>
      <c r="B1473" s="14" t="s">
        <v>122</v>
      </c>
      <c r="C1473" s="18" t="s">
        <v>2445</v>
      </c>
      <c r="D1473" s="14" t="str">
        <f t="shared" si="101"/>
        <v>1ST-358-1472</v>
      </c>
      <c r="E1473" s="14" t="s">
        <v>2021</v>
      </c>
      <c r="F1473" s="19">
        <f t="shared" si="103"/>
        <v>66</v>
      </c>
      <c r="G1473" s="19" t="str">
        <f t="shared" si="102"/>
        <v>PC</v>
      </c>
      <c r="H1473" s="20" t="s">
        <v>2022</v>
      </c>
      <c r="I1473" s="14" t="s">
        <v>441</v>
      </c>
    </row>
    <row r="1474" spans="1:9" ht="26.4" x14ac:dyDescent="0.25">
      <c r="A1474" s="17" t="s">
        <v>320</v>
      </c>
      <c r="B1474" s="14" t="s">
        <v>122</v>
      </c>
      <c r="C1474" s="18" t="s">
        <v>2446</v>
      </c>
      <c r="D1474" s="14" t="str">
        <f t="shared" si="101"/>
        <v>1ST-358-1473</v>
      </c>
      <c r="E1474" s="14" t="s">
        <v>2021</v>
      </c>
      <c r="F1474" s="19">
        <f t="shared" si="103"/>
        <v>66</v>
      </c>
      <c r="G1474" s="19" t="str">
        <f t="shared" si="102"/>
        <v>PC</v>
      </c>
      <c r="H1474" s="20" t="s">
        <v>2022</v>
      </c>
      <c r="I1474" s="14" t="s">
        <v>441</v>
      </c>
    </row>
    <row r="1475" spans="1:9" ht="26.4" x14ac:dyDescent="0.25">
      <c r="A1475" s="17" t="s">
        <v>320</v>
      </c>
      <c r="B1475" s="14" t="s">
        <v>122</v>
      </c>
      <c r="C1475" s="18" t="s">
        <v>2447</v>
      </c>
      <c r="D1475" s="14" t="str">
        <f t="shared" si="101"/>
        <v>1ST-358-1474</v>
      </c>
      <c r="E1475" s="14" t="s">
        <v>2021</v>
      </c>
      <c r="F1475" s="19">
        <f t="shared" si="103"/>
        <v>66</v>
      </c>
      <c r="G1475" s="19" t="str">
        <f t="shared" si="102"/>
        <v>PC</v>
      </c>
      <c r="H1475" s="20" t="s">
        <v>2022</v>
      </c>
      <c r="I1475" s="14" t="s">
        <v>441</v>
      </c>
    </row>
    <row r="1476" spans="1:9" ht="26.4" x14ac:dyDescent="0.25">
      <c r="A1476" s="17" t="s">
        <v>320</v>
      </c>
      <c r="B1476" s="14" t="s">
        <v>122</v>
      </c>
      <c r="C1476" s="18" t="s">
        <v>2448</v>
      </c>
      <c r="D1476" s="14" t="str">
        <f t="shared" si="101"/>
        <v>1ST-358-1475</v>
      </c>
      <c r="E1476" s="14" t="s">
        <v>2021</v>
      </c>
      <c r="F1476" s="19">
        <f t="shared" si="103"/>
        <v>66</v>
      </c>
      <c r="G1476" s="19" t="str">
        <f t="shared" si="102"/>
        <v>PC</v>
      </c>
      <c r="H1476" s="20" t="s">
        <v>2022</v>
      </c>
      <c r="I1476" s="14" t="s">
        <v>441</v>
      </c>
    </row>
    <row r="1477" spans="1:9" ht="26.4" x14ac:dyDescent="0.25">
      <c r="A1477" s="17" t="s">
        <v>320</v>
      </c>
      <c r="B1477" s="14" t="s">
        <v>122</v>
      </c>
      <c r="C1477" s="18" t="s">
        <v>2449</v>
      </c>
      <c r="D1477" s="14" t="str">
        <f t="shared" ref="D1477:D1540" si="104">LEFT($D$2,FIND("-",$D$2,FIND("-",$D$2)+1)) &amp; TEXT(RIGHT($D$2,3)+ROW(D1475),"000")</f>
        <v>1ST-358-1476</v>
      </c>
      <c r="E1477" s="14" t="s">
        <v>2021</v>
      </c>
      <c r="F1477" s="19">
        <f t="shared" si="103"/>
        <v>66</v>
      </c>
      <c r="G1477" s="19" t="str">
        <f t="shared" si="102"/>
        <v>PC</v>
      </c>
      <c r="H1477" s="20" t="s">
        <v>2022</v>
      </c>
      <c r="I1477" s="14" t="s">
        <v>441</v>
      </c>
    </row>
    <row r="1478" spans="1:9" ht="26.4" x14ac:dyDescent="0.25">
      <c r="A1478" s="17" t="s">
        <v>320</v>
      </c>
      <c r="B1478" s="14" t="s">
        <v>121</v>
      </c>
      <c r="C1478" s="14" t="s">
        <v>2023</v>
      </c>
      <c r="D1478" s="14" t="str">
        <f t="shared" si="104"/>
        <v>1ST-358-1477</v>
      </c>
      <c r="E1478" s="14" t="s">
        <v>2024</v>
      </c>
      <c r="F1478" s="19">
        <f t="shared" si="103"/>
        <v>1288</v>
      </c>
      <c r="G1478" s="19" t="str">
        <f t="shared" si="102"/>
        <v>SET</v>
      </c>
      <c r="H1478" s="20" t="s">
        <v>2025</v>
      </c>
      <c r="I1478" s="14" t="s">
        <v>441</v>
      </c>
    </row>
    <row r="1479" spans="1:9" x14ac:dyDescent="0.25">
      <c r="A1479" s="17" t="s">
        <v>320</v>
      </c>
      <c r="B1479" s="14" t="s">
        <v>120</v>
      </c>
      <c r="C1479" s="14" t="s">
        <v>2026</v>
      </c>
      <c r="D1479" s="14" t="str">
        <f t="shared" si="104"/>
        <v>1ST-358-1478</v>
      </c>
      <c r="E1479" s="14" t="s">
        <v>1543</v>
      </c>
      <c r="F1479" s="19">
        <f t="shared" si="103"/>
        <v>150</v>
      </c>
      <c r="G1479" s="19" t="str">
        <f t="shared" si="102"/>
        <v>PC</v>
      </c>
      <c r="H1479" s="14" t="s">
        <v>2027</v>
      </c>
      <c r="I1479" s="14" t="s">
        <v>441</v>
      </c>
    </row>
    <row r="1480" spans="1:9" x14ac:dyDescent="0.25">
      <c r="A1480" s="17" t="s">
        <v>320</v>
      </c>
      <c r="B1480" s="14" t="s">
        <v>119</v>
      </c>
      <c r="C1480" s="18" t="s">
        <v>2450</v>
      </c>
      <c r="D1480" s="14" t="str">
        <f t="shared" si="104"/>
        <v>1ST-358-1479</v>
      </c>
      <c r="E1480" s="14" t="s">
        <v>2028</v>
      </c>
      <c r="F1480" s="19">
        <f t="shared" si="103"/>
        <v>2750</v>
      </c>
      <c r="G1480" s="19" t="str">
        <f t="shared" si="102"/>
        <v>SACK</v>
      </c>
      <c r="H1480" s="14" t="s">
        <v>2029</v>
      </c>
      <c r="I1480" s="14" t="s">
        <v>441</v>
      </c>
    </row>
    <row r="1481" spans="1:9" x14ac:dyDescent="0.25">
      <c r="A1481" s="17" t="s">
        <v>320</v>
      </c>
      <c r="B1481" s="14" t="s">
        <v>119</v>
      </c>
      <c r="C1481" s="18" t="s">
        <v>2451</v>
      </c>
      <c r="D1481" s="14" t="str">
        <f t="shared" si="104"/>
        <v>1ST-358-1480</v>
      </c>
      <c r="E1481" s="14" t="s">
        <v>2028</v>
      </c>
      <c r="F1481" s="19">
        <f t="shared" si="103"/>
        <v>2750</v>
      </c>
      <c r="G1481" s="19" t="str">
        <f t="shared" si="102"/>
        <v>SACK</v>
      </c>
      <c r="H1481" s="14" t="s">
        <v>2029</v>
      </c>
      <c r="I1481" s="14" t="s">
        <v>441</v>
      </c>
    </row>
    <row r="1482" spans="1:9" x14ac:dyDescent="0.25">
      <c r="A1482" s="17" t="s">
        <v>320</v>
      </c>
      <c r="B1482" s="14" t="s">
        <v>119</v>
      </c>
      <c r="C1482" s="18" t="s">
        <v>2452</v>
      </c>
      <c r="D1482" s="14" t="str">
        <f t="shared" si="104"/>
        <v>1ST-358-1481</v>
      </c>
      <c r="E1482" s="14" t="s">
        <v>2028</v>
      </c>
      <c r="F1482" s="19">
        <f t="shared" si="103"/>
        <v>2750</v>
      </c>
      <c r="G1482" s="19" t="str">
        <f t="shared" ref="G1482:G1545" si="105">TRIM(MID(E1482,FIND("/",E1482)+1,LEN(E1482)))</f>
        <v>SACK</v>
      </c>
      <c r="H1482" s="14" t="s">
        <v>2029</v>
      </c>
      <c r="I1482" s="14" t="s">
        <v>441</v>
      </c>
    </row>
    <row r="1483" spans="1:9" x14ac:dyDescent="0.25">
      <c r="A1483" s="17" t="s">
        <v>320</v>
      </c>
      <c r="B1483" s="14" t="s">
        <v>119</v>
      </c>
      <c r="C1483" s="18" t="s">
        <v>2453</v>
      </c>
      <c r="D1483" s="14" t="str">
        <f t="shared" si="104"/>
        <v>1ST-358-1482</v>
      </c>
      <c r="E1483" s="14" t="s">
        <v>2028</v>
      </c>
      <c r="F1483" s="19">
        <f t="shared" si="103"/>
        <v>2750</v>
      </c>
      <c r="G1483" s="19" t="str">
        <f t="shared" si="105"/>
        <v>SACK</v>
      </c>
      <c r="H1483" s="14" t="s">
        <v>2029</v>
      </c>
      <c r="I1483" s="14" t="s">
        <v>441</v>
      </c>
    </row>
    <row r="1484" spans="1:9" x14ac:dyDescent="0.25">
      <c r="A1484" s="17" t="s">
        <v>320</v>
      </c>
      <c r="B1484" s="14" t="s">
        <v>119</v>
      </c>
      <c r="C1484" s="18" t="s">
        <v>2454</v>
      </c>
      <c r="D1484" s="14" t="str">
        <f t="shared" si="104"/>
        <v>1ST-358-1483</v>
      </c>
      <c r="E1484" s="14" t="s">
        <v>2028</v>
      </c>
      <c r="F1484" s="19">
        <f t="shared" si="103"/>
        <v>2750</v>
      </c>
      <c r="G1484" s="19" t="str">
        <f t="shared" si="105"/>
        <v>SACK</v>
      </c>
      <c r="H1484" s="14" t="s">
        <v>2029</v>
      </c>
      <c r="I1484" s="14" t="s">
        <v>441</v>
      </c>
    </row>
    <row r="1485" spans="1:9" x14ac:dyDescent="0.25">
      <c r="A1485" s="17" t="s">
        <v>320</v>
      </c>
      <c r="B1485" s="14" t="s">
        <v>119</v>
      </c>
      <c r="C1485" s="18" t="s">
        <v>2455</v>
      </c>
      <c r="D1485" s="14" t="str">
        <f t="shared" si="104"/>
        <v>1ST-358-1484</v>
      </c>
      <c r="E1485" s="14" t="s">
        <v>2028</v>
      </c>
      <c r="F1485" s="19">
        <f t="shared" si="103"/>
        <v>2750</v>
      </c>
      <c r="G1485" s="19" t="str">
        <f t="shared" si="105"/>
        <v>SACK</v>
      </c>
      <c r="H1485" s="14" t="s">
        <v>2029</v>
      </c>
      <c r="I1485" s="14" t="s">
        <v>441</v>
      </c>
    </row>
    <row r="1486" spans="1:9" x14ac:dyDescent="0.25">
      <c r="A1486" s="17" t="s">
        <v>320</v>
      </c>
      <c r="B1486" s="14" t="s">
        <v>118</v>
      </c>
      <c r="C1486" s="18" t="s">
        <v>2456</v>
      </c>
      <c r="D1486" s="14" t="str">
        <f t="shared" si="104"/>
        <v>1ST-358-1485</v>
      </c>
      <c r="E1486" s="18" t="s">
        <v>1243</v>
      </c>
      <c r="F1486" s="19">
        <f t="shared" si="103"/>
        <v>1.8</v>
      </c>
      <c r="G1486" s="19" t="str">
        <f t="shared" si="105"/>
        <v>PC</v>
      </c>
      <c r="H1486" s="14" t="s">
        <v>441</v>
      </c>
      <c r="I1486" s="14" t="s">
        <v>441</v>
      </c>
    </row>
    <row r="1487" spans="1:9" x14ac:dyDescent="0.25">
      <c r="A1487" s="17" t="s">
        <v>320</v>
      </c>
      <c r="B1487" s="14" t="s">
        <v>118</v>
      </c>
      <c r="C1487" s="18" t="s">
        <v>2457</v>
      </c>
      <c r="D1487" s="14" t="str">
        <f t="shared" si="104"/>
        <v>1ST-358-1486</v>
      </c>
      <c r="E1487" s="18" t="s">
        <v>2458</v>
      </c>
      <c r="F1487" s="19">
        <f t="shared" si="103"/>
        <v>2.85</v>
      </c>
      <c r="G1487" s="19" t="str">
        <f t="shared" si="105"/>
        <v>PC</v>
      </c>
      <c r="H1487" s="14" t="s">
        <v>441</v>
      </c>
      <c r="I1487" s="14" t="s">
        <v>441</v>
      </c>
    </row>
    <row r="1488" spans="1:9" x14ac:dyDescent="0.25">
      <c r="A1488" s="17" t="s">
        <v>320</v>
      </c>
      <c r="B1488" s="14" t="s">
        <v>118</v>
      </c>
      <c r="C1488" s="18" t="s">
        <v>2459</v>
      </c>
      <c r="D1488" s="14" t="str">
        <f t="shared" si="104"/>
        <v>1ST-358-1487</v>
      </c>
      <c r="E1488" s="18" t="s">
        <v>2460</v>
      </c>
      <c r="F1488" s="19">
        <f t="shared" si="103"/>
        <v>4.8</v>
      </c>
      <c r="G1488" s="19" t="str">
        <f t="shared" si="105"/>
        <v>PC</v>
      </c>
      <c r="H1488" s="14" t="s">
        <v>441</v>
      </c>
      <c r="I1488" s="14" t="s">
        <v>441</v>
      </c>
    </row>
    <row r="1489" spans="1:9" x14ac:dyDescent="0.25">
      <c r="A1489" s="17" t="s">
        <v>320</v>
      </c>
      <c r="B1489" s="14" t="s">
        <v>118</v>
      </c>
      <c r="C1489" s="18" t="s">
        <v>2461</v>
      </c>
      <c r="D1489" s="14" t="str">
        <f t="shared" si="104"/>
        <v>1ST-358-1488</v>
      </c>
      <c r="E1489" s="18" t="s">
        <v>2462</v>
      </c>
      <c r="F1489" s="19">
        <f t="shared" si="103"/>
        <v>7.8</v>
      </c>
      <c r="G1489" s="19" t="str">
        <f t="shared" si="105"/>
        <v>PC</v>
      </c>
      <c r="H1489" s="14" t="s">
        <v>441</v>
      </c>
      <c r="I1489" s="14" t="s">
        <v>441</v>
      </c>
    </row>
    <row r="1490" spans="1:9" x14ac:dyDescent="0.25">
      <c r="A1490" s="17" t="s">
        <v>320</v>
      </c>
      <c r="B1490" s="14" t="s">
        <v>118</v>
      </c>
      <c r="C1490" s="18" t="s">
        <v>2463</v>
      </c>
      <c r="D1490" s="14" t="str">
        <f t="shared" si="104"/>
        <v>1ST-358-1489</v>
      </c>
      <c r="E1490" s="18" t="s">
        <v>2464</v>
      </c>
      <c r="F1490" s="19">
        <f t="shared" si="103"/>
        <v>22.8</v>
      </c>
      <c r="G1490" s="19" t="str">
        <f t="shared" si="105"/>
        <v>PC</v>
      </c>
      <c r="H1490" s="14" t="s">
        <v>441</v>
      </c>
      <c r="I1490" s="14" t="s">
        <v>441</v>
      </c>
    </row>
    <row r="1491" spans="1:9" ht="26.4" x14ac:dyDescent="0.25">
      <c r="A1491" s="17" t="s">
        <v>320</v>
      </c>
      <c r="B1491" s="14" t="s">
        <v>117</v>
      </c>
      <c r="C1491" s="19" t="s">
        <v>2465</v>
      </c>
      <c r="D1491" s="14" t="str">
        <f t="shared" si="104"/>
        <v>1ST-358-1490</v>
      </c>
      <c r="E1491" s="19" t="s">
        <v>2466</v>
      </c>
      <c r="F1491" s="19">
        <f t="shared" si="103"/>
        <v>1.25</v>
      </c>
      <c r="G1491" s="19" t="str">
        <f t="shared" si="105"/>
        <v>PC</v>
      </c>
      <c r="H1491" s="18" t="s">
        <v>3370</v>
      </c>
      <c r="I1491" s="14" t="s">
        <v>441</v>
      </c>
    </row>
    <row r="1492" spans="1:9" ht="26.4" x14ac:dyDescent="0.25">
      <c r="A1492" s="17" t="s">
        <v>320</v>
      </c>
      <c r="B1492" s="14" t="s">
        <v>117</v>
      </c>
      <c r="C1492" s="19" t="s">
        <v>2467</v>
      </c>
      <c r="D1492" s="14" t="str">
        <f t="shared" si="104"/>
        <v>1ST-358-1491</v>
      </c>
      <c r="E1492" s="19" t="s">
        <v>2468</v>
      </c>
      <c r="F1492" s="19">
        <f t="shared" si="103"/>
        <v>1.6</v>
      </c>
      <c r="G1492" s="19" t="str">
        <f t="shared" si="105"/>
        <v>PC</v>
      </c>
      <c r="H1492" s="18" t="s">
        <v>3371</v>
      </c>
      <c r="I1492" s="14" t="s">
        <v>441</v>
      </c>
    </row>
    <row r="1493" spans="1:9" ht="26.4" x14ac:dyDescent="0.25">
      <c r="A1493" s="17" t="s">
        <v>320</v>
      </c>
      <c r="B1493" s="14" t="s">
        <v>117</v>
      </c>
      <c r="C1493" s="19" t="s">
        <v>2469</v>
      </c>
      <c r="D1493" s="14" t="str">
        <f t="shared" si="104"/>
        <v>1ST-358-1492</v>
      </c>
      <c r="E1493" s="19" t="s">
        <v>2470</v>
      </c>
      <c r="F1493" s="19">
        <f t="shared" si="103"/>
        <v>1.9</v>
      </c>
      <c r="G1493" s="19" t="str">
        <f t="shared" si="105"/>
        <v>PC</v>
      </c>
      <c r="H1493" s="18" t="s">
        <v>3372</v>
      </c>
      <c r="I1493" s="14" t="s">
        <v>441</v>
      </c>
    </row>
    <row r="1494" spans="1:9" ht="26.4" x14ac:dyDescent="0.25">
      <c r="A1494" s="17" t="s">
        <v>320</v>
      </c>
      <c r="B1494" s="14" t="s">
        <v>117</v>
      </c>
      <c r="C1494" s="19" t="s">
        <v>2471</v>
      </c>
      <c r="D1494" s="14" t="str">
        <f t="shared" si="104"/>
        <v>1ST-358-1493</v>
      </c>
      <c r="E1494" s="19" t="s">
        <v>925</v>
      </c>
      <c r="F1494" s="19">
        <f t="shared" si="103"/>
        <v>4</v>
      </c>
      <c r="G1494" s="19" t="str">
        <f t="shared" si="105"/>
        <v>PC</v>
      </c>
      <c r="H1494" s="18" t="s">
        <v>3078</v>
      </c>
      <c r="I1494" s="14" t="s">
        <v>441</v>
      </c>
    </row>
    <row r="1495" spans="1:9" x14ac:dyDescent="0.25">
      <c r="A1495" s="17" t="s">
        <v>320</v>
      </c>
      <c r="B1495" s="14" t="s">
        <v>116</v>
      </c>
      <c r="C1495" s="14" t="s">
        <v>2030</v>
      </c>
      <c r="D1495" s="14" t="str">
        <f t="shared" si="104"/>
        <v>1ST-358-1494</v>
      </c>
      <c r="E1495" s="14" t="s">
        <v>2031</v>
      </c>
      <c r="F1495" s="19">
        <f t="shared" si="103"/>
        <v>1350</v>
      </c>
      <c r="G1495" s="19" t="str">
        <f t="shared" si="105"/>
        <v>CTN</v>
      </c>
      <c r="H1495" s="14" t="s">
        <v>2031</v>
      </c>
      <c r="I1495" s="14" t="s">
        <v>441</v>
      </c>
    </row>
    <row r="1496" spans="1:9" x14ac:dyDescent="0.25">
      <c r="A1496" s="17" t="s">
        <v>320</v>
      </c>
      <c r="B1496" s="14" t="s">
        <v>115</v>
      </c>
      <c r="C1496" s="18" t="s">
        <v>2472</v>
      </c>
      <c r="D1496" s="14" t="str">
        <f t="shared" si="104"/>
        <v>1ST-358-1495</v>
      </c>
      <c r="E1496" s="18" t="s">
        <v>2473</v>
      </c>
      <c r="F1496" s="19">
        <f t="shared" si="103"/>
        <v>61</v>
      </c>
      <c r="G1496" s="19" t="str">
        <f t="shared" si="105"/>
        <v>BOX</v>
      </c>
      <c r="H1496" s="18" t="s">
        <v>2893</v>
      </c>
      <c r="I1496" s="14" t="s">
        <v>441</v>
      </c>
    </row>
    <row r="1497" spans="1:9" x14ac:dyDescent="0.25">
      <c r="A1497" s="17" t="s">
        <v>320</v>
      </c>
      <c r="B1497" s="14" t="s">
        <v>115</v>
      </c>
      <c r="C1497" s="18" t="s">
        <v>2474</v>
      </c>
      <c r="D1497" s="14" t="str">
        <f t="shared" si="104"/>
        <v>1ST-358-1496</v>
      </c>
      <c r="E1497" s="18" t="s">
        <v>2475</v>
      </c>
      <c r="F1497" s="19">
        <f t="shared" si="103"/>
        <v>58</v>
      </c>
      <c r="G1497" s="19" t="str">
        <f t="shared" si="105"/>
        <v>BOX</v>
      </c>
      <c r="H1497" s="18" t="s">
        <v>2894</v>
      </c>
      <c r="I1497" s="14" t="s">
        <v>441</v>
      </c>
    </row>
    <row r="1498" spans="1:9" x14ac:dyDescent="0.25">
      <c r="A1498" s="17" t="s">
        <v>320</v>
      </c>
      <c r="B1498" s="14" t="s">
        <v>115</v>
      </c>
      <c r="C1498" s="18" t="s">
        <v>2476</v>
      </c>
      <c r="D1498" s="14" t="str">
        <f t="shared" si="104"/>
        <v>1ST-358-1497</v>
      </c>
      <c r="E1498" s="18" t="s">
        <v>2477</v>
      </c>
      <c r="F1498" s="19">
        <f t="shared" si="103"/>
        <v>53</v>
      </c>
      <c r="G1498" s="19" t="str">
        <f t="shared" si="105"/>
        <v>BOX</v>
      </c>
      <c r="H1498" s="18" t="s">
        <v>2895</v>
      </c>
      <c r="I1498" s="14" t="s">
        <v>441</v>
      </c>
    </row>
    <row r="1499" spans="1:9" x14ac:dyDescent="0.25">
      <c r="A1499" s="17" t="s">
        <v>320</v>
      </c>
      <c r="B1499" s="14" t="s">
        <v>115</v>
      </c>
      <c r="C1499" s="18" t="s">
        <v>2478</v>
      </c>
      <c r="D1499" s="14" t="str">
        <f t="shared" si="104"/>
        <v>1ST-358-1498</v>
      </c>
      <c r="E1499" s="18" t="s">
        <v>2479</v>
      </c>
      <c r="F1499" s="19">
        <f t="shared" si="103"/>
        <v>51</v>
      </c>
      <c r="G1499" s="19" t="str">
        <f t="shared" si="105"/>
        <v>BOX</v>
      </c>
      <c r="H1499" s="18" t="s">
        <v>2896</v>
      </c>
      <c r="I1499" s="14" t="s">
        <v>441</v>
      </c>
    </row>
    <row r="1500" spans="1:9" ht="26.4" x14ac:dyDescent="0.25">
      <c r="A1500" s="17" t="s">
        <v>320</v>
      </c>
      <c r="B1500" s="14" t="s">
        <v>114</v>
      </c>
      <c r="C1500" s="19" t="s">
        <v>2897</v>
      </c>
      <c r="D1500" s="14" t="str">
        <f t="shared" si="104"/>
        <v>1ST-358-1499</v>
      </c>
      <c r="E1500" s="19" t="s">
        <v>2480</v>
      </c>
      <c r="F1500" s="19">
        <f t="shared" si="103"/>
        <v>1110</v>
      </c>
      <c r="G1500" s="19" t="str">
        <f t="shared" si="105"/>
        <v>CTN</v>
      </c>
      <c r="H1500" s="20" t="s">
        <v>2032</v>
      </c>
      <c r="I1500" s="14" t="s">
        <v>441</v>
      </c>
    </row>
    <row r="1501" spans="1:9" ht="26.4" x14ac:dyDescent="0.25">
      <c r="A1501" s="17" t="s">
        <v>320</v>
      </c>
      <c r="B1501" s="14" t="s">
        <v>114</v>
      </c>
      <c r="C1501" s="19" t="s">
        <v>2898</v>
      </c>
      <c r="D1501" s="14" t="str">
        <f t="shared" si="104"/>
        <v>1ST-358-1500</v>
      </c>
      <c r="E1501" s="19" t="s">
        <v>2480</v>
      </c>
      <c r="F1501" s="19">
        <f t="shared" si="103"/>
        <v>1110</v>
      </c>
      <c r="G1501" s="19" t="str">
        <f t="shared" si="105"/>
        <v>CTN</v>
      </c>
      <c r="H1501" s="20" t="s">
        <v>2032</v>
      </c>
      <c r="I1501" s="14" t="s">
        <v>441</v>
      </c>
    </row>
    <row r="1502" spans="1:9" x14ac:dyDescent="0.25">
      <c r="A1502" s="17" t="s">
        <v>320</v>
      </c>
      <c r="B1502" s="14" t="s">
        <v>113</v>
      </c>
      <c r="C1502" s="18" t="s">
        <v>2481</v>
      </c>
      <c r="D1502" s="14" t="str">
        <f t="shared" si="104"/>
        <v>1ST-358-1501</v>
      </c>
      <c r="E1502" s="18" t="s">
        <v>1078</v>
      </c>
      <c r="F1502" s="19">
        <f t="shared" si="103"/>
        <v>3.75</v>
      </c>
      <c r="G1502" s="19" t="str">
        <f t="shared" si="105"/>
        <v>PC</v>
      </c>
      <c r="H1502" s="14" t="s">
        <v>441</v>
      </c>
      <c r="I1502" s="14" t="s">
        <v>441</v>
      </c>
    </row>
    <row r="1503" spans="1:9" x14ac:dyDescent="0.25">
      <c r="A1503" s="17" t="s">
        <v>320</v>
      </c>
      <c r="B1503" s="14" t="s">
        <v>113</v>
      </c>
      <c r="C1503" s="18" t="s">
        <v>2482</v>
      </c>
      <c r="D1503" s="14" t="str">
        <f t="shared" si="104"/>
        <v>1ST-358-1502</v>
      </c>
      <c r="E1503" s="18" t="s">
        <v>2483</v>
      </c>
      <c r="F1503" s="19">
        <f t="shared" si="103"/>
        <v>5.25</v>
      </c>
      <c r="G1503" s="19" t="str">
        <f t="shared" si="105"/>
        <v>PC</v>
      </c>
      <c r="H1503" s="14" t="s">
        <v>441</v>
      </c>
      <c r="I1503" s="14" t="s">
        <v>441</v>
      </c>
    </row>
    <row r="1504" spans="1:9" x14ac:dyDescent="0.25">
      <c r="A1504" s="17" t="s">
        <v>320</v>
      </c>
      <c r="B1504" s="14" t="s">
        <v>113</v>
      </c>
      <c r="C1504" s="18" t="s">
        <v>2484</v>
      </c>
      <c r="D1504" s="14" t="str">
        <f t="shared" si="104"/>
        <v>1ST-358-1503</v>
      </c>
      <c r="E1504" s="18" t="s">
        <v>1034</v>
      </c>
      <c r="F1504" s="19">
        <f t="shared" si="103"/>
        <v>4.25</v>
      </c>
      <c r="G1504" s="19" t="str">
        <f t="shared" si="105"/>
        <v>PC</v>
      </c>
      <c r="H1504" s="14" t="s">
        <v>441</v>
      </c>
      <c r="I1504" s="14" t="s">
        <v>441</v>
      </c>
    </row>
    <row r="1505" spans="1:9" x14ac:dyDescent="0.25">
      <c r="A1505" s="17" t="s">
        <v>320</v>
      </c>
      <c r="B1505" s="14" t="s">
        <v>113</v>
      </c>
      <c r="C1505" s="18" t="s">
        <v>2485</v>
      </c>
      <c r="D1505" s="14" t="str">
        <f t="shared" si="104"/>
        <v>1ST-358-1504</v>
      </c>
      <c r="E1505" s="18" t="s">
        <v>1023</v>
      </c>
      <c r="F1505" s="19">
        <f t="shared" si="103"/>
        <v>5.5</v>
      </c>
      <c r="G1505" s="19" t="str">
        <f t="shared" si="105"/>
        <v>PC</v>
      </c>
      <c r="H1505" s="14" t="s">
        <v>441</v>
      </c>
      <c r="I1505" s="14" t="s">
        <v>441</v>
      </c>
    </row>
    <row r="1506" spans="1:9" x14ac:dyDescent="0.25">
      <c r="A1506" s="17" t="s">
        <v>320</v>
      </c>
      <c r="B1506" s="14" t="s">
        <v>113</v>
      </c>
      <c r="C1506" s="18" t="s">
        <v>2486</v>
      </c>
      <c r="D1506" s="14" t="str">
        <f t="shared" si="104"/>
        <v>1ST-358-1505</v>
      </c>
      <c r="E1506" s="18" t="s">
        <v>2487</v>
      </c>
      <c r="F1506" s="19">
        <f t="shared" si="103"/>
        <v>8.75</v>
      </c>
      <c r="G1506" s="19" t="str">
        <f t="shared" si="105"/>
        <v>PC</v>
      </c>
      <c r="H1506" s="14" t="s">
        <v>441</v>
      </c>
      <c r="I1506" s="14" t="s">
        <v>441</v>
      </c>
    </row>
    <row r="1507" spans="1:9" x14ac:dyDescent="0.25">
      <c r="A1507" s="17" t="s">
        <v>320</v>
      </c>
      <c r="B1507" s="14" t="s">
        <v>113</v>
      </c>
      <c r="C1507" s="18" t="s">
        <v>2488</v>
      </c>
      <c r="D1507" s="14" t="str">
        <f t="shared" si="104"/>
        <v>1ST-358-1506</v>
      </c>
      <c r="E1507" s="18" t="s">
        <v>1067</v>
      </c>
      <c r="F1507" s="19">
        <f t="shared" si="103"/>
        <v>11.25</v>
      </c>
      <c r="G1507" s="19" t="str">
        <f t="shared" si="105"/>
        <v>PC</v>
      </c>
      <c r="H1507" s="14" t="s">
        <v>441</v>
      </c>
      <c r="I1507" s="14" t="s">
        <v>441</v>
      </c>
    </row>
    <row r="1508" spans="1:9" x14ac:dyDescent="0.25">
      <c r="A1508" s="17" t="s">
        <v>320</v>
      </c>
      <c r="B1508" s="14" t="s">
        <v>113</v>
      </c>
      <c r="C1508" s="18" t="s">
        <v>2489</v>
      </c>
      <c r="D1508" s="14" t="str">
        <f t="shared" si="104"/>
        <v>1ST-358-1507</v>
      </c>
      <c r="E1508" s="18" t="s">
        <v>2490</v>
      </c>
      <c r="F1508" s="19">
        <f t="shared" si="103"/>
        <v>11.5</v>
      </c>
      <c r="G1508" s="19" t="str">
        <f t="shared" si="105"/>
        <v>PC</v>
      </c>
      <c r="H1508" s="14" t="s">
        <v>441</v>
      </c>
      <c r="I1508" s="14" t="s">
        <v>441</v>
      </c>
    </row>
    <row r="1509" spans="1:9" x14ac:dyDescent="0.25">
      <c r="A1509" s="17" t="s">
        <v>320</v>
      </c>
      <c r="B1509" s="14" t="s">
        <v>113</v>
      </c>
      <c r="C1509" s="18" t="s">
        <v>2491</v>
      </c>
      <c r="D1509" s="14" t="str">
        <f t="shared" si="104"/>
        <v>1ST-358-1508</v>
      </c>
      <c r="E1509" s="18" t="s">
        <v>1175</v>
      </c>
      <c r="F1509" s="19">
        <f t="shared" si="103"/>
        <v>15.5</v>
      </c>
      <c r="G1509" s="19" t="str">
        <f t="shared" si="105"/>
        <v>PC</v>
      </c>
      <c r="H1509" s="14" t="s">
        <v>441</v>
      </c>
      <c r="I1509" s="14" t="s">
        <v>441</v>
      </c>
    </row>
    <row r="1510" spans="1:9" ht="26.4" x14ac:dyDescent="0.25">
      <c r="A1510" s="17" t="s">
        <v>320</v>
      </c>
      <c r="B1510" s="14" t="s">
        <v>112</v>
      </c>
      <c r="C1510" s="18" t="s">
        <v>3902</v>
      </c>
      <c r="D1510" s="14" t="str">
        <f t="shared" si="104"/>
        <v>1ST-358-1509</v>
      </c>
      <c r="E1510" s="18" t="s">
        <v>2492</v>
      </c>
      <c r="F1510" s="19">
        <f t="shared" si="103"/>
        <v>114</v>
      </c>
      <c r="G1510" s="19" t="str">
        <f t="shared" si="105"/>
        <v>BOX</v>
      </c>
      <c r="H1510" s="18" t="s">
        <v>3373</v>
      </c>
      <c r="I1510" s="14" t="s">
        <v>441</v>
      </c>
    </row>
    <row r="1511" spans="1:9" ht="26.4" x14ac:dyDescent="0.25">
      <c r="A1511" s="17" t="s">
        <v>320</v>
      </c>
      <c r="B1511" s="14" t="s">
        <v>112</v>
      </c>
      <c r="C1511" s="18" t="s">
        <v>3903</v>
      </c>
      <c r="D1511" s="14" t="str">
        <f t="shared" si="104"/>
        <v>1ST-358-1510</v>
      </c>
      <c r="E1511" s="18" t="s">
        <v>2493</v>
      </c>
      <c r="F1511" s="19">
        <f t="shared" si="103"/>
        <v>132</v>
      </c>
      <c r="G1511" s="19" t="str">
        <f t="shared" si="105"/>
        <v>BOX</v>
      </c>
      <c r="H1511" s="18" t="s">
        <v>3374</v>
      </c>
      <c r="I1511" s="14" t="s">
        <v>441</v>
      </c>
    </row>
    <row r="1512" spans="1:9" ht="26.4" x14ac:dyDescent="0.25">
      <c r="A1512" s="17" t="s">
        <v>320</v>
      </c>
      <c r="B1512" s="14" t="s">
        <v>112</v>
      </c>
      <c r="C1512" s="18" t="s">
        <v>3904</v>
      </c>
      <c r="D1512" s="14" t="str">
        <f t="shared" si="104"/>
        <v>1ST-358-1511</v>
      </c>
      <c r="E1512" s="18" t="s">
        <v>2494</v>
      </c>
      <c r="F1512" s="19">
        <f t="shared" ref="F1512:F1575" si="106">VALUE(LEFT(E1512,FIND("/",E1512)-1))</f>
        <v>82</v>
      </c>
      <c r="G1512" s="19" t="str">
        <f t="shared" si="105"/>
        <v>BOX</v>
      </c>
      <c r="H1512" s="18" t="s">
        <v>3375</v>
      </c>
      <c r="I1512" s="14" t="s">
        <v>441</v>
      </c>
    </row>
    <row r="1513" spans="1:9" ht="26.4" x14ac:dyDescent="0.25">
      <c r="A1513" s="17" t="s">
        <v>320</v>
      </c>
      <c r="B1513" s="14" t="s">
        <v>112</v>
      </c>
      <c r="C1513" s="18" t="s">
        <v>3905</v>
      </c>
      <c r="D1513" s="14" t="str">
        <f t="shared" si="104"/>
        <v>1ST-358-1512</v>
      </c>
      <c r="E1513" s="18" t="s">
        <v>2495</v>
      </c>
      <c r="F1513" s="19">
        <f t="shared" si="106"/>
        <v>102</v>
      </c>
      <c r="G1513" s="19" t="str">
        <f t="shared" si="105"/>
        <v>BOX</v>
      </c>
      <c r="H1513" s="18" t="s">
        <v>3376</v>
      </c>
      <c r="I1513" s="14" t="s">
        <v>441</v>
      </c>
    </row>
    <row r="1514" spans="1:9" ht="39.6" x14ac:dyDescent="0.25">
      <c r="A1514" s="17" t="s">
        <v>320</v>
      </c>
      <c r="B1514" s="14" t="s">
        <v>112</v>
      </c>
      <c r="C1514" s="18" t="s">
        <v>3906</v>
      </c>
      <c r="D1514" s="14" t="str">
        <f t="shared" si="104"/>
        <v>1ST-358-1513</v>
      </c>
      <c r="E1514" s="18" t="s">
        <v>2496</v>
      </c>
      <c r="F1514" s="19">
        <f t="shared" si="106"/>
        <v>142</v>
      </c>
      <c r="G1514" s="19" t="str">
        <f t="shared" si="105"/>
        <v>BOX</v>
      </c>
      <c r="H1514" s="18" t="s">
        <v>3377</v>
      </c>
      <c r="I1514" s="14" t="s">
        <v>441</v>
      </c>
    </row>
    <row r="1515" spans="1:9" ht="26.4" x14ac:dyDescent="0.25">
      <c r="A1515" s="17" t="s">
        <v>320</v>
      </c>
      <c r="B1515" s="14" t="s">
        <v>112</v>
      </c>
      <c r="C1515" s="18" t="s">
        <v>3907</v>
      </c>
      <c r="D1515" s="14" t="str">
        <f t="shared" si="104"/>
        <v>1ST-358-1514</v>
      </c>
      <c r="E1515" s="18" t="s">
        <v>2497</v>
      </c>
      <c r="F1515" s="19">
        <f t="shared" si="106"/>
        <v>133</v>
      </c>
      <c r="G1515" s="19" t="str">
        <f t="shared" si="105"/>
        <v>BOX</v>
      </c>
      <c r="H1515" s="18" t="s">
        <v>3378</v>
      </c>
      <c r="I1515" s="14" t="s">
        <v>441</v>
      </c>
    </row>
    <row r="1516" spans="1:9" ht="26.4" x14ac:dyDescent="0.25">
      <c r="A1516" s="17" t="s">
        <v>320</v>
      </c>
      <c r="B1516" s="14" t="s">
        <v>111</v>
      </c>
      <c r="C1516" s="18" t="s">
        <v>3908</v>
      </c>
      <c r="D1516" s="14" t="str">
        <f t="shared" si="104"/>
        <v>1ST-358-1515</v>
      </c>
      <c r="E1516" s="18" t="s">
        <v>2498</v>
      </c>
      <c r="F1516" s="19">
        <f t="shared" si="106"/>
        <v>93</v>
      </c>
      <c r="G1516" s="19" t="str">
        <f t="shared" si="105"/>
        <v>BOX</v>
      </c>
      <c r="H1516" s="18" t="s">
        <v>3379</v>
      </c>
      <c r="I1516" s="14" t="s">
        <v>441</v>
      </c>
    </row>
    <row r="1517" spans="1:9" x14ac:dyDescent="0.25">
      <c r="A1517" s="17" t="s">
        <v>320</v>
      </c>
      <c r="B1517" s="14" t="s">
        <v>111</v>
      </c>
      <c r="C1517" s="18" t="s">
        <v>3909</v>
      </c>
      <c r="D1517" s="14" t="str">
        <f t="shared" si="104"/>
        <v>1ST-358-1516</v>
      </c>
      <c r="E1517" s="18" t="s">
        <v>2499</v>
      </c>
      <c r="F1517" s="19">
        <f t="shared" si="106"/>
        <v>55</v>
      </c>
      <c r="G1517" s="19" t="str">
        <f t="shared" si="105"/>
        <v>BOX</v>
      </c>
      <c r="H1517" s="18" t="s">
        <v>2899</v>
      </c>
      <c r="I1517" s="14" t="s">
        <v>441</v>
      </c>
    </row>
    <row r="1518" spans="1:9" ht="26.4" x14ac:dyDescent="0.25">
      <c r="A1518" s="17" t="s">
        <v>320</v>
      </c>
      <c r="B1518" s="14" t="s">
        <v>111</v>
      </c>
      <c r="C1518" s="18" t="s">
        <v>3910</v>
      </c>
      <c r="D1518" s="14" t="str">
        <f t="shared" si="104"/>
        <v>1ST-358-1517</v>
      </c>
      <c r="E1518" s="18" t="s">
        <v>2500</v>
      </c>
      <c r="F1518" s="19">
        <f t="shared" si="106"/>
        <v>68</v>
      </c>
      <c r="G1518" s="19" t="str">
        <f t="shared" si="105"/>
        <v>BOX</v>
      </c>
      <c r="H1518" s="18" t="s">
        <v>3380</v>
      </c>
      <c r="I1518" s="14" t="s">
        <v>441</v>
      </c>
    </row>
    <row r="1519" spans="1:9" ht="26.4" x14ac:dyDescent="0.25">
      <c r="A1519" s="17" t="s">
        <v>320</v>
      </c>
      <c r="B1519" s="14" t="s">
        <v>111</v>
      </c>
      <c r="C1519" s="18" t="s">
        <v>3967</v>
      </c>
      <c r="D1519" s="14" t="str">
        <f t="shared" si="104"/>
        <v>1ST-358-1518</v>
      </c>
      <c r="E1519" s="18" t="s">
        <v>2501</v>
      </c>
      <c r="F1519" s="19">
        <f t="shared" si="106"/>
        <v>83</v>
      </c>
      <c r="G1519" s="19" t="str">
        <f t="shared" si="105"/>
        <v>BOX</v>
      </c>
      <c r="H1519" s="18" t="s">
        <v>3381</v>
      </c>
      <c r="I1519" s="14" t="s">
        <v>441</v>
      </c>
    </row>
    <row r="1520" spans="1:9" ht="26.4" x14ac:dyDescent="0.25">
      <c r="A1520" s="17" t="s">
        <v>320</v>
      </c>
      <c r="B1520" s="14" t="s">
        <v>111</v>
      </c>
      <c r="C1520" s="18" t="s">
        <v>3911</v>
      </c>
      <c r="D1520" s="14" t="str">
        <f t="shared" si="104"/>
        <v>1ST-358-1519</v>
      </c>
      <c r="E1520" s="18" t="s">
        <v>2502</v>
      </c>
      <c r="F1520" s="19">
        <f t="shared" si="106"/>
        <v>122</v>
      </c>
      <c r="G1520" s="19" t="str">
        <f t="shared" si="105"/>
        <v>BOX</v>
      </c>
      <c r="H1520" s="18" t="s">
        <v>3382</v>
      </c>
      <c r="I1520" s="14" t="s">
        <v>441</v>
      </c>
    </row>
    <row r="1521" spans="1:9" ht="39.6" x14ac:dyDescent="0.25">
      <c r="A1521" s="17" t="s">
        <v>320</v>
      </c>
      <c r="B1521" s="14" t="s">
        <v>111</v>
      </c>
      <c r="C1521" s="18" t="s">
        <v>3968</v>
      </c>
      <c r="D1521" s="14" t="str">
        <f t="shared" si="104"/>
        <v>1ST-358-1520</v>
      </c>
      <c r="E1521" s="18" t="s">
        <v>2492</v>
      </c>
      <c r="F1521" s="19">
        <f t="shared" si="106"/>
        <v>114</v>
      </c>
      <c r="G1521" s="19" t="str">
        <f t="shared" si="105"/>
        <v>BOX</v>
      </c>
      <c r="H1521" s="18" t="s">
        <v>3383</v>
      </c>
      <c r="I1521" s="14" t="s">
        <v>441</v>
      </c>
    </row>
    <row r="1522" spans="1:9" x14ac:dyDescent="0.25">
      <c r="A1522" s="17" t="s">
        <v>320</v>
      </c>
      <c r="B1522" s="14" t="s">
        <v>110</v>
      </c>
      <c r="C1522" s="18" t="s">
        <v>3912</v>
      </c>
      <c r="D1522" s="14" t="str">
        <f t="shared" si="104"/>
        <v>1ST-358-1521</v>
      </c>
      <c r="E1522" s="18" t="s">
        <v>2503</v>
      </c>
      <c r="F1522" s="19">
        <f t="shared" si="106"/>
        <v>0.55000000000000004</v>
      </c>
      <c r="G1522" s="19" t="str">
        <f t="shared" si="105"/>
        <v>PC</v>
      </c>
      <c r="H1522" s="21">
        <v>0.5</v>
      </c>
      <c r="I1522" s="21">
        <v>0.5</v>
      </c>
    </row>
    <row r="1523" spans="1:9" x14ac:dyDescent="0.25">
      <c r="A1523" s="17" t="s">
        <v>320</v>
      </c>
      <c r="B1523" s="14" t="s">
        <v>110</v>
      </c>
      <c r="C1523" s="18" t="s">
        <v>3913</v>
      </c>
      <c r="D1523" s="14" t="str">
        <f t="shared" si="104"/>
        <v>1ST-358-1522</v>
      </c>
      <c r="E1523" s="18" t="s">
        <v>2504</v>
      </c>
      <c r="F1523" s="19">
        <f t="shared" si="106"/>
        <v>0.65</v>
      </c>
      <c r="G1523" s="19" t="str">
        <f t="shared" si="105"/>
        <v>PC</v>
      </c>
      <c r="H1523" s="21">
        <v>0.5</v>
      </c>
      <c r="I1523" s="21">
        <v>0.5</v>
      </c>
    </row>
    <row r="1524" spans="1:9" x14ac:dyDescent="0.25">
      <c r="A1524" s="17" t="s">
        <v>320</v>
      </c>
      <c r="B1524" s="14" t="s">
        <v>110</v>
      </c>
      <c r="C1524" s="18" t="s">
        <v>3914</v>
      </c>
      <c r="D1524" s="14" t="str">
        <f t="shared" si="104"/>
        <v>1ST-358-1523</v>
      </c>
      <c r="E1524" s="18" t="s">
        <v>2505</v>
      </c>
      <c r="F1524" s="19">
        <f t="shared" si="106"/>
        <v>0.75</v>
      </c>
      <c r="G1524" s="19" t="str">
        <f t="shared" si="105"/>
        <v>PC</v>
      </c>
      <c r="H1524" s="21">
        <v>0.5</v>
      </c>
      <c r="I1524" s="21">
        <v>0.5</v>
      </c>
    </row>
    <row r="1525" spans="1:9" x14ac:dyDescent="0.25">
      <c r="A1525" s="17" t="s">
        <v>320</v>
      </c>
      <c r="B1525" s="14" t="s">
        <v>110</v>
      </c>
      <c r="C1525" s="18" t="s">
        <v>3915</v>
      </c>
      <c r="D1525" s="14" t="str">
        <f t="shared" si="104"/>
        <v>1ST-358-1524</v>
      </c>
      <c r="E1525" s="18" t="s">
        <v>2506</v>
      </c>
      <c r="F1525" s="19">
        <f t="shared" si="106"/>
        <v>0.8</v>
      </c>
      <c r="G1525" s="19" t="str">
        <f t="shared" si="105"/>
        <v>PC</v>
      </c>
      <c r="H1525" s="21">
        <v>0.5</v>
      </c>
      <c r="I1525" s="21">
        <v>0.5</v>
      </c>
    </row>
    <row r="1526" spans="1:9" x14ac:dyDescent="0.25">
      <c r="A1526" s="17" t="s">
        <v>320</v>
      </c>
      <c r="B1526" s="14" t="s">
        <v>110</v>
      </c>
      <c r="C1526" s="18" t="s">
        <v>3916</v>
      </c>
      <c r="D1526" s="14" t="str">
        <f t="shared" si="104"/>
        <v>1ST-358-1525</v>
      </c>
      <c r="E1526" s="18" t="s">
        <v>2507</v>
      </c>
      <c r="F1526" s="19">
        <f t="shared" si="106"/>
        <v>0.85</v>
      </c>
      <c r="G1526" s="19" t="str">
        <f t="shared" si="105"/>
        <v>PC</v>
      </c>
      <c r="H1526" s="21">
        <v>0.5</v>
      </c>
      <c r="I1526" s="21">
        <v>0.5</v>
      </c>
    </row>
    <row r="1527" spans="1:9" x14ac:dyDescent="0.25">
      <c r="A1527" s="17" t="s">
        <v>320</v>
      </c>
      <c r="B1527" s="14" t="s">
        <v>110</v>
      </c>
      <c r="C1527" s="18" t="s">
        <v>3917</v>
      </c>
      <c r="D1527" s="14" t="str">
        <f t="shared" si="104"/>
        <v>1ST-358-1526</v>
      </c>
      <c r="E1527" s="18" t="s">
        <v>2508</v>
      </c>
      <c r="F1527" s="19">
        <f t="shared" si="106"/>
        <v>0.95</v>
      </c>
      <c r="G1527" s="19" t="str">
        <f t="shared" si="105"/>
        <v>PC</v>
      </c>
      <c r="H1527" s="21">
        <v>0.5</v>
      </c>
      <c r="I1527" s="21">
        <v>0.5</v>
      </c>
    </row>
    <row r="1528" spans="1:9" x14ac:dyDescent="0.25">
      <c r="A1528" s="17" t="s">
        <v>320</v>
      </c>
      <c r="B1528" s="14" t="s">
        <v>110</v>
      </c>
      <c r="C1528" s="18" t="s">
        <v>3918</v>
      </c>
      <c r="D1528" s="14" t="str">
        <f t="shared" si="104"/>
        <v>1ST-358-1527</v>
      </c>
      <c r="E1528" s="18" t="s">
        <v>2509</v>
      </c>
      <c r="F1528" s="19">
        <f t="shared" si="106"/>
        <v>1.2</v>
      </c>
      <c r="G1528" s="19" t="str">
        <f t="shared" si="105"/>
        <v>PC</v>
      </c>
      <c r="H1528" s="21">
        <v>0.5</v>
      </c>
      <c r="I1528" s="21">
        <v>0.5</v>
      </c>
    </row>
    <row r="1529" spans="1:9" x14ac:dyDescent="0.25">
      <c r="A1529" s="17" t="s">
        <v>320</v>
      </c>
      <c r="B1529" s="14" t="s">
        <v>110</v>
      </c>
      <c r="C1529" s="18" t="s">
        <v>2900</v>
      </c>
      <c r="D1529" s="14" t="str">
        <f t="shared" si="104"/>
        <v>1ST-358-1528</v>
      </c>
      <c r="E1529" s="18" t="s">
        <v>1239</v>
      </c>
      <c r="F1529" s="19">
        <f t="shared" si="106"/>
        <v>1.65</v>
      </c>
      <c r="G1529" s="19" t="str">
        <f t="shared" si="105"/>
        <v>PC</v>
      </c>
      <c r="H1529" s="21">
        <v>0.5</v>
      </c>
      <c r="I1529" s="21">
        <v>0.5</v>
      </c>
    </row>
    <row r="1530" spans="1:9" x14ac:dyDescent="0.25">
      <c r="A1530" s="17" t="s">
        <v>320</v>
      </c>
      <c r="B1530" s="14" t="s">
        <v>109</v>
      </c>
      <c r="C1530" s="18" t="s">
        <v>3919</v>
      </c>
      <c r="D1530" s="14" t="str">
        <f t="shared" si="104"/>
        <v>1ST-358-1529</v>
      </c>
      <c r="E1530" s="19" t="s">
        <v>2503</v>
      </c>
      <c r="F1530" s="19">
        <f t="shared" si="106"/>
        <v>0.55000000000000004</v>
      </c>
      <c r="G1530" s="19" t="str">
        <f t="shared" si="105"/>
        <v>PC</v>
      </c>
      <c r="H1530" s="21">
        <v>0.5</v>
      </c>
      <c r="I1530" s="21">
        <v>0.5</v>
      </c>
    </row>
    <row r="1531" spans="1:9" x14ac:dyDescent="0.25">
      <c r="A1531" s="17" t="s">
        <v>320</v>
      </c>
      <c r="B1531" s="14" t="s">
        <v>109</v>
      </c>
      <c r="C1531" s="18" t="s">
        <v>3920</v>
      </c>
      <c r="D1531" s="14" t="str">
        <f t="shared" si="104"/>
        <v>1ST-358-1530</v>
      </c>
      <c r="E1531" s="19" t="s">
        <v>2504</v>
      </c>
      <c r="F1531" s="19">
        <f t="shared" si="106"/>
        <v>0.65</v>
      </c>
      <c r="G1531" s="19" t="str">
        <f t="shared" si="105"/>
        <v>PC</v>
      </c>
      <c r="H1531" s="21">
        <v>0.5</v>
      </c>
      <c r="I1531" s="21">
        <v>0.5</v>
      </c>
    </row>
    <row r="1532" spans="1:9" x14ac:dyDescent="0.25">
      <c r="A1532" s="17" t="s">
        <v>320</v>
      </c>
      <c r="B1532" s="14" t="s">
        <v>109</v>
      </c>
      <c r="C1532" s="18" t="s">
        <v>3921</v>
      </c>
      <c r="D1532" s="14" t="str">
        <f t="shared" si="104"/>
        <v>1ST-358-1531</v>
      </c>
      <c r="E1532" s="19" t="s">
        <v>2505</v>
      </c>
      <c r="F1532" s="19">
        <f t="shared" si="106"/>
        <v>0.75</v>
      </c>
      <c r="G1532" s="19" t="str">
        <f t="shared" si="105"/>
        <v>PC</v>
      </c>
      <c r="H1532" s="21">
        <v>0.5</v>
      </c>
      <c r="I1532" s="21">
        <v>0.5</v>
      </c>
    </row>
    <row r="1533" spans="1:9" x14ac:dyDescent="0.25">
      <c r="A1533" s="17" t="s">
        <v>320</v>
      </c>
      <c r="B1533" s="14" t="s">
        <v>109</v>
      </c>
      <c r="C1533" s="19" t="s">
        <v>2901</v>
      </c>
      <c r="D1533" s="14" t="str">
        <f t="shared" si="104"/>
        <v>1ST-358-1532</v>
      </c>
      <c r="E1533" s="19" t="s">
        <v>2506</v>
      </c>
      <c r="F1533" s="19">
        <f t="shared" si="106"/>
        <v>0.8</v>
      </c>
      <c r="G1533" s="19" t="str">
        <f t="shared" si="105"/>
        <v>PC</v>
      </c>
      <c r="H1533" s="21">
        <v>0.5</v>
      </c>
      <c r="I1533" s="21">
        <v>0.5</v>
      </c>
    </row>
    <row r="1534" spans="1:9" x14ac:dyDescent="0.25">
      <c r="A1534" s="17" t="s">
        <v>320</v>
      </c>
      <c r="B1534" s="14" t="s">
        <v>109</v>
      </c>
      <c r="C1534" s="18" t="s">
        <v>3922</v>
      </c>
      <c r="D1534" s="14" t="str">
        <f t="shared" si="104"/>
        <v>1ST-358-1533</v>
      </c>
      <c r="E1534" s="19" t="s">
        <v>2507</v>
      </c>
      <c r="F1534" s="19">
        <f t="shared" si="106"/>
        <v>0.85</v>
      </c>
      <c r="G1534" s="19" t="str">
        <f t="shared" si="105"/>
        <v>PC</v>
      </c>
      <c r="H1534" s="21">
        <v>0.5</v>
      </c>
      <c r="I1534" s="21">
        <v>0.5</v>
      </c>
    </row>
    <row r="1535" spans="1:9" x14ac:dyDescent="0.25">
      <c r="A1535" s="17" t="s">
        <v>320</v>
      </c>
      <c r="B1535" s="14" t="s">
        <v>109</v>
      </c>
      <c r="C1535" s="18" t="s">
        <v>2902</v>
      </c>
      <c r="D1535" s="14" t="str">
        <f t="shared" si="104"/>
        <v>1ST-358-1534</v>
      </c>
      <c r="E1535" s="19" t="s">
        <v>2508</v>
      </c>
      <c r="F1535" s="19">
        <f t="shared" si="106"/>
        <v>0.95</v>
      </c>
      <c r="G1535" s="19" t="str">
        <f t="shared" si="105"/>
        <v>PC</v>
      </c>
      <c r="H1535" s="21">
        <v>0.5</v>
      </c>
      <c r="I1535" s="21">
        <v>0.5</v>
      </c>
    </row>
    <row r="1536" spans="1:9" x14ac:dyDescent="0.25">
      <c r="A1536" s="17" t="s">
        <v>320</v>
      </c>
      <c r="B1536" s="14" t="s">
        <v>109</v>
      </c>
      <c r="C1536" s="19" t="s">
        <v>2903</v>
      </c>
      <c r="D1536" s="14" t="str">
        <f t="shared" si="104"/>
        <v>1ST-358-1535</v>
      </c>
      <c r="E1536" s="19" t="s">
        <v>2509</v>
      </c>
      <c r="F1536" s="19">
        <f t="shared" si="106"/>
        <v>1.2</v>
      </c>
      <c r="G1536" s="19" t="str">
        <f t="shared" si="105"/>
        <v>PC</v>
      </c>
      <c r="H1536" s="21">
        <v>0.5</v>
      </c>
      <c r="I1536" s="21">
        <v>0.5</v>
      </c>
    </row>
    <row r="1537" spans="1:9" x14ac:dyDescent="0.25">
      <c r="A1537" s="17" t="s">
        <v>320</v>
      </c>
      <c r="B1537" s="14" t="s">
        <v>109</v>
      </c>
      <c r="C1537" s="19" t="s">
        <v>2904</v>
      </c>
      <c r="D1537" s="14" t="str">
        <f t="shared" si="104"/>
        <v>1ST-358-1536</v>
      </c>
      <c r="E1537" s="19" t="s">
        <v>1239</v>
      </c>
      <c r="F1537" s="19">
        <f t="shared" si="106"/>
        <v>1.65</v>
      </c>
      <c r="G1537" s="19" t="str">
        <f t="shared" si="105"/>
        <v>PC</v>
      </c>
      <c r="H1537" s="21">
        <v>0.5</v>
      </c>
      <c r="I1537" s="21">
        <v>0.5</v>
      </c>
    </row>
    <row r="1538" spans="1:9" ht="26.4" x14ac:dyDescent="0.25">
      <c r="A1538" s="17" t="s">
        <v>320</v>
      </c>
      <c r="B1538" s="14" t="s">
        <v>108</v>
      </c>
      <c r="C1538" s="19" t="s">
        <v>2510</v>
      </c>
      <c r="D1538" s="14" t="str">
        <f t="shared" si="104"/>
        <v>1ST-358-1537</v>
      </c>
      <c r="E1538" s="19" t="s">
        <v>2503</v>
      </c>
      <c r="F1538" s="19">
        <f t="shared" si="106"/>
        <v>0.55000000000000004</v>
      </c>
      <c r="G1538" s="19" t="str">
        <f t="shared" si="105"/>
        <v>PC</v>
      </c>
      <c r="H1538" s="24" t="s">
        <v>2033</v>
      </c>
      <c r="I1538" s="25" t="s">
        <v>2034</v>
      </c>
    </row>
    <row r="1539" spans="1:9" ht="26.4" x14ac:dyDescent="0.25">
      <c r="A1539" s="17" t="s">
        <v>320</v>
      </c>
      <c r="B1539" s="14" t="s">
        <v>108</v>
      </c>
      <c r="C1539" s="19" t="s">
        <v>2511</v>
      </c>
      <c r="D1539" s="14" t="str">
        <f t="shared" si="104"/>
        <v>1ST-358-1538</v>
      </c>
      <c r="E1539" s="19" t="s">
        <v>2505</v>
      </c>
      <c r="F1539" s="19">
        <f t="shared" si="106"/>
        <v>0.75</v>
      </c>
      <c r="G1539" s="19" t="str">
        <f t="shared" si="105"/>
        <v>PC</v>
      </c>
      <c r="H1539" s="24" t="s">
        <v>2033</v>
      </c>
      <c r="I1539" s="25" t="s">
        <v>2034</v>
      </c>
    </row>
    <row r="1540" spans="1:9" ht="26.4" x14ac:dyDescent="0.25">
      <c r="A1540" s="17" t="s">
        <v>320</v>
      </c>
      <c r="B1540" s="14" t="s">
        <v>108</v>
      </c>
      <c r="C1540" s="19" t="s">
        <v>2512</v>
      </c>
      <c r="D1540" s="14" t="str">
        <f t="shared" si="104"/>
        <v>1ST-358-1539</v>
      </c>
      <c r="E1540" s="19" t="s">
        <v>2506</v>
      </c>
      <c r="F1540" s="19">
        <f t="shared" si="106"/>
        <v>0.8</v>
      </c>
      <c r="G1540" s="19" t="str">
        <f t="shared" si="105"/>
        <v>PC</v>
      </c>
      <c r="H1540" s="24" t="s">
        <v>2033</v>
      </c>
      <c r="I1540" s="25" t="s">
        <v>2034</v>
      </c>
    </row>
    <row r="1541" spans="1:9" ht="26.4" x14ac:dyDescent="0.25">
      <c r="A1541" s="17" t="s">
        <v>320</v>
      </c>
      <c r="B1541" s="14" t="s">
        <v>108</v>
      </c>
      <c r="C1541" s="19" t="s">
        <v>2513</v>
      </c>
      <c r="D1541" s="14" t="str">
        <f t="shared" ref="D1541:D1604" si="107">LEFT($D$2,FIND("-",$D$2,FIND("-",$D$2)+1)) &amp; TEXT(RIGHT($D$2,3)+ROW(D1539),"000")</f>
        <v>1ST-358-1540</v>
      </c>
      <c r="E1541" s="19" t="s">
        <v>2507</v>
      </c>
      <c r="F1541" s="19">
        <f t="shared" si="106"/>
        <v>0.85</v>
      </c>
      <c r="G1541" s="19" t="str">
        <f t="shared" si="105"/>
        <v>PC</v>
      </c>
      <c r="H1541" s="24" t="s">
        <v>2033</v>
      </c>
      <c r="I1541" s="25" t="s">
        <v>2034</v>
      </c>
    </row>
    <row r="1542" spans="1:9" ht="26.4" x14ac:dyDescent="0.25">
      <c r="A1542" s="17" t="s">
        <v>320</v>
      </c>
      <c r="B1542" s="14" t="s">
        <v>108</v>
      </c>
      <c r="C1542" s="19" t="s">
        <v>2514</v>
      </c>
      <c r="D1542" s="14" t="str">
        <f t="shared" si="107"/>
        <v>1ST-358-1541</v>
      </c>
      <c r="E1542" s="19" t="s">
        <v>2508</v>
      </c>
      <c r="F1542" s="19">
        <f t="shared" si="106"/>
        <v>0.95</v>
      </c>
      <c r="G1542" s="19" t="str">
        <f t="shared" si="105"/>
        <v>PC</v>
      </c>
      <c r="H1542" s="24" t="s">
        <v>2033</v>
      </c>
      <c r="I1542" s="25" t="s">
        <v>2034</v>
      </c>
    </row>
    <row r="1543" spans="1:9" ht="26.4" x14ac:dyDescent="0.25">
      <c r="A1543" s="17" t="s">
        <v>320</v>
      </c>
      <c r="B1543" s="14" t="s">
        <v>108</v>
      </c>
      <c r="C1543" s="19" t="s">
        <v>2515</v>
      </c>
      <c r="D1543" s="14" t="str">
        <f t="shared" si="107"/>
        <v>1ST-358-1542</v>
      </c>
      <c r="E1543" s="19" t="s">
        <v>2509</v>
      </c>
      <c r="F1543" s="19">
        <f t="shared" si="106"/>
        <v>1.2</v>
      </c>
      <c r="G1543" s="19" t="str">
        <f t="shared" si="105"/>
        <v>PC</v>
      </c>
      <c r="H1543" s="24" t="s">
        <v>2033</v>
      </c>
      <c r="I1543" s="25" t="s">
        <v>2034</v>
      </c>
    </row>
    <row r="1544" spans="1:9" ht="26.4" x14ac:dyDescent="0.25">
      <c r="A1544" s="17" t="s">
        <v>320</v>
      </c>
      <c r="B1544" s="14" t="s">
        <v>107</v>
      </c>
      <c r="C1544" s="18" t="s">
        <v>2516</v>
      </c>
      <c r="D1544" s="14" t="str">
        <f t="shared" si="107"/>
        <v>1ST-358-1543</v>
      </c>
      <c r="E1544" s="18" t="s">
        <v>2506</v>
      </c>
      <c r="F1544" s="19">
        <f t="shared" si="106"/>
        <v>0.8</v>
      </c>
      <c r="G1544" s="19" t="str">
        <f t="shared" si="105"/>
        <v>PC</v>
      </c>
      <c r="H1544" s="24" t="s">
        <v>2033</v>
      </c>
      <c r="I1544" s="25" t="s">
        <v>2034</v>
      </c>
    </row>
    <row r="1545" spans="1:9" ht="26.4" x14ac:dyDescent="0.25">
      <c r="A1545" s="17" t="s">
        <v>320</v>
      </c>
      <c r="B1545" s="14" t="s">
        <v>107</v>
      </c>
      <c r="C1545" s="18" t="s">
        <v>2517</v>
      </c>
      <c r="D1545" s="14" t="str">
        <f t="shared" si="107"/>
        <v>1ST-358-1544</v>
      </c>
      <c r="E1545" s="18" t="s">
        <v>2507</v>
      </c>
      <c r="F1545" s="19">
        <f t="shared" si="106"/>
        <v>0.85</v>
      </c>
      <c r="G1545" s="19" t="str">
        <f t="shared" si="105"/>
        <v>PC</v>
      </c>
      <c r="H1545" s="24" t="s">
        <v>2033</v>
      </c>
      <c r="I1545" s="25" t="s">
        <v>2034</v>
      </c>
    </row>
    <row r="1546" spans="1:9" ht="26.4" x14ac:dyDescent="0.25">
      <c r="A1546" s="17" t="s">
        <v>320</v>
      </c>
      <c r="B1546" s="14" t="s">
        <v>107</v>
      </c>
      <c r="C1546" s="18" t="s">
        <v>2518</v>
      </c>
      <c r="D1546" s="14" t="str">
        <f t="shared" si="107"/>
        <v>1ST-358-1545</v>
      </c>
      <c r="E1546" s="18" t="s">
        <v>2508</v>
      </c>
      <c r="F1546" s="19">
        <f t="shared" si="106"/>
        <v>0.95</v>
      </c>
      <c r="G1546" s="19" t="str">
        <f t="shared" ref="G1546:G1609" si="108">TRIM(MID(E1546,FIND("/",E1546)+1,LEN(E1546)))</f>
        <v>PC</v>
      </c>
      <c r="H1546" s="24" t="s">
        <v>2033</v>
      </c>
      <c r="I1546" s="25" t="s">
        <v>2034</v>
      </c>
    </row>
    <row r="1547" spans="1:9" ht="26.4" x14ac:dyDescent="0.25">
      <c r="A1547" s="17" t="s">
        <v>320</v>
      </c>
      <c r="B1547" s="14" t="s">
        <v>107</v>
      </c>
      <c r="C1547" s="18" t="s">
        <v>2519</v>
      </c>
      <c r="D1547" s="14" t="str">
        <f t="shared" si="107"/>
        <v>1ST-358-1546</v>
      </c>
      <c r="E1547" s="18" t="s">
        <v>2509</v>
      </c>
      <c r="F1547" s="19">
        <f t="shared" si="106"/>
        <v>1.2</v>
      </c>
      <c r="G1547" s="19" t="str">
        <f t="shared" si="108"/>
        <v>PC</v>
      </c>
      <c r="H1547" s="24" t="s">
        <v>2033</v>
      </c>
      <c r="I1547" s="25" t="s">
        <v>2034</v>
      </c>
    </row>
    <row r="1548" spans="1:9" x14ac:dyDescent="0.25">
      <c r="A1548" s="17" t="s">
        <v>320</v>
      </c>
      <c r="B1548" s="14" t="s">
        <v>106</v>
      </c>
      <c r="C1548" s="18" t="s">
        <v>2520</v>
      </c>
      <c r="D1548" s="14" t="str">
        <f t="shared" si="107"/>
        <v>1ST-358-1547</v>
      </c>
      <c r="E1548" s="18" t="s">
        <v>2521</v>
      </c>
      <c r="F1548" s="19">
        <f t="shared" si="106"/>
        <v>105</v>
      </c>
      <c r="G1548" s="19" t="str">
        <f t="shared" si="108"/>
        <v>BOX</v>
      </c>
      <c r="H1548" s="18" t="s">
        <v>2905</v>
      </c>
      <c r="I1548" s="14" t="s">
        <v>441</v>
      </c>
    </row>
    <row r="1549" spans="1:9" x14ac:dyDescent="0.25">
      <c r="A1549" s="17" t="s">
        <v>320</v>
      </c>
      <c r="B1549" s="14" t="s">
        <v>106</v>
      </c>
      <c r="C1549" s="18" t="s">
        <v>3923</v>
      </c>
      <c r="D1549" s="14" t="str">
        <f t="shared" si="107"/>
        <v>1ST-358-1548</v>
      </c>
      <c r="E1549" s="18" t="s">
        <v>2522</v>
      </c>
      <c r="F1549" s="19">
        <f t="shared" si="106"/>
        <v>140</v>
      </c>
      <c r="G1549" s="19" t="str">
        <f t="shared" si="108"/>
        <v>BOX</v>
      </c>
      <c r="H1549" s="18" t="s">
        <v>2906</v>
      </c>
      <c r="I1549" s="14" t="s">
        <v>441</v>
      </c>
    </row>
    <row r="1550" spans="1:9" x14ac:dyDescent="0.25">
      <c r="A1550" s="17" t="s">
        <v>320</v>
      </c>
      <c r="B1550" s="14" t="s">
        <v>106</v>
      </c>
      <c r="C1550" s="18" t="s">
        <v>2523</v>
      </c>
      <c r="D1550" s="14" t="str">
        <f t="shared" si="107"/>
        <v>1ST-358-1549</v>
      </c>
      <c r="E1550" s="18" t="s">
        <v>2524</v>
      </c>
      <c r="F1550" s="19">
        <f t="shared" si="106"/>
        <v>180</v>
      </c>
      <c r="G1550" s="19" t="str">
        <f t="shared" si="108"/>
        <v>BOX</v>
      </c>
      <c r="H1550" s="18" t="s">
        <v>2907</v>
      </c>
      <c r="I1550" s="14" t="s">
        <v>441</v>
      </c>
    </row>
    <row r="1551" spans="1:9" x14ac:dyDescent="0.25">
      <c r="A1551" s="17" t="s">
        <v>320</v>
      </c>
      <c r="B1551" s="14" t="s">
        <v>106</v>
      </c>
      <c r="C1551" s="18" t="s">
        <v>3924</v>
      </c>
      <c r="D1551" s="14" t="str">
        <f t="shared" si="107"/>
        <v>1ST-358-1550</v>
      </c>
      <c r="E1551" s="18" t="s">
        <v>2525</v>
      </c>
      <c r="F1551" s="19">
        <f t="shared" si="106"/>
        <v>220</v>
      </c>
      <c r="G1551" s="19" t="str">
        <f t="shared" si="108"/>
        <v>BOX</v>
      </c>
      <c r="H1551" s="18" t="s">
        <v>2908</v>
      </c>
      <c r="I1551" s="14" t="s">
        <v>441</v>
      </c>
    </row>
    <row r="1552" spans="1:9" x14ac:dyDescent="0.25">
      <c r="A1552" s="17" t="s">
        <v>320</v>
      </c>
      <c r="B1552" s="14" t="s">
        <v>106</v>
      </c>
      <c r="C1552" s="18" t="s">
        <v>2526</v>
      </c>
      <c r="D1552" s="14" t="str">
        <f t="shared" si="107"/>
        <v>1ST-358-1551</v>
      </c>
      <c r="E1552" s="18" t="s">
        <v>2527</v>
      </c>
      <c r="F1552" s="19">
        <f t="shared" si="106"/>
        <v>245</v>
      </c>
      <c r="G1552" s="19" t="str">
        <f t="shared" si="108"/>
        <v>BOX</v>
      </c>
      <c r="H1552" s="18" t="s">
        <v>2909</v>
      </c>
      <c r="I1552" s="14" t="s">
        <v>441</v>
      </c>
    </row>
    <row r="1553" spans="1:9" x14ac:dyDescent="0.25">
      <c r="A1553" s="17" t="s">
        <v>320</v>
      </c>
      <c r="B1553" s="14" t="s">
        <v>106</v>
      </c>
      <c r="C1553" s="18" t="s">
        <v>2528</v>
      </c>
      <c r="D1553" s="14" t="str">
        <f t="shared" si="107"/>
        <v>1ST-358-1552</v>
      </c>
      <c r="E1553" s="18" t="s">
        <v>2529</v>
      </c>
      <c r="F1553" s="19">
        <f t="shared" si="106"/>
        <v>240</v>
      </c>
      <c r="G1553" s="19" t="str">
        <f t="shared" si="108"/>
        <v>BOX</v>
      </c>
      <c r="H1553" s="18" t="s">
        <v>2910</v>
      </c>
      <c r="I1553" s="14" t="s">
        <v>441</v>
      </c>
    </row>
    <row r="1554" spans="1:9" x14ac:dyDescent="0.25">
      <c r="A1554" s="17" t="s">
        <v>320</v>
      </c>
      <c r="B1554" s="14" t="s">
        <v>106</v>
      </c>
      <c r="C1554" s="18" t="s">
        <v>2530</v>
      </c>
      <c r="D1554" s="14" t="str">
        <f t="shared" si="107"/>
        <v>1ST-358-1553</v>
      </c>
      <c r="E1554" s="18" t="s">
        <v>2531</v>
      </c>
      <c r="F1554" s="19">
        <f t="shared" si="106"/>
        <v>330</v>
      </c>
      <c r="G1554" s="19" t="str">
        <f t="shared" si="108"/>
        <v>BOX</v>
      </c>
      <c r="H1554" s="18" t="s">
        <v>2911</v>
      </c>
      <c r="I1554" s="14" t="s">
        <v>441</v>
      </c>
    </row>
    <row r="1555" spans="1:9" x14ac:dyDescent="0.25">
      <c r="A1555" s="17" t="s">
        <v>320</v>
      </c>
      <c r="B1555" s="14" t="s">
        <v>106</v>
      </c>
      <c r="C1555" s="18" t="s">
        <v>2532</v>
      </c>
      <c r="D1555" s="14" t="str">
        <f t="shared" si="107"/>
        <v>1ST-358-1554</v>
      </c>
      <c r="E1555" s="18" t="s">
        <v>2013</v>
      </c>
      <c r="F1555" s="19">
        <f t="shared" si="106"/>
        <v>165</v>
      </c>
      <c r="G1555" s="19" t="str">
        <f t="shared" si="108"/>
        <v>BOX</v>
      </c>
      <c r="H1555" s="18" t="s">
        <v>2912</v>
      </c>
      <c r="I1555" s="14" t="s">
        <v>441</v>
      </c>
    </row>
    <row r="1556" spans="1:9" x14ac:dyDescent="0.25">
      <c r="A1556" s="17" t="s">
        <v>320</v>
      </c>
      <c r="B1556" s="14" t="s">
        <v>106</v>
      </c>
      <c r="C1556" s="18" t="s">
        <v>3925</v>
      </c>
      <c r="D1556" s="14" t="str">
        <f t="shared" si="107"/>
        <v>1ST-358-1555</v>
      </c>
      <c r="E1556" s="18" t="s">
        <v>2525</v>
      </c>
      <c r="F1556" s="19">
        <f t="shared" si="106"/>
        <v>220</v>
      </c>
      <c r="G1556" s="19" t="str">
        <f t="shared" si="108"/>
        <v>BOX</v>
      </c>
      <c r="H1556" s="18" t="s">
        <v>2908</v>
      </c>
      <c r="I1556" s="14" t="s">
        <v>441</v>
      </c>
    </row>
    <row r="1557" spans="1:9" x14ac:dyDescent="0.25">
      <c r="A1557" s="17" t="s">
        <v>320</v>
      </c>
      <c r="B1557" s="14" t="s">
        <v>106</v>
      </c>
      <c r="C1557" s="18" t="s">
        <v>2533</v>
      </c>
      <c r="D1557" s="14" t="str">
        <f t="shared" si="107"/>
        <v>1ST-358-1556</v>
      </c>
      <c r="E1557" s="18" t="s">
        <v>2534</v>
      </c>
      <c r="F1557" s="19">
        <f t="shared" si="106"/>
        <v>280</v>
      </c>
      <c r="G1557" s="19" t="str">
        <f t="shared" si="108"/>
        <v>BOX</v>
      </c>
      <c r="H1557" s="18" t="s">
        <v>2913</v>
      </c>
      <c r="I1557" s="14" t="s">
        <v>441</v>
      </c>
    </row>
    <row r="1558" spans="1:9" x14ac:dyDescent="0.25">
      <c r="A1558" s="17" t="s">
        <v>320</v>
      </c>
      <c r="B1558" s="14" t="s">
        <v>106</v>
      </c>
      <c r="C1558" s="18" t="s">
        <v>3926</v>
      </c>
      <c r="D1558" s="14" t="str">
        <f t="shared" si="107"/>
        <v>1ST-358-1557</v>
      </c>
      <c r="E1558" s="18" t="s">
        <v>2531</v>
      </c>
      <c r="F1558" s="19">
        <f t="shared" si="106"/>
        <v>330</v>
      </c>
      <c r="G1558" s="19" t="str">
        <f t="shared" si="108"/>
        <v>BOX</v>
      </c>
      <c r="H1558" s="18" t="s">
        <v>2914</v>
      </c>
      <c r="I1558" s="14" t="s">
        <v>441</v>
      </c>
    </row>
    <row r="1559" spans="1:9" x14ac:dyDescent="0.25">
      <c r="A1559" s="17" t="s">
        <v>320</v>
      </c>
      <c r="B1559" s="14" t="s">
        <v>106</v>
      </c>
      <c r="C1559" s="18" t="s">
        <v>3927</v>
      </c>
      <c r="D1559" s="14" t="str">
        <f t="shared" si="107"/>
        <v>1ST-358-1558</v>
      </c>
      <c r="E1559" s="18" t="s">
        <v>2535</v>
      </c>
      <c r="F1559" s="19">
        <f t="shared" si="106"/>
        <v>395</v>
      </c>
      <c r="G1559" s="19" t="str">
        <f t="shared" si="108"/>
        <v>BOX</v>
      </c>
      <c r="H1559" s="18" t="s">
        <v>2915</v>
      </c>
      <c r="I1559" s="14" t="s">
        <v>441</v>
      </c>
    </row>
    <row r="1560" spans="1:9" x14ac:dyDescent="0.25">
      <c r="A1560" s="17" t="s">
        <v>320</v>
      </c>
      <c r="B1560" s="14" t="s">
        <v>106</v>
      </c>
      <c r="C1560" s="18" t="s">
        <v>3928</v>
      </c>
      <c r="D1560" s="14" t="str">
        <f t="shared" si="107"/>
        <v>1ST-358-1559</v>
      </c>
      <c r="E1560" s="18" t="s">
        <v>2536</v>
      </c>
      <c r="F1560" s="19">
        <f t="shared" si="106"/>
        <v>450</v>
      </c>
      <c r="G1560" s="19" t="str">
        <f t="shared" si="108"/>
        <v>BOX</v>
      </c>
      <c r="H1560" s="18" t="s">
        <v>2916</v>
      </c>
      <c r="I1560" s="14" t="s">
        <v>441</v>
      </c>
    </row>
    <row r="1561" spans="1:9" ht="26.4" x14ac:dyDescent="0.25">
      <c r="A1561" s="17" t="s">
        <v>320</v>
      </c>
      <c r="B1561" s="14" t="s">
        <v>106</v>
      </c>
      <c r="C1561" s="19" t="s">
        <v>3929</v>
      </c>
      <c r="D1561" s="14" t="str">
        <f t="shared" si="107"/>
        <v>1ST-358-1560</v>
      </c>
      <c r="E1561" s="19" t="s">
        <v>2537</v>
      </c>
      <c r="F1561" s="19">
        <f t="shared" si="106"/>
        <v>510</v>
      </c>
      <c r="G1561" s="19" t="str">
        <f t="shared" si="108"/>
        <v>BOX</v>
      </c>
      <c r="H1561" s="18" t="s">
        <v>3384</v>
      </c>
      <c r="I1561" s="14" t="s">
        <v>441</v>
      </c>
    </row>
    <row r="1562" spans="1:9" ht="26.4" x14ac:dyDescent="0.25">
      <c r="A1562" s="17" t="s">
        <v>320</v>
      </c>
      <c r="B1562" s="14" t="s">
        <v>106</v>
      </c>
      <c r="C1562" s="19" t="s">
        <v>3930</v>
      </c>
      <c r="D1562" s="14" t="str">
        <f t="shared" si="107"/>
        <v>1ST-358-1561</v>
      </c>
      <c r="E1562" s="19" t="s">
        <v>2538</v>
      </c>
      <c r="F1562" s="19">
        <f t="shared" si="106"/>
        <v>120</v>
      </c>
      <c r="G1562" s="19" t="str">
        <f t="shared" si="108"/>
        <v>BOX</v>
      </c>
      <c r="H1562" s="18" t="s">
        <v>3385</v>
      </c>
      <c r="I1562" s="14" t="s">
        <v>441</v>
      </c>
    </row>
    <row r="1563" spans="1:9" ht="26.4" x14ac:dyDescent="0.25">
      <c r="A1563" s="17" t="s">
        <v>320</v>
      </c>
      <c r="B1563" s="14" t="s">
        <v>106</v>
      </c>
      <c r="C1563" s="19" t="s">
        <v>2539</v>
      </c>
      <c r="D1563" s="14" t="str">
        <f t="shared" si="107"/>
        <v>1ST-358-1562</v>
      </c>
      <c r="E1563" s="19" t="s">
        <v>2540</v>
      </c>
      <c r="F1563" s="19">
        <f t="shared" si="106"/>
        <v>160</v>
      </c>
      <c r="G1563" s="19" t="str">
        <f t="shared" si="108"/>
        <v>BOX</v>
      </c>
      <c r="H1563" s="18" t="s">
        <v>3386</v>
      </c>
      <c r="I1563" s="14" t="s">
        <v>441</v>
      </c>
    </row>
    <row r="1564" spans="1:9" ht="26.4" x14ac:dyDescent="0.25">
      <c r="A1564" s="17" t="s">
        <v>320</v>
      </c>
      <c r="B1564" s="14" t="s">
        <v>106</v>
      </c>
      <c r="C1564" s="19" t="s">
        <v>3931</v>
      </c>
      <c r="D1564" s="14" t="str">
        <f t="shared" si="107"/>
        <v>1ST-358-1563</v>
      </c>
      <c r="E1564" s="19" t="s">
        <v>2541</v>
      </c>
      <c r="F1564" s="19">
        <f t="shared" si="106"/>
        <v>205</v>
      </c>
      <c r="G1564" s="19" t="str">
        <f t="shared" si="108"/>
        <v>BOX</v>
      </c>
      <c r="H1564" s="18" t="s">
        <v>3387</v>
      </c>
      <c r="I1564" s="14" t="s">
        <v>441</v>
      </c>
    </row>
    <row r="1565" spans="1:9" ht="26.4" x14ac:dyDescent="0.25">
      <c r="A1565" s="17" t="s">
        <v>320</v>
      </c>
      <c r="B1565" s="14" t="s">
        <v>106</v>
      </c>
      <c r="C1565" s="19" t="s">
        <v>3932</v>
      </c>
      <c r="D1565" s="14" t="str">
        <f t="shared" si="107"/>
        <v>1ST-358-1564</v>
      </c>
      <c r="E1565" s="19" t="s">
        <v>2542</v>
      </c>
      <c r="F1565" s="19">
        <f t="shared" si="106"/>
        <v>250</v>
      </c>
      <c r="G1565" s="19" t="str">
        <f t="shared" si="108"/>
        <v>BOX</v>
      </c>
      <c r="H1565" s="18" t="s">
        <v>3388</v>
      </c>
      <c r="I1565" s="14" t="s">
        <v>441</v>
      </c>
    </row>
    <row r="1566" spans="1:9" ht="26.4" x14ac:dyDescent="0.25">
      <c r="A1566" s="17" t="s">
        <v>320</v>
      </c>
      <c r="B1566" s="14" t="s">
        <v>106</v>
      </c>
      <c r="C1566" s="19" t="s">
        <v>2543</v>
      </c>
      <c r="D1566" s="14" t="str">
        <f t="shared" si="107"/>
        <v>1ST-358-1565</v>
      </c>
      <c r="E1566" s="19" t="s">
        <v>2544</v>
      </c>
      <c r="F1566" s="19">
        <f t="shared" si="106"/>
        <v>290</v>
      </c>
      <c r="G1566" s="19" t="str">
        <f t="shared" si="108"/>
        <v>BOX</v>
      </c>
      <c r="H1566" s="18" t="s">
        <v>3389</v>
      </c>
      <c r="I1566" s="14" t="s">
        <v>441</v>
      </c>
    </row>
    <row r="1567" spans="1:9" ht="26.4" x14ac:dyDescent="0.25">
      <c r="A1567" s="17" t="s">
        <v>320</v>
      </c>
      <c r="B1567" s="14" t="s">
        <v>106</v>
      </c>
      <c r="C1567" s="19" t="s">
        <v>2545</v>
      </c>
      <c r="D1567" s="14" t="str">
        <f t="shared" si="107"/>
        <v>1ST-358-1566</v>
      </c>
      <c r="E1567" s="19" t="s">
        <v>2546</v>
      </c>
      <c r="F1567" s="19">
        <f t="shared" si="106"/>
        <v>335</v>
      </c>
      <c r="G1567" s="19" t="str">
        <f t="shared" si="108"/>
        <v>BOX</v>
      </c>
      <c r="H1567" s="18" t="s">
        <v>3390</v>
      </c>
      <c r="I1567" s="14" t="s">
        <v>441</v>
      </c>
    </row>
    <row r="1568" spans="1:9" ht="26.4" x14ac:dyDescent="0.25">
      <c r="A1568" s="17" t="s">
        <v>320</v>
      </c>
      <c r="B1568" s="14" t="s">
        <v>106</v>
      </c>
      <c r="C1568" s="19" t="s">
        <v>2547</v>
      </c>
      <c r="D1568" s="14" t="str">
        <f t="shared" si="107"/>
        <v>1ST-358-1567</v>
      </c>
      <c r="E1568" s="19" t="s">
        <v>2548</v>
      </c>
      <c r="F1568" s="19">
        <f t="shared" si="106"/>
        <v>370</v>
      </c>
      <c r="G1568" s="19" t="str">
        <f t="shared" si="108"/>
        <v>BOX</v>
      </c>
      <c r="H1568" s="18" t="s">
        <v>3391</v>
      </c>
      <c r="I1568" s="14" t="s">
        <v>441</v>
      </c>
    </row>
    <row r="1569" spans="1:9" ht="26.4" x14ac:dyDescent="0.25">
      <c r="A1569" s="17" t="s">
        <v>320</v>
      </c>
      <c r="B1569" s="14" t="s">
        <v>106</v>
      </c>
      <c r="C1569" s="19" t="s">
        <v>3933</v>
      </c>
      <c r="D1569" s="14" t="str">
        <f t="shared" si="107"/>
        <v>1ST-358-1568</v>
      </c>
      <c r="E1569" s="19" t="s">
        <v>2013</v>
      </c>
      <c r="F1569" s="19">
        <f t="shared" si="106"/>
        <v>165</v>
      </c>
      <c r="G1569" s="19" t="str">
        <f t="shared" si="108"/>
        <v>BOX</v>
      </c>
      <c r="H1569" s="18" t="s">
        <v>3392</v>
      </c>
      <c r="I1569" s="14" t="s">
        <v>441</v>
      </c>
    </row>
    <row r="1570" spans="1:9" ht="26.4" x14ac:dyDescent="0.25">
      <c r="A1570" s="17" t="s">
        <v>320</v>
      </c>
      <c r="B1570" s="14" t="s">
        <v>106</v>
      </c>
      <c r="C1570" s="19" t="s">
        <v>2549</v>
      </c>
      <c r="D1570" s="14" t="str">
        <f t="shared" si="107"/>
        <v>1ST-358-1569</v>
      </c>
      <c r="E1570" s="19" t="s">
        <v>2550</v>
      </c>
      <c r="F1570" s="19">
        <f t="shared" si="106"/>
        <v>210</v>
      </c>
      <c r="G1570" s="19" t="str">
        <f t="shared" si="108"/>
        <v>BOX</v>
      </c>
      <c r="H1570" s="18" t="s">
        <v>3393</v>
      </c>
      <c r="I1570" s="14" t="s">
        <v>441</v>
      </c>
    </row>
    <row r="1571" spans="1:9" ht="26.4" x14ac:dyDescent="0.25">
      <c r="A1571" s="17" t="s">
        <v>320</v>
      </c>
      <c r="B1571" s="14" t="s">
        <v>106</v>
      </c>
      <c r="C1571" s="19" t="s">
        <v>3934</v>
      </c>
      <c r="D1571" s="14" t="str">
        <f t="shared" si="107"/>
        <v>1ST-358-1570</v>
      </c>
      <c r="E1571" s="19" t="s">
        <v>2542</v>
      </c>
      <c r="F1571" s="19">
        <f t="shared" si="106"/>
        <v>250</v>
      </c>
      <c r="G1571" s="19" t="str">
        <f t="shared" si="108"/>
        <v>BOX</v>
      </c>
      <c r="H1571" s="18" t="s">
        <v>3394</v>
      </c>
      <c r="I1571" s="14" t="s">
        <v>441</v>
      </c>
    </row>
    <row r="1572" spans="1:9" ht="26.4" x14ac:dyDescent="0.25">
      <c r="A1572" s="17" t="s">
        <v>320</v>
      </c>
      <c r="B1572" s="14" t="s">
        <v>106</v>
      </c>
      <c r="C1572" s="19" t="s">
        <v>3935</v>
      </c>
      <c r="D1572" s="14" t="str">
        <f t="shared" si="107"/>
        <v>1ST-358-1571</v>
      </c>
      <c r="E1572" s="19" t="s">
        <v>2544</v>
      </c>
      <c r="F1572" s="19">
        <f t="shared" si="106"/>
        <v>290</v>
      </c>
      <c r="G1572" s="19" t="str">
        <f t="shared" si="108"/>
        <v>BOX</v>
      </c>
      <c r="H1572" s="18" t="s">
        <v>3389</v>
      </c>
      <c r="I1572" s="14" t="s">
        <v>441</v>
      </c>
    </row>
    <row r="1573" spans="1:9" ht="26.4" x14ac:dyDescent="0.25">
      <c r="A1573" s="17" t="s">
        <v>320</v>
      </c>
      <c r="B1573" s="14" t="s">
        <v>106</v>
      </c>
      <c r="C1573" s="19" t="s">
        <v>3936</v>
      </c>
      <c r="D1573" s="14" t="str">
        <f t="shared" si="107"/>
        <v>1ST-358-1572</v>
      </c>
      <c r="E1573" s="19" t="s">
        <v>2551</v>
      </c>
      <c r="F1573" s="19">
        <f t="shared" si="106"/>
        <v>320</v>
      </c>
      <c r="G1573" s="19" t="str">
        <f t="shared" si="108"/>
        <v>BOX</v>
      </c>
      <c r="H1573" s="18" t="s">
        <v>3395</v>
      </c>
      <c r="I1573" s="14" t="s">
        <v>441</v>
      </c>
    </row>
    <row r="1574" spans="1:9" ht="26.4" x14ac:dyDescent="0.25">
      <c r="A1574" s="17" t="s">
        <v>320</v>
      </c>
      <c r="B1574" s="14" t="s">
        <v>106</v>
      </c>
      <c r="C1574" s="19" t="s">
        <v>2552</v>
      </c>
      <c r="D1574" s="14" t="str">
        <f t="shared" si="107"/>
        <v>1ST-358-1573</v>
      </c>
      <c r="E1574" s="19" t="s">
        <v>2553</v>
      </c>
      <c r="F1574" s="19">
        <f t="shared" si="106"/>
        <v>360</v>
      </c>
      <c r="G1574" s="19" t="str">
        <f t="shared" si="108"/>
        <v>BOX</v>
      </c>
      <c r="H1574" s="18" t="s">
        <v>3396</v>
      </c>
      <c r="I1574" s="14" t="s">
        <v>441</v>
      </c>
    </row>
    <row r="1575" spans="1:9" x14ac:dyDescent="0.25">
      <c r="A1575" s="17" t="s">
        <v>320</v>
      </c>
      <c r="B1575" s="14" t="s">
        <v>104</v>
      </c>
      <c r="C1575" s="18" t="s">
        <v>2554</v>
      </c>
      <c r="D1575" s="14" t="str">
        <f t="shared" si="107"/>
        <v>1ST-358-1574</v>
      </c>
      <c r="E1575" s="18" t="s">
        <v>2555</v>
      </c>
      <c r="F1575" s="19">
        <f t="shared" si="106"/>
        <v>0.17499999999999999</v>
      </c>
      <c r="G1575" s="19" t="str">
        <f t="shared" si="108"/>
        <v>PC</v>
      </c>
      <c r="H1575" s="18" t="s">
        <v>2917</v>
      </c>
      <c r="I1575" s="14" t="s">
        <v>441</v>
      </c>
    </row>
    <row r="1576" spans="1:9" x14ac:dyDescent="0.25">
      <c r="A1576" s="17" t="s">
        <v>320</v>
      </c>
      <c r="B1576" s="14" t="s">
        <v>104</v>
      </c>
      <c r="C1576" s="18" t="s">
        <v>2556</v>
      </c>
      <c r="D1576" s="14" t="str">
        <f t="shared" si="107"/>
        <v>1ST-358-1575</v>
      </c>
      <c r="E1576" s="18" t="s">
        <v>2557</v>
      </c>
      <c r="F1576" s="19">
        <f t="shared" ref="F1576:F1639" si="109">VALUE(LEFT(E1576,FIND("/",E1576)-1))</f>
        <v>0.20499999999999999</v>
      </c>
      <c r="G1576" s="19" t="str">
        <f t="shared" si="108"/>
        <v>PC</v>
      </c>
      <c r="H1576" s="18" t="s">
        <v>2918</v>
      </c>
      <c r="I1576" s="14" t="s">
        <v>441</v>
      </c>
    </row>
    <row r="1577" spans="1:9" x14ac:dyDescent="0.25">
      <c r="A1577" s="17" t="s">
        <v>320</v>
      </c>
      <c r="B1577" s="14" t="s">
        <v>104</v>
      </c>
      <c r="C1577" s="18" t="s">
        <v>2558</v>
      </c>
      <c r="D1577" s="14" t="str">
        <f t="shared" si="107"/>
        <v>1ST-358-1576</v>
      </c>
      <c r="E1577" s="18" t="s">
        <v>2559</v>
      </c>
      <c r="F1577" s="19">
        <f t="shared" si="109"/>
        <v>0.27500000000000002</v>
      </c>
      <c r="G1577" s="19" t="str">
        <f t="shared" si="108"/>
        <v>PC</v>
      </c>
      <c r="H1577" s="18" t="s">
        <v>2919</v>
      </c>
      <c r="I1577" s="14" t="s">
        <v>441</v>
      </c>
    </row>
    <row r="1578" spans="1:9" ht="26.4" x14ac:dyDescent="0.25">
      <c r="A1578" s="17" t="s">
        <v>320</v>
      </c>
      <c r="B1578" s="14" t="s">
        <v>104</v>
      </c>
      <c r="C1578" s="18" t="s">
        <v>2560</v>
      </c>
      <c r="D1578" s="14" t="str">
        <f t="shared" si="107"/>
        <v>1ST-358-1577</v>
      </c>
      <c r="E1578" s="18" t="s">
        <v>2561</v>
      </c>
      <c r="F1578" s="19">
        <f t="shared" si="109"/>
        <v>0.35</v>
      </c>
      <c r="G1578" s="19" t="str">
        <f t="shared" si="108"/>
        <v>PC</v>
      </c>
      <c r="H1578" s="18" t="s">
        <v>3397</v>
      </c>
      <c r="I1578" s="14" t="s">
        <v>441</v>
      </c>
    </row>
    <row r="1579" spans="1:9" x14ac:dyDescent="0.25">
      <c r="A1579" s="17" t="s">
        <v>320</v>
      </c>
      <c r="B1579" s="14" t="s">
        <v>104</v>
      </c>
      <c r="C1579" s="18" t="s">
        <v>2562</v>
      </c>
      <c r="D1579" s="14" t="str">
        <f t="shared" si="107"/>
        <v>1ST-358-1578</v>
      </c>
      <c r="E1579" s="18" t="s">
        <v>2563</v>
      </c>
      <c r="F1579" s="19">
        <f t="shared" si="109"/>
        <v>0.42499999999999999</v>
      </c>
      <c r="G1579" s="19" t="str">
        <f t="shared" si="108"/>
        <v>PC</v>
      </c>
      <c r="H1579" s="18" t="s">
        <v>2920</v>
      </c>
      <c r="I1579" s="14" t="s">
        <v>441</v>
      </c>
    </row>
    <row r="1580" spans="1:9" ht="26.4" x14ac:dyDescent="0.25">
      <c r="A1580" s="17" t="s">
        <v>320</v>
      </c>
      <c r="B1580" s="14" t="s">
        <v>103</v>
      </c>
      <c r="C1580" s="14" t="s">
        <v>2035</v>
      </c>
      <c r="D1580" s="14" t="str">
        <f t="shared" si="107"/>
        <v>1ST-358-1579</v>
      </c>
      <c r="E1580" s="14" t="s">
        <v>2036</v>
      </c>
      <c r="F1580" s="19">
        <f t="shared" si="109"/>
        <v>0.16500000000000001</v>
      </c>
      <c r="G1580" s="19" t="str">
        <f t="shared" si="108"/>
        <v>PC</v>
      </c>
      <c r="H1580" s="20" t="s">
        <v>2037</v>
      </c>
      <c r="I1580" s="14" t="s">
        <v>441</v>
      </c>
    </row>
    <row r="1581" spans="1:9" x14ac:dyDescent="0.25">
      <c r="A1581" s="17" t="s">
        <v>320</v>
      </c>
      <c r="B1581" s="14" t="s">
        <v>102</v>
      </c>
      <c r="C1581" s="19" t="s">
        <v>2921</v>
      </c>
      <c r="D1581" s="14" t="str">
        <f t="shared" si="107"/>
        <v>1ST-358-1580</v>
      </c>
      <c r="E1581" s="19" t="s">
        <v>2564</v>
      </c>
      <c r="F1581" s="19">
        <f t="shared" si="109"/>
        <v>1190</v>
      </c>
      <c r="G1581" s="19" t="str">
        <f t="shared" si="108"/>
        <v>CTN</v>
      </c>
      <c r="H1581" s="14" t="s">
        <v>441</v>
      </c>
      <c r="I1581" s="14" t="s">
        <v>441</v>
      </c>
    </row>
    <row r="1582" spans="1:9" x14ac:dyDescent="0.25">
      <c r="A1582" s="17" t="s">
        <v>320</v>
      </c>
      <c r="B1582" s="14" t="s">
        <v>102</v>
      </c>
      <c r="C1582" s="18" t="s">
        <v>2922</v>
      </c>
      <c r="D1582" s="14" t="str">
        <f t="shared" si="107"/>
        <v>1ST-358-1581</v>
      </c>
      <c r="E1582" s="18" t="s">
        <v>2564</v>
      </c>
      <c r="F1582" s="19">
        <f t="shared" si="109"/>
        <v>1190</v>
      </c>
      <c r="G1582" s="19" t="str">
        <f t="shared" si="108"/>
        <v>CTN</v>
      </c>
      <c r="H1582" s="14" t="s">
        <v>441</v>
      </c>
      <c r="I1582" s="14" t="s">
        <v>441</v>
      </c>
    </row>
    <row r="1583" spans="1:9" x14ac:dyDescent="0.25">
      <c r="A1583" s="17" t="s">
        <v>320</v>
      </c>
      <c r="B1583" s="14" t="s">
        <v>102</v>
      </c>
      <c r="C1583" s="18" t="s">
        <v>2923</v>
      </c>
      <c r="D1583" s="14" t="str">
        <f t="shared" si="107"/>
        <v>1ST-358-1582</v>
      </c>
      <c r="E1583" s="18" t="s">
        <v>2564</v>
      </c>
      <c r="F1583" s="19">
        <f t="shared" si="109"/>
        <v>1190</v>
      </c>
      <c r="G1583" s="19" t="str">
        <f t="shared" si="108"/>
        <v>CTN</v>
      </c>
      <c r="H1583" s="14" t="s">
        <v>441</v>
      </c>
      <c r="I1583" s="14" t="s">
        <v>441</v>
      </c>
    </row>
    <row r="1584" spans="1:9" x14ac:dyDescent="0.25">
      <c r="A1584" s="17" t="s">
        <v>320</v>
      </c>
      <c r="B1584" s="14" t="s">
        <v>102</v>
      </c>
      <c r="C1584" s="18" t="s">
        <v>2924</v>
      </c>
      <c r="D1584" s="14" t="str">
        <f t="shared" si="107"/>
        <v>1ST-358-1583</v>
      </c>
      <c r="E1584" s="18" t="s">
        <v>2564</v>
      </c>
      <c r="F1584" s="19">
        <f t="shared" si="109"/>
        <v>1190</v>
      </c>
      <c r="G1584" s="19" t="str">
        <f t="shared" si="108"/>
        <v>CTN</v>
      </c>
      <c r="H1584" s="14" t="s">
        <v>441</v>
      </c>
      <c r="I1584" s="14" t="s">
        <v>441</v>
      </c>
    </row>
    <row r="1585" spans="1:9" x14ac:dyDescent="0.25">
      <c r="A1585" s="17" t="s">
        <v>320</v>
      </c>
      <c r="B1585" s="14" t="s">
        <v>102</v>
      </c>
      <c r="C1585" s="19" t="s">
        <v>2925</v>
      </c>
      <c r="D1585" s="14" t="str">
        <f t="shared" si="107"/>
        <v>1ST-358-1584</v>
      </c>
      <c r="E1585" s="19" t="s">
        <v>2564</v>
      </c>
      <c r="F1585" s="19">
        <f t="shared" si="109"/>
        <v>1190</v>
      </c>
      <c r="G1585" s="19" t="str">
        <f t="shared" si="108"/>
        <v>CTN</v>
      </c>
      <c r="H1585" s="14" t="s">
        <v>441</v>
      </c>
      <c r="I1585" s="14" t="s">
        <v>441</v>
      </c>
    </row>
    <row r="1586" spans="1:9" x14ac:dyDescent="0.25">
      <c r="A1586" s="17" t="s">
        <v>320</v>
      </c>
      <c r="B1586" s="14" t="s">
        <v>102</v>
      </c>
      <c r="C1586" s="18" t="s">
        <v>2926</v>
      </c>
      <c r="D1586" s="14" t="str">
        <f t="shared" si="107"/>
        <v>1ST-358-1585</v>
      </c>
      <c r="E1586" s="18" t="s">
        <v>2564</v>
      </c>
      <c r="F1586" s="19">
        <f t="shared" si="109"/>
        <v>1190</v>
      </c>
      <c r="G1586" s="19" t="str">
        <f t="shared" si="108"/>
        <v>CTN</v>
      </c>
      <c r="H1586" s="14" t="s">
        <v>441</v>
      </c>
      <c r="I1586" s="14" t="s">
        <v>441</v>
      </c>
    </row>
    <row r="1587" spans="1:9" ht="52.8" x14ac:dyDescent="0.25">
      <c r="A1587" s="17" t="s">
        <v>320</v>
      </c>
      <c r="B1587" s="14" t="s">
        <v>101</v>
      </c>
      <c r="C1587" s="18" t="s">
        <v>2927</v>
      </c>
      <c r="D1587" s="14" t="str">
        <f t="shared" si="107"/>
        <v>1ST-358-1586</v>
      </c>
      <c r="E1587" s="18" t="s">
        <v>2565</v>
      </c>
      <c r="F1587" s="19">
        <f t="shared" si="109"/>
        <v>66</v>
      </c>
      <c r="G1587" s="19" t="str">
        <f t="shared" si="108"/>
        <v>BOX</v>
      </c>
      <c r="H1587" s="20" t="s">
        <v>2038</v>
      </c>
      <c r="I1587" s="14" t="s">
        <v>441</v>
      </c>
    </row>
    <row r="1588" spans="1:9" ht="52.8" x14ac:dyDescent="0.25">
      <c r="A1588" s="17" t="s">
        <v>320</v>
      </c>
      <c r="B1588" s="14" t="s">
        <v>101</v>
      </c>
      <c r="C1588" s="18" t="s">
        <v>2928</v>
      </c>
      <c r="D1588" s="14" t="str">
        <f t="shared" si="107"/>
        <v>1ST-358-1587</v>
      </c>
      <c r="E1588" s="18" t="s">
        <v>2565</v>
      </c>
      <c r="F1588" s="19">
        <f t="shared" si="109"/>
        <v>66</v>
      </c>
      <c r="G1588" s="19" t="str">
        <f t="shared" si="108"/>
        <v>BOX</v>
      </c>
      <c r="H1588" s="20" t="s">
        <v>2038</v>
      </c>
      <c r="I1588" s="14" t="s">
        <v>441</v>
      </c>
    </row>
    <row r="1589" spans="1:9" ht="52.8" x14ac:dyDescent="0.25">
      <c r="A1589" s="17" t="s">
        <v>320</v>
      </c>
      <c r="B1589" s="14" t="s">
        <v>101</v>
      </c>
      <c r="C1589" s="18" t="s">
        <v>2929</v>
      </c>
      <c r="D1589" s="14" t="str">
        <f t="shared" si="107"/>
        <v>1ST-358-1588</v>
      </c>
      <c r="E1589" s="18" t="s">
        <v>2565</v>
      </c>
      <c r="F1589" s="19">
        <f t="shared" si="109"/>
        <v>66</v>
      </c>
      <c r="G1589" s="19" t="str">
        <f t="shared" si="108"/>
        <v>BOX</v>
      </c>
      <c r="H1589" s="20" t="s">
        <v>2038</v>
      </c>
      <c r="I1589" s="14" t="s">
        <v>441</v>
      </c>
    </row>
    <row r="1590" spans="1:9" x14ac:dyDescent="0.25">
      <c r="A1590" s="17" t="s">
        <v>320</v>
      </c>
      <c r="B1590" s="14" t="s">
        <v>100</v>
      </c>
      <c r="C1590" s="18" t="s">
        <v>2566</v>
      </c>
      <c r="D1590" s="14" t="str">
        <f t="shared" si="107"/>
        <v>1ST-358-1589</v>
      </c>
      <c r="E1590" s="18" t="s">
        <v>2567</v>
      </c>
      <c r="F1590" s="19">
        <f t="shared" si="109"/>
        <v>51</v>
      </c>
      <c r="G1590" s="19" t="str">
        <f t="shared" si="108"/>
        <v>PACK</v>
      </c>
      <c r="H1590" s="18" t="s">
        <v>2930</v>
      </c>
      <c r="I1590" s="14" t="s">
        <v>441</v>
      </c>
    </row>
    <row r="1591" spans="1:9" x14ac:dyDescent="0.25">
      <c r="A1591" s="17" t="s">
        <v>320</v>
      </c>
      <c r="B1591" s="14" t="s">
        <v>100</v>
      </c>
      <c r="C1591" s="18" t="s">
        <v>2568</v>
      </c>
      <c r="D1591" s="14" t="str">
        <f t="shared" si="107"/>
        <v>1ST-358-1590</v>
      </c>
      <c r="E1591" s="18" t="s">
        <v>2569</v>
      </c>
      <c r="F1591" s="19">
        <f t="shared" si="109"/>
        <v>70</v>
      </c>
      <c r="G1591" s="19" t="str">
        <f t="shared" si="108"/>
        <v>PACK</v>
      </c>
      <c r="H1591" s="18" t="s">
        <v>2931</v>
      </c>
      <c r="I1591" s="14" t="s">
        <v>441</v>
      </c>
    </row>
    <row r="1592" spans="1:9" x14ac:dyDescent="0.25">
      <c r="A1592" s="17" t="s">
        <v>320</v>
      </c>
      <c r="B1592" s="14" t="s">
        <v>100</v>
      </c>
      <c r="C1592" s="18" t="s">
        <v>2570</v>
      </c>
      <c r="D1592" s="14" t="str">
        <f t="shared" si="107"/>
        <v>1ST-358-1591</v>
      </c>
      <c r="E1592" s="18" t="s">
        <v>2569</v>
      </c>
      <c r="F1592" s="19">
        <f t="shared" si="109"/>
        <v>70</v>
      </c>
      <c r="G1592" s="19" t="str">
        <f t="shared" si="108"/>
        <v>PACK</v>
      </c>
      <c r="H1592" s="18" t="s">
        <v>2931</v>
      </c>
      <c r="I1592" s="14" t="s">
        <v>441</v>
      </c>
    </row>
    <row r="1593" spans="1:9" x14ac:dyDescent="0.25">
      <c r="A1593" s="17" t="s">
        <v>320</v>
      </c>
      <c r="B1593" s="14" t="s">
        <v>100</v>
      </c>
      <c r="C1593" s="18" t="s">
        <v>3937</v>
      </c>
      <c r="D1593" s="14" t="str">
        <f t="shared" si="107"/>
        <v>1ST-358-1592</v>
      </c>
      <c r="E1593" s="19" t="s">
        <v>2567</v>
      </c>
      <c r="F1593" s="19">
        <f t="shared" si="109"/>
        <v>51</v>
      </c>
      <c r="G1593" s="19" t="str">
        <f t="shared" si="108"/>
        <v>PACK</v>
      </c>
      <c r="H1593" s="18" t="s">
        <v>2930</v>
      </c>
      <c r="I1593" s="14" t="s">
        <v>441</v>
      </c>
    </row>
    <row r="1594" spans="1:9" x14ac:dyDescent="0.25">
      <c r="A1594" s="17" t="s">
        <v>320</v>
      </c>
      <c r="B1594" s="14" t="s">
        <v>100</v>
      </c>
      <c r="C1594" s="18" t="s">
        <v>2571</v>
      </c>
      <c r="D1594" s="14" t="str">
        <f t="shared" si="107"/>
        <v>1ST-358-1593</v>
      </c>
      <c r="E1594" s="19" t="s">
        <v>2569</v>
      </c>
      <c r="F1594" s="19">
        <f t="shared" si="109"/>
        <v>70</v>
      </c>
      <c r="G1594" s="19" t="str">
        <f t="shared" si="108"/>
        <v>PACK</v>
      </c>
      <c r="H1594" s="18" t="s">
        <v>2931</v>
      </c>
      <c r="I1594" s="14" t="s">
        <v>441</v>
      </c>
    </row>
    <row r="1595" spans="1:9" x14ac:dyDescent="0.25">
      <c r="A1595" s="17" t="s">
        <v>320</v>
      </c>
      <c r="B1595" s="14" t="s">
        <v>100</v>
      </c>
      <c r="C1595" s="18" t="s">
        <v>2572</v>
      </c>
      <c r="D1595" s="14" t="str">
        <f t="shared" si="107"/>
        <v>1ST-358-1594</v>
      </c>
      <c r="E1595" s="19" t="s">
        <v>2569</v>
      </c>
      <c r="F1595" s="19">
        <f t="shared" si="109"/>
        <v>70</v>
      </c>
      <c r="G1595" s="19" t="str">
        <f t="shared" si="108"/>
        <v>PACK</v>
      </c>
      <c r="H1595" s="18" t="s">
        <v>2931</v>
      </c>
      <c r="I1595" s="14" t="s">
        <v>441</v>
      </c>
    </row>
    <row r="1596" spans="1:9" x14ac:dyDescent="0.25">
      <c r="A1596" s="17" t="s">
        <v>320</v>
      </c>
      <c r="B1596" s="14" t="s">
        <v>99</v>
      </c>
      <c r="C1596" s="18" t="s">
        <v>2573</v>
      </c>
      <c r="D1596" s="14" t="str">
        <f t="shared" si="107"/>
        <v>1ST-358-1595</v>
      </c>
      <c r="E1596" s="18" t="s">
        <v>1850</v>
      </c>
      <c r="F1596" s="19">
        <f t="shared" si="109"/>
        <v>2700</v>
      </c>
      <c r="G1596" s="19" t="str">
        <f t="shared" si="108"/>
        <v>ROLL</v>
      </c>
      <c r="H1596" s="18" t="s">
        <v>2932</v>
      </c>
      <c r="I1596" s="21">
        <v>0.2</v>
      </c>
    </row>
    <row r="1597" spans="1:9" x14ac:dyDescent="0.25">
      <c r="A1597" s="17" t="s">
        <v>320</v>
      </c>
      <c r="B1597" s="14" t="s">
        <v>99</v>
      </c>
      <c r="C1597" s="18" t="s">
        <v>2574</v>
      </c>
      <c r="D1597" s="14" t="str">
        <f t="shared" si="107"/>
        <v>1ST-358-1596</v>
      </c>
      <c r="E1597" s="18" t="s">
        <v>2575</v>
      </c>
      <c r="F1597" s="19">
        <f t="shared" si="109"/>
        <v>3350</v>
      </c>
      <c r="G1597" s="19" t="str">
        <f t="shared" si="108"/>
        <v>ROLL</v>
      </c>
      <c r="H1597" s="18" t="s">
        <v>2933</v>
      </c>
      <c r="I1597" s="21">
        <v>0.2</v>
      </c>
    </row>
    <row r="1598" spans="1:9" x14ac:dyDescent="0.25">
      <c r="A1598" s="17" t="s">
        <v>320</v>
      </c>
      <c r="B1598" s="14" t="s">
        <v>99</v>
      </c>
      <c r="C1598" s="18" t="s">
        <v>3398</v>
      </c>
      <c r="D1598" s="14" t="str">
        <f t="shared" si="107"/>
        <v>1ST-358-1597</v>
      </c>
      <c r="E1598" s="18" t="s">
        <v>2576</v>
      </c>
      <c r="F1598" s="19">
        <f t="shared" si="109"/>
        <v>1720</v>
      </c>
      <c r="G1598" s="19" t="str">
        <f t="shared" si="108"/>
        <v>ROLL</v>
      </c>
      <c r="H1598" s="18" t="s">
        <v>2934</v>
      </c>
      <c r="I1598" s="21">
        <v>0.2</v>
      </c>
    </row>
    <row r="1599" spans="1:9" x14ac:dyDescent="0.25">
      <c r="A1599" s="17" t="s">
        <v>320</v>
      </c>
      <c r="B1599" s="14" t="s">
        <v>99</v>
      </c>
      <c r="C1599" s="18" t="s">
        <v>3399</v>
      </c>
      <c r="D1599" s="14" t="str">
        <f t="shared" si="107"/>
        <v>1ST-358-1598</v>
      </c>
      <c r="E1599" s="18" t="s">
        <v>2577</v>
      </c>
      <c r="F1599" s="19">
        <f t="shared" si="109"/>
        <v>2120</v>
      </c>
      <c r="G1599" s="19" t="str">
        <f t="shared" si="108"/>
        <v>ROLL</v>
      </c>
      <c r="H1599" s="18" t="s">
        <v>2935</v>
      </c>
      <c r="I1599" s="25" t="s">
        <v>2039</v>
      </c>
    </row>
    <row r="1600" spans="1:9" x14ac:dyDescent="0.25">
      <c r="A1600" s="17" t="s">
        <v>320</v>
      </c>
      <c r="B1600" s="14" t="s">
        <v>98</v>
      </c>
      <c r="C1600" s="18" t="s">
        <v>2936</v>
      </c>
      <c r="D1600" s="14" t="str">
        <f t="shared" si="107"/>
        <v>1ST-358-1599</v>
      </c>
      <c r="E1600" s="19" t="s">
        <v>607</v>
      </c>
      <c r="F1600" s="19">
        <f t="shared" si="109"/>
        <v>1400</v>
      </c>
      <c r="G1600" s="19" t="str">
        <f t="shared" si="108"/>
        <v>ROLL</v>
      </c>
      <c r="H1600" s="25" t="s">
        <v>2039</v>
      </c>
      <c r="I1600" s="25" t="s">
        <v>2039</v>
      </c>
    </row>
    <row r="1601" spans="1:9" x14ac:dyDescent="0.25">
      <c r="A1601" s="17" t="s">
        <v>320</v>
      </c>
      <c r="B1601" s="14" t="s">
        <v>98</v>
      </c>
      <c r="C1601" s="18" t="s">
        <v>2937</v>
      </c>
      <c r="D1601" s="14" t="str">
        <f t="shared" si="107"/>
        <v>1ST-358-1600</v>
      </c>
      <c r="E1601" s="19" t="s">
        <v>2578</v>
      </c>
      <c r="F1601" s="19">
        <f t="shared" si="109"/>
        <v>1900</v>
      </c>
      <c r="G1601" s="19" t="str">
        <f t="shared" si="108"/>
        <v>ROLL</v>
      </c>
      <c r="H1601" s="25" t="s">
        <v>2039</v>
      </c>
      <c r="I1601" s="25" t="s">
        <v>2039</v>
      </c>
    </row>
    <row r="1602" spans="1:9" x14ac:dyDescent="0.25">
      <c r="A1602" s="17" t="s">
        <v>320</v>
      </c>
      <c r="B1602" s="14" t="s">
        <v>98</v>
      </c>
      <c r="C1602" s="18" t="s">
        <v>2938</v>
      </c>
      <c r="D1602" s="14" t="str">
        <f t="shared" si="107"/>
        <v>1ST-358-1601</v>
      </c>
      <c r="E1602" s="19" t="s">
        <v>607</v>
      </c>
      <c r="F1602" s="19">
        <f t="shared" si="109"/>
        <v>1400</v>
      </c>
      <c r="G1602" s="19" t="str">
        <f t="shared" si="108"/>
        <v>ROLL</v>
      </c>
      <c r="H1602" s="25" t="s">
        <v>2039</v>
      </c>
      <c r="I1602" s="25" t="s">
        <v>2039</v>
      </c>
    </row>
    <row r="1603" spans="1:9" x14ac:dyDescent="0.25">
      <c r="A1603" s="17" t="s">
        <v>320</v>
      </c>
      <c r="B1603" s="14" t="s">
        <v>98</v>
      </c>
      <c r="C1603" s="18" t="s">
        <v>2939</v>
      </c>
      <c r="D1603" s="14" t="str">
        <f t="shared" si="107"/>
        <v>1ST-358-1602</v>
      </c>
      <c r="E1603" s="19" t="s">
        <v>2578</v>
      </c>
      <c r="F1603" s="19">
        <f t="shared" si="109"/>
        <v>1900</v>
      </c>
      <c r="G1603" s="19" t="str">
        <f t="shared" si="108"/>
        <v>ROLL</v>
      </c>
      <c r="H1603" s="25" t="s">
        <v>2039</v>
      </c>
      <c r="I1603" s="25" t="s">
        <v>2039</v>
      </c>
    </row>
    <row r="1604" spans="1:9" ht="26.4" x14ac:dyDescent="0.25">
      <c r="A1604" s="17" t="s">
        <v>320</v>
      </c>
      <c r="B1604" s="14" t="s">
        <v>97</v>
      </c>
      <c r="C1604" s="18" t="s">
        <v>2579</v>
      </c>
      <c r="D1604" s="14" t="str">
        <f t="shared" si="107"/>
        <v>1ST-358-1603</v>
      </c>
      <c r="E1604" s="19" t="s">
        <v>2580</v>
      </c>
      <c r="F1604" s="19">
        <f t="shared" si="109"/>
        <v>920</v>
      </c>
      <c r="G1604" s="19" t="str">
        <f t="shared" si="108"/>
        <v>ROLL</v>
      </c>
      <c r="H1604" s="18" t="s">
        <v>3400</v>
      </c>
      <c r="I1604" s="14" t="s">
        <v>441</v>
      </c>
    </row>
    <row r="1605" spans="1:9" ht="26.4" x14ac:dyDescent="0.25">
      <c r="A1605" s="17" t="s">
        <v>320</v>
      </c>
      <c r="B1605" s="14" t="s">
        <v>97</v>
      </c>
      <c r="C1605" s="18" t="s">
        <v>2581</v>
      </c>
      <c r="D1605" s="14" t="str">
        <f t="shared" ref="D1605:D1668" si="110">LEFT($D$2,FIND("-",$D$2,FIND("-",$D$2)+1)) &amp; TEXT(RIGHT($D$2,3)+ROW(D1603),"000")</f>
        <v>1ST-358-1604</v>
      </c>
      <c r="E1605" s="19" t="s">
        <v>2582</v>
      </c>
      <c r="F1605" s="19">
        <f t="shared" si="109"/>
        <v>1200</v>
      </c>
      <c r="G1605" s="19" t="str">
        <f t="shared" si="108"/>
        <v>ROLL</v>
      </c>
      <c r="H1605" s="18" t="s">
        <v>3401</v>
      </c>
      <c r="I1605" s="14" t="s">
        <v>441</v>
      </c>
    </row>
    <row r="1606" spans="1:9" ht="26.4" x14ac:dyDescent="0.25">
      <c r="A1606" s="17" t="s">
        <v>320</v>
      </c>
      <c r="B1606" s="14" t="s">
        <v>97</v>
      </c>
      <c r="C1606" s="19" t="s">
        <v>2583</v>
      </c>
      <c r="D1606" s="14" t="str">
        <f t="shared" si="110"/>
        <v>1ST-358-1605</v>
      </c>
      <c r="E1606" s="19" t="s">
        <v>2584</v>
      </c>
      <c r="F1606" s="19">
        <f t="shared" si="109"/>
        <v>600</v>
      </c>
      <c r="G1606" s="19" t="str">
        <f t="shared" si="108"/>
        <v>ROLL</v>
      </c>
      <c r="H1606" s="18" t="s">
        <v>3402</v>
      </c>
      <c r="I1606" s="14" t="s">
        <v>441</v>
      </c>
    </row>
    <row r="1607" spans="1:9" ht="26.4" x14ac:dyDescent="0.25">
      <c r="A1607" s="17" t="s">
        <v>320</v>
      </c>
      <c r="B1607" s="14" t="s">
        <v>97</v>
      </c>
      <c r="C1607" s="18" t="s">
        <v>2585</v>
      </c>
      <c r="D1607" s="14" t="str">
        <f t="shared" si="110"/>
        <v>1ST-358-1606</v>
      </c>
      <c r="E1607" s="19" t="s">
        <v>2586</v>
      </c>
      <c r="F1607" s="19">
        <f t="shared" si="109"/>
        <v>780</v>
      </c>
      <c r="G1607" s="19" t="str">
        <f t="shared" si="108"/>
        <v>ROLL</v>
      </c>
      <c r="H1607" s="18" t="s">
        <v>3403</v>
      </c>
      <c r="I1607" s="14" t="s">
        <v>441</v>
      </c>
    </row>
    <row r="1608" spans="1:9" x14ac:dyDescent="0.25">
      <c r="A1608" s="17" t="s">
        <v>320</v>
      </c>
      <c r="B1608" s="14" t="s">
        <v>96</v>
      </c>
      <c r="C1608" s="19" t="s">
        <v>3938</v>
      </c>
      <c r="D1608" s="14" t="str">
        <f t="shared" si="110"/>
        <v>1ST-358-1607</v>
      </c>
      <c r="E1608" s="19" t="s">
        <v>2587</v>
      </c>
      <c r="F1608" s="19">
        <f t="shared" si="109"/>
        <v>535</v>
      </c>
      <c r="G1608" s="19" t="str">
        <f t="shared" si="108"/>
        <v>ROLL</v>
      </c>
      <c r="H1608" s="18" t="s">
        <v>3404</v>
      </c>
      <c r="I1608" s="14" t="s">
        <v>441</v>
      </c>
    </row>
    <row r="1609" spans="1:9" x14ac:dyDescent="0.25">
      <c r="A1609" s="17" t="s">
        <v>320</v>
      </c>
      <c r="B1609" s="14" t="s">
        <v>96</v>
      </c>
      <c r="C1609" s="19" t="s">
        <v>2940</v>
      </c>
      <c r="D1609" s="14" t="str">
        <f t="shared" si="110"/>
        <v>1ST-358-1608</v>
      </c>
      <c r="E1609" s="19" t="s">
        <v>2588</v>
      </c>
      <c r="F1609" s="19">
        <f t="shared" si="109"/>
        <v>805</v>
      </c>
      <c r="G1609" s="19" t="str">
        <f t="shared" si="108"/>
        <v>ROLL</v>
      </c>
      <c r="H1609" s="18" t="s">
        <v>3405</v>
      </c>
      <c r="I1609" s="14" t="s">
        <v>441</v>
      </c>
    </row>
    <row r="1610" spans="1:9" ht="39.6" x14ac:dyDescent="0.25">
      <c r="A1610" s="17" t="s">
        <v>320</v>
      </c>
      <c r="B1610" s="14" t="s">
        <v>96</v>
      </c>
      <c r="C1610" s="19" t="s">
        <v>2941</v>
      </c>
      <c r="D1610" s="14" t="str">
        <f t="shared" si="110"/>
        <v>1ST-358-1609</v>
      </c>
      <c r="E1610" s="19" t="s">
        <v>2589</v>
      </c>
      <c r="F1610" s="19">
        <f t="shared" si="109"/>
        <v>1080</v>
      </c>
      <c r="G1610" s="19" t="str">
        <f t="shared" ref="G1610:G1627" si="111">TRIM(MID(E1610,FIND("/",E1610)+1,LEN(E1610)))</f>
        <v>ROLL</v>
      </c>
      <c r="H1610" s="18" t="s">
        <v>3406</v>
      </c>
      <c r="I1610" s="14" t="s">
        <v>441</v>
      </c>
    </row>
    <row r="1611" spans="1:9" ht="39.6" x14ac:dyDescent="0.25">
      <c r="A1611" s="17" t="s">
        <v>320</v>
      </c>
      <c r="B1611" s="14" t="s">
        <v>96</v>
      </c>
      <c r="C1611" s="19" t="s">
        <v>2942</v>
      </c>
      <c r="D1611" s="14" t="str">
        <f t="shared" si="110"/>
        <v>1ST-358-1610</v>
      </c>
      <c r="E1611" s="19" t="s">
        <v>563</v>
      </c>
      <c r="F1611" s="19">
        <f t="shared" si="109"/>
        <v>1350</v>
      </c>
      <c r="G1611" s="19" t="str">
        <f t="shared" si="111"/>
        <v>ROLL</v>
      </c>
      <c r="H1611" s="18" t="s">
        <v>3407</v>
      </c>
      <c r="I1611" s="14" t="s">
        <v>441</v>
      </c>
    </row>
    <row r="1612" spans="1:9" ht="26.4" x14ac:dyDescent="0.25">
      <c r="A1612" s="17" t="s">
        <v>320</v>
      </c>
      <c r="B1612" s="14" t="s">
        <v>95</v>
      </c>
      <c r="C1612" s="18" t="s">
        <v>2943</v>
      </c>
      <c r="D1612" s="14" t="str">
        <f t="shared" si="110"/>
        <v>1ST-358-1611</v>
      </c>
      <c r="E1612" s="19" t="s">
        <v>2590</v>
      </c>
      <c r="F1612" s="19">
        <f t="shared" si="109"/>
        <v>167</v>
      </c>
      <c r="G1612" s="19" t="str">
        <f t="shared" si="111"/>
        <v>ROLL</v>
      </c>
      <c r="H1612" s="18" t="s">
        <v>3408</v>
      </c>
      <c r="I1612" s="14" t="s">
        <v>441</v>
      </c>
    </row>
    <row r="1613" spans="1:9" ht="26.4" x14ac:dyDescent="0.25">
      <c r="A1613" s="17" t="s">
        <v>320</v>
      </c>
      <c r="B1613" s="14" t="s">
        <v>95</v>
      </c>
      <c r="C1613" s="18" t="s">
        <v>2944</v>
      </c>
      <c r="D1613" s="14" t="str">
        <f t="shared" si="110"/>
        <v>1ST-358-1612</v>
      </c>
      <c r="E1613" s="19" t="s">
        <v>2591</v>
      </c>
      <c r="F1613" s="19">
        <f t="shared" si="109"/>
        <v>216</v>
      </c>
      <c r="G1613" s="19" t="str">
        <f t="shared" si="111"/>
        <v>ROLL</v>
      </c>
      <c r="H1613" s="18" t="s">
        <v>3409</v>
      </c>
      <c r="I1613" s="14" t="s">
        <v>441</v>
      </c>
    </row>
    <row r="1614" spans="1:9" ht="26.4" x14ac:dyDescent="0.25">
      <c r="A1614" s="17" t="s">
        <v>320</v>
      </c>
      <c r="B1614" s="14" t="s">
        <v>95</v>
      </c>
      <c r="C1614" s="18" t="s">
        <v>2945</v>
      </c>
      <c r="D1614" s="14" t="str">
        <f t="shared" si="110"/>
        <v>1ST-358-1613</v>
      </c>
      <c r="E1614" s="19" t="s">
        <v>2592</v>
      </c>
      <c r="F1614" s="19">
        <f t="shared" si="109"/>
        <v>270</v>
      </c>
      <c r="G1614" s="19" t="str">
        <f t="shared" si="111"/>
        <v>ROLL</v>
      </c>
      <c r="H1614" s="18" t="s">
        <v>3410</v>
      </c>
      <c r="I1614" s="14" t="s">
        <v>441</v>
      </c>
    </row>
    <row r="1615" spans="1:9" ht="26.4" x14ac:dyDescent="0.25">
      <c r="A1615" s="17" t="s">
        <v>320</v>
      </c>
      <c r="B1615" s="14" t="s">
        <v>95</v>
      </c>
      <c r="C1615" s="18" t="s">
        <v>2946</v>
      </c>
      <c r="D1615" s="14" t="str">
        <f t="shared" si="110"/>
        <v>1ST-358-1614</v>
      </c>
      <c r="E1615" s="19" t="s">
        <v>2593</v>
      </c>
      <c r="F1615" s="19">
        <f t="shared" si="109"/>
        <v>324</v>
      </c>
      <c r="G1615" s="19" t="str">
        <f t="shared" si="111"/>
        <v>ROLL</v>
      </c>
      <c r="H1615" s="18" t="s">
        <v>3411</v>
      </c>
      <c r="I1615" s="14" t="s">
        <v>441</v>
      </c>
    </row>
    <row r="1616" spans="1:9" ht="26.4" x14ac:dyDescent="0.25">
      <c r="A1616" s="17" t="s">
        <v>320</v>
      </c>
      <c r="B1616" s="14" t="s">
        <v>95</v>
      </c>
      <c r="C1616" s="18" t="s">
        <v>2947</v>
      </c>
      <c r="D1616" s="14" t="str">
        <f t="shared" si="110"/>
        <v>1ST-358-1615</v>
      </c>
      <c r="E1616" s="19" t="s">
        <v>2594</v>
      </c>
      <c r="F1616" s="19">
        <f t="shared" si="109"/>
        <v>100</v>
      </c>
      <c r="G1616" s="19" t="str">
        <f t="shared" si="111"/>
        <v>ROLL</v>
      </c>
      <c r="H1616" s="18" t="s">
        <v>3412</v>
      </c>
      <c r="I1616" s="14" t="s">
        <v>441</v>
      </c>
    </row>
    <row r="1617" spans="1:9" ht="26.4" x14ac:dyDescent="0.25">
      <c r="A1617" s="17" t="s">
        <v>320</v>
      </c>
      <c r="B1617" s="14" t="s">
        <v>95</v>
      </c>
      <c r="C1617" s="18" t="s">
        <v>2948</v>
      </c>
      <c r="D1617" s="14" t="str">
        <f t="shared" si="110"/>
        <v>1ST-358-1616</v>
      </c>
      <c r="E1617" s="19" t="s">
        <v>2595</v>
      </c>
      <c r="F1617" s="19">
        <f t="shared" si="109"/>
        <v>135</v>
      </c>
      <c r="G1617" s="19" t="str">
        <f t="shared" si="111"/>
        <v>ROLL</v>
      </c>
      <c r="H1617" s="18" t="s">
        <v>3413</v>
      </c>
      <c r="I1617" s="14" t="s">
        <v>441</v>
      </c>
    </row>
    <row r="1618" spans="1:9" ht="26.4" x14ac:dyDescent="0.25">
      <c r="A1618" s="17" t="s">
        <v>320</v>
      </c>
      <c r="B1618" s="14" t="s">
        <v>95</v>
      </c>
      <c r="C1618" s="18" t="s">
        <v>2949</v>
      </c>
      <c r="D1618" s="14" t="str">
        <f t="shared" si="110"/>
        <v>1ST-358-1617</v>
      </c>
      <c r="E1618" s="19" t="s">
        <v>2596</v>
      </c>
      <c r="F1618" s="19">
        <f t="shared" si="109"/>
        <v>165</v>
      </c>
      <c r="G1618" s="19" t="str">
        <f t="shared" si="111"/>
        <v>ROLL</v>
      </c>
      <c r="H1618" s="18" t="s">
        <v>3408</v>
      </c>
      <c r="I1618" s="14" t="s">
        <v>441</v>
      </c>
    </row>
    <row r="1619" spans="1:9" ht="26.4" x14ac:dyDescent="0.25">
      <c r="A1619" s="17" t="s">
        <v>320</v>
      </c>
      <c r="B1619" s="14" t="s">
        <v>95</v>
      </c>
      <c r="C1619" s="18" t="s">
        <v>2950</v>
      </c>
      <c r="D1619" s="14" t="str">
        <f t="shared" si="110"/>
        <v>1ST-358-1618</v>
      </c>
      <c r="E1619" s="19" t="s">
        <v>2597</v>
      </c>
      <c r="F1619" s="19">
        <f t="shared" si="109"/>
        <v>195</v>
      </c>
      <c r="G1619" s="19" t="str">
        <f t="shared" si="111"/>
        <v>ROLL</v>
      </c>
      <c r="H1619" s="18" t="s">
        <v>3414</v>
      </c>
      <c r="I1619" s="14" t="s">
        <v>441</v>
      </c>
    </row>
    <row r="1620" spans="1:9" x14ac:dyDescent="0.25">
      <c r="A1620" s="17" t="s">
        <v>320</v>
      </c>
      <c r="B1620" s="14" t="s">
        <v>94</v>
      </c>
      <c r="C1620" s="18" t="s">
        <v>3939</v>
      </c>
      <c r="D1620" s="14" t="str">
        <f t="shared" si="110"/>
        <v>1ST-358-1619</v>
      </c>
      <c r="E1620" s="18" t="s">
        <v>2598</v>
      </c>
      <c r="F1620" s="19">
        <f t="shared" si="109"/>
        <v>1050</v>
      </c>
      <c r="G1620" s="19" t="str">
        <f t="shared" si="111"/>
        <v>ROLL</v>
      </c>
      <c r="H1620" s="18" t="s">
        <v>2951</v>
      </c>
      <c r="I1620" s="14" t="s">
        <v>441</v>
      </c>
    </row>
    <row r="1621" spans="1:9" x14ac:dyDescent="0.25">
      <c r="A1621" s="17" t="s">
        <v>320</v>
      </c>
      <c r="B1621" s="14" t="s">
        <v>94</v>
      </c>
      <c r="C1621" s="18" t="s">
        <v>3940</v>
      </c>
      <c r="D1621" s="14" t="str">
        <f t="shared" si="110"/>
        <v>1ST-358-1620</v>
      </c>
      <c r="E1621" s="18" t="s">
        <v>607</v>
      </c>
      <c r="F1621" s="19">
        <f t="shared" si="109"/>
        <v>1400</v>
      </c>
      <c r="G1621" s="19" t="str">
        <f t="shared" si="111"/>
        <v>ROLL</v>
      </c>
      <c r="H1621" s="18" t="s">
        <v>2952</v>
      </c>
      <c r="I1621" s="14" t="s">
        <v>441</v>
      </c>
    </row>
    <row r="1622" spans="1:9" x14ac:dyDescent="0.25">
      <c r="A1622" s="17" t="s">
        <v>320</v>
      </c>
      <c r="B1622" s="14" t="s">
        <v>94</v>
      </c>
      <c r="C1622" s="18" t="s">
        <v>3941</v>
      </c>
      <c r="D1622" s="14" t="str">
        <f t="shared" si="110"/>
        <v>1ST-358-1621</v>
      </c>
      <c r="E1622" s="18" t="s">
        <v>2599</v>
      </c>
      <c r="F1622" s="19">
        <f t="shared" si="109"/>
        <v>1750</v>
      </c>
      <c r="G1622" s="19" t="str">
        <f t="shared" si="111"/>
        <v>ROLL</v>
      </c>
      <c r="H1622" s="18" t="s">
        <v>2953</v>
      </c>
      <c r="I1622" s="14" t="s">
        <v>441</v>
      </c>
    </row>
    <row r="1623" spans="1:9" x14ac:dyDescent="0.25">
      <c r="A1623" s="17" t="s">
        <v>320</v>
      </c>
      <c r="B1623" s="14" t="s">
        <v>94</v>
      </c>
      <c r="C1623" s="18" t="s">
        <v>3942</v>
      </c>
      <c r="D1623" s="14" t="str">
        <f t="shared" si="110"/>
        <v>1ST-358-1622</v>
      </c>
      <c r="E1623" s="18" t="s">
        <v>2600</v>
      </c>
      <c r="F1623" s="19">
        <f t="shared" si="109"/>
        <v>2100</v>
      </c>
      <c r="G1623" s="19" t="str">
        <f t="shared" si="111"/>
        <v>ROLL</v>
      </c>
      <c r="H1623" s="18" t="s">
        <v>2954</v>
      </c>
      <c r="I1623" s="14" t="s">
        <v>441</v>
      </c>
    </row>
    <row r="1624" spans="1:9" x14ac:dyDescent="0.25">
      <c r="A1624" s="17" t="s">
        <v>320</v>
      </c>
      <c r="B1624" s="14" t="s">
        <v>2040</v>
      </c>
      <c r="C1624" s="18" t="s">
        <v>2955</v>
      </c>
      <c r="D1624" s="14" t="str">
        <f t="shared" si="110"/>
        <v>1ST-358-1623</v>
      </c>
      <c r="E1624" s="18" t="s">
        <v>2601</v>
      </c>
      <c r="F1624" s="19">
        <f t="shared" si="109"/>
        <v>540</v>
      </c>
      <c r="G1624" s="19" t="str">
        <f t="shared" si="111"/>
        <v>ROLL</v>
      </c>
      <c r="H1624" s="18" t="s">
        <v>2956</v>
      </c>
      <c r="I1624" s="14" t="s">
        <v>441</v>
      </c>
    </row>
    <row r="1625" spans="1:9" x14ac:dyDescent="0.25">
      <c r="A1625" s="17" t="s">
        <v>320</v>
      </c>
      <c r="B1625" s="14" t="s">
        <v>2040</v>
      </c>
      <c r="C1625" s="18" t="s">
        <v>2957</v>
      </c>
      <c r="D1625" s="14" t="str">
        <f t="shared" si="110"/>
        <v>1ST-358-1624</v>
      </c>
      <c r="E1625" s="18" t="s">
        <v>2602</v>
      </c>
      <c r="F1625" s="19">
        <f t="shared" si="109"/>
        <v>605</v>
      </c>
      <c r="G1625" s="19" t="str">
        <f t="shared" si="111"/>
        <v>ROLL</v>
      </c>
      <c r="H1625" s="18" t="s">
        <v>2958</v>
      </c>
      <c r="I1625" s="14" t="s">
        <v>441</v>
      </c>
    </row>
    <row r="1626" spans="1:9" x14ac:dyDescent="0.25">
      <c r="A1626" s="17" t="s">
        <v>320</v>
      </c>
      <c r="B1626" s="14" t="s">
        <v>2040</v>
      </c>
      <c r="C1626" s="18" t="s">
        <v>2959</v>
      </c>
      <c r="D1626" s="14" t="str">
        <f t="shared" si="110"/>
        <v>1ST-358-1625</v>
      </c>
      <c r="E1626" s="19" t="s">
        <v>2603</v>
      </c>
      <c r="F1626" s="19">
        <f t="shared" si="109"/>
        <v>660</v>
      </c>
      <c r="G1626" s="19" t="str">
        <f t="shared" si="111"/>
        <v>ROLL</v>
      </c>
      <c r="H1626" s="18" t="s">
        <v>2960</v>
      </c>
      <c r="I1626" s="14" t="s">
        <v>441</v>
      </c>
    </row>
    <row r="1627" spans="1:9" x14ac:dyDescent="0.25">
      <c r="A1627" s="17" t="s">
        <v>320</v>
      </c>
      <c r="B1627" s="14" t="s">
        <v>2040</v>
      </c>
      <c r="C1627" s="18" t="s">
        <v>2961</v>
      </c>
      <c r="D1627" s="14" t="str">
        <f t="shared" si="110"/>
        <v>1ST-358-1626</v>
      </c>
      <c r="E1627" s="18" t="s">
        <v>459</v>
      </c>
      <c r="F1627" s="19">
        <f t="shared" si="109"/>
        <v>750</v>
      </c>
      <c r="G1627" s="19" t="str">
        <f t="shared" si="111"/>
        <v>ROLL</v>
      </c>
      <c r="H1627" s="18" t="s">
        <v>2962</v>
      </c>
      <c r="I1627" s="14" t="s">
        <v>441</v>
      </c>
    </row>
    <row r="1628" spans="1:9" x14ac:dyDescent="0.25">
      <c r="A1628" s="17" t="s">
        <v>320</v>
      </c>
      <c r="B1628" s="14" t="s">
        <v>3415</v>
      </c>
      <c r="C1628" s="18" t="s">
        <v>3943</v>
      </c>
      <c r="D1628" s="14" t="str">
        <f t="shared" si="110"/>
        <v>1ST-358-1627</v>
      </c>
      <c r="E1628" s="19" t="s">
        <v>3430</v>
      </c>
      <c r="F1628" s="19">
        <f t="shared" si="109"/>
        <v>280</v>
      </c>
      <c r="G1628" s="19" t="str">
        <f t="shared" ref="G1628:G1691" si="112">TRIM(MID(E1628,FIND("/",E1628)+1,LEN(E1628)))</f>
        <v>ROLL</v>
      </c>
      <c r="H1628" s="14" t="s">
        <v>3416</v>
      </c>
      <c r="I1628" s="14" t="s">
        <v>441</v>
      </c>
    </row>
    <row r="1629" spans="1:9" x14ac:dyDescent="0.25">
      <c r="A1629" s="17" t="s">
        <v>320</v>
      </c>
      <c r="B1629" s="14" t="s">
        <v>3415</v>
      </c>
      <c r="C1629" s="18" t="s">
        <v>3944</v>
      </c>
      <c r="D1629" s="14" t="str">
        <f t="shared" si="110"/>
        <v>1ST-358-1628</v>
      </c>
      <c r="E1629" s="19" t="s">
        <v>3430</v>
      </c>
      <c r="F1629" s="19">
        <f t="shared" si="109"/>
        <v>280</v>
      </c>
      <c r="G1629" s="19" t="str">
        <f t="shared" si="112"/>
        <v>ROLL</v>
      </c>
      <c r="H1629" s="14" t="s">
        <v>3416</v>
      </c>
      <c r="I1629" s="14" t="s">
        <v>441</v>
      </c>
    </row>
    <row r="1630" spans="1:9" x14ac:dyDescent="0.25">
      <c r="A1630" s="17" t="s">
        <v>320</v>
      </c>
      <c r="B1630" s="14" t="s">
        <v>93</v>
      </c>
      <c r="C1630" s="18" t="s">
        <v>3945</v>
      </c>
      <c r="D1630" s="14" t="str">
        <f t="shared" si="110"/>
        <v>1ST-358-1629</v>
      </c>
      <c r="E1630" s="19" t="s">
        <v>1830</v>
      </c>
      <c r="F1630" s="19">
        <f t="shared" si="109"/>
        <v>275</v>
      </c>
      <c r="G1630" s="19" t="str">
        <f t="shared" si="112"/>
        <v>ROLL</v>
      </c>
      <c r="H1630" s="14" t="s">
        <v>3417</v>
      </c>
      <c r="I1630" s="14" t="s">
        <v>441</v>
      </c>
    </row>
    <row r="1631" spans="1:9" ht="26.4" x14ac:dyDescent="0.25">
      <c r="A1631" s="17" t="s">
        <v>320</v>
      </c>
      <c r="B1631" s="14" t="s">
        <v>93</v>
      </c>
      <c r="C1631" s="18" t="s">
        <v>3538</v>
      </c>
      <c r="D1631" s="14" t="str">
        <f t="shared" si="110"/>
        <v>1ST-358-1630</v>
      </c>
      <c r="E1631" s="19" t="s">
        <v>551</v>
      </c>
      <c r="F1631" s="19">
        <f t="shared" si="109"/>
        <v>250</v>
      </c>
      <c r="G1631" s="19" t="str">
        <f t="shared" si="112"/>
        <v>ROLL</v>
      </c>
      <c r="H1631" s="14" t="s">
        <v>3418</v>
      </c>
      <c r="I1631" s="14" t="s">
        <v>441</v>
      </c>
    </row>
    <row r="1632" spans="1:9" x14ac:dyDescent="0.25">
      <c r="A1632" s="17" t="s">
        <v>320</v>
      </c>
      <c r="B1632" s="14" t="s">
        <v>92</v>
      </c>
      <c r="C1632" s="19" t="s">
        <v>3539</v>
      </c>
      <c r="D1632" s="14" t="str">
        <f t="shared" si="110"/>
        <v>1ST-358-1631</v>
      </c>
      <c r="E1632" s="19" t="s">
        <v>3431</v>
      </c>
      <c r="F1632" s="19">
        <f t="shared" si="109"/>
        <v>1450</v>
      </c>
      <c r="G1632" s="19" t="str">
        <f t="shared" si="112"/>
        <v>ROLL</v>
      </c>
      <c r="H1632" s="18" t="s">
        <v>3540</v>
      </c>
      <c r="I1632" s="14" t="s">
        <v>441</v>
      </c>
    </row>
    <row r="1633" spans="1:9" x14ac:dyDescent="0.25">
      <c r="A1633" s="17" t="s">
        <v>320</v>
      </c>
      <c r="B1633" s="14" t="s">
        <v>92</v>
      </c>
      <c r="C1633" s="19" t="s">
        <v>3541</v>
      </c>
      <c r="D1633" s="14" t="str">
        <f t="shared" si="110"/>
        <v>1ST-358-1632</v>
      </c>
      <c r="E1633" s="19" t="s">
        <v>2578</v>
      </c>
      <c r="F1633" s="19">
        <f t="shared" si="109"/>
        <v>1900</v>
      </c>
      <c r="G1633" s="19" t="str">
        <f t="shared" si="112"/>
        <v>ROLL</v>
      </c>
      <c r="H1633" s="18" t="s">
        <v>3542</v>
      </c>
      <c r="I1633" s="14" t="s">
        <v>441</v>
      </c>
    </row>
    <row r="1634" spans="1:9" x14ac:dyDescent="0.25">
      <c r="A1634" s="17" t="s">
        <v>320</v>
      </c>
      <c r="B1634" s="14" t="s">
        <v>91</v>
      </c>
      <c r="C1634" s="18" t="s">
        <v>3946</v>
      </c>
      <c r="D1634" s="14" t="str">
        <f t="shared" si="110"/>
        <v>1ST-358-1633</v>
      </c>
      <c r="E1634" s="19" t="s">
        <v>2599</v>
      </c>
      <c r="F1634" s="19">
        <f t="shared" si="109"/>
        <v>1750</v>
      </c>
      <c r="G1634" s="19" t="str">
        <f t="shared" si="112"/>
        <v>ROLL</v>
      </c>
      <c r="H1634" s="18" t="s">
        <v>3543</v>
      </c>
      <c r="I1634" s="14" t="s">
        <v>441</v>
      </c>
    </row>
    <row r="1635" spans="1:9" x14ac:dyDescent="0.25">
      <c r="A1635" s="17" t="s">
        <v>320</v>
      </c>
      <c r="B1635" s="14" t="s">
        <v>91</v>
      </c>
      <c r="C1635" s="18" t="s">
        <v>3947</v>
      </c>
      <c r="D1635" s="14" t="str">
        <f t="shared" si="110"/>
        <v>1ST-358-1634</v>
      </c>
      <c r="E1635" s="19" t="s">
        <v>3432</v>
      </c>
      <c r="F1635" s="19">
        <f t="shared" si="109"/>
        <v>2350</v>
      </c>
      <c r="G1635" s="19" t="str">
        <f t="shared" si="112"/>
        <v>ROLL</v>
      </c>
      <c r="H1635" s="18" t="s">
        <v>3544</v>
      </c>
      <c r="I1635" s="14" t="s">
        <v>441</v>
      </c>
    </row>
    <row r="1636" spans="1:9" ht="26.4" x14ac:dyDescent="0.25">
      <c r="A1636" s="17" t="s">
        <v>320</v>
      </c>
      <c r="B1636" s="14" t="s">
        <v>90</v>
      </c>
      <c r="C1636" s="18" t="s">
        <v>3433</v>
      </c>
      <c r="D1636" s="14" t="str">
        <f t="shared" si="110"/>
        <v>1ST-358-1635</v>
      </c>
      <c r="E1636" s="19" t="s">
        <v>3434</v>
      </c>
      <c r="F1636" s="19">
        <f t="shared" si="109"/>
        <v>5100</v>
      </c>
      <c r="G1636" s="19" t="str">
        <f t="shared" si="112"/>
        <v>ROLL</v>
      </c>
      <c r="H1636" s="18" t="s">
        <v>3583</v>
      </c>
      <c r="I1636" s="14" t="s">
        <v>441</v>
      </c>
    </row>
    <row r="1637" spans="1:9" ht="26.4" x14ac:dyDescent="0.25">
      <c r="A1637" s="17" t="s">
        <v>320</v>
      </c>
      <c r="B1637" s="14" t="s">
        <v>90</v>
      </c>
      <c r="C1637" s="18" t="s">
        <v>3435</v>
      </c>
      <c r="D1637" s="14" t="str">
        <f t="shared" si="110"/>
        <v>1ST-358-1636</v>
      </c>
      <c r="E1637" s="19" t="s">
        <v>3436</v>
      </c>
      <c r="F1637" s="19">
        <f t="shared" si="109"/>
        <v>6700</v>
      </c>
      <c r="G1637" s="19" t="str">
        <f t="shared" si="112"/>
        <v>ROLL</v>
      </c>
      <c r="H1637" s="18" t="s">
        <v>3584</v>
      </c>
      <c r="I1637" s="14" t="s">
        <v>441</v>
      </c>
    </row>
    <row r="1638" spans="1:9" ht="26.4" x14ac:dyDescent="0.25">
      <c r="A1638" s="17" t="s">
        <v>320</v>
      </c>
      <c r="B1638" s="14" t="s">
        <v>90</v>
      </c>
      <c r="C1638" s="18" t="s">
        <v>3437</v>
      </c>
      <c r="D1638" s="14" t="str">
        <f t="shared" si="110"/>
        <v>1ST-358-1637</v>
      </c>
      <c r="E1638" s="19" t="s">
        <v>3438</v>
      </c>
      <c r="F1638" s="19">
        <f t="shared" si="109"/>
        <v>2680</v>
      </c>
      <c r="G1638" s="19" t="str">
        <f t="shared" si="112"/>
        <v>ROLL</v>
      </c>
      <c r="H1638" s="18" t="s">
        <v>3585</v>
      </c>
      <c r="I1638" s="14" t="s">
        <v>441</v>
      </c>
    </row>
    <row r="1639" spans="1:9" ht="26.4" x14ac:dyDescent="0.25">
      <c r="A1639" s="17" t="s">
        <v>320</v>
      </c>
      <c r="B1639" s="14" t="s">
        <v>90</v>
      </c>
      <c r="C1639" s="18" t="s">
        <v>3439</v>
      </c>
      <c r="D1639" s="14" t="str">
        <f t="shared" si="110"/>
        <v>1ST-358-1638</v>
      </c>
      <c r="E1639" s="19" t="s">
        <v>3440</v>
      </c>
      <c r="F1639" s="19">
        <f t="shared" si="109"/>
        <v>3450</v>
      </c>
      <c r="G1639" s="19" t="str">
        <f t="shared" si="112"/>
        <v>ROLL</v>
      </c>
      <c r="H1639" s="18" t="s">
        <v>3586</v>
      </c>
      <c r="I1639" s="14" t="s">
        <v>441</v>
      </c>
    </row>
    <row r="1640" spans="1:9" x14ac:dyDescent="0.25">
      <c r="A1640" s="17" t="s">
        <v>320</v>
      </c>
      <c r="B1640" s="14" t="s">
        <v>89</v>
      </c>
      <c r="C1640" s="20" t="s">
        <v>3948</v>
      </c>
      <c r="D1640" s="14" t="str">
        <f t="shared" si="110"/>
        <v>1ST-358-1639</v>
      </c>
      <c r="E1640" s="14" t="s">
        <v>3420</v>
      </c>
      <c r="F1640" s="19">
        <f t="shared" ref="F1640:F1703" si="113">VALUE(LEFT(E1640,FIND("/",E1640)-1))</f>
        <v>610</v>
      </c>
      <c r="G1640" s="19" t="str">
        <f t="shared" si="112"/>
        <v>ROLL</v>
      </c>
      <c r="H1640" s="14" t="s">
        <v>3421</v>
      </c>
      <c r="I1640" s="14" t="s">
        <v>441</v>
      </c>
    </row>
    <row r="1641" spans="1:9" ht="26.4" x14ac:dyDescent="0.25">
      <c r="A1641" s="17" t="s">
        <v>320</v>
      </c>
      <c r="B1641" s="14" t="s">
        <v>88</v>
      </c>
      <c r="C1641" s="19" t="s">
        <v>3441</v>
      </c>
      <c r="D1641" s="14" t="str">
        <f t="shared" si="110"/>
        <v>1ST-358-1640</v>
      </c>
      <c r="E1641" s="19" t="s">
        <v>3442</v>
      </c>
      <c r="F1641" s="19">
        <f t="shared" si="113"/>
        <v>856</v>
      </c>
      <c r="G1641" s="19" t="str">
        <f t="shared" si="112"/>
        <v>ROLL</v>
      </c>
      <c r="H1641" s="18" t="s">
        <v>3587</v>
      </c>
      <c r="I1641" s="14" t="s">
        <v>441</v>
      </c>
    </row>
    <row r="1642" spans="1:9" ht="26.4" x14ac:dyDescent="0.25">
      <c r="A1642" s="17" t="s">
        <v>320</v>
      </c>
      <c r="B1642" s="14" t="s">
        <v>88</v>
      </c>
      <c r="C1642" s="19" t="s">
        <v>3443</v>
      </c>
      <c r="D1642" s="14" t="str">
        <f t="shared" si="110"/>
        <v>1ST-358-1641</v>
      </c>
      <c r="E1642" s="19" t="s">
        <v>3444</v>
      </c>
      <c r="F1642" s="19">
        <f t="shared" si="113"/>
        <v>1140</v>
      </c>
      <c r="G1642" s="19" t="str">
        <f t="shared" si="112"/>
        <v>ROLL</v>
      </c>
      <c r="H1642" s="18" t="s">
        <v>3588</v>
      </c>
      <c r="I1642" s="14" t="s">
        <v>441</v>
      </c>
    </row>
    <row r="1643" spans="1:9" ht="26.4" x14ac:dyDescent="0.25">
      <c r="A1643" s="17" t="s">
        <v>320</v>
      </c>
      <c r="B1643" s="14" t="s">
        <v>88</v>
      </c>
      <c r="C1643" s="19" t="s">
        <v>3445</v>
      </c>
      <c r="D1643" s="14" t="str">
        <f t="shared" si="110"/>
        <v>1ST-358-1642</v>
      </c>
      <c r="E1643" s="19" t="s">
        <v>3442</v>
      </c>
      <c r="F1643" s="19">
        <f t="shared" si="113"/>
        <v>856</v>
      </c>
      <c r="G1643" s="19" t="str">
        <f t="shared" si="112"/>
        <v>ROLL</v>
      </c>
      <c r="H1643" s="18" t="s">
        <v>3589</v>
      </c>
      <c r="I1643" s="14" t="s">
        <v>441</v>
      </c>
    </row>
    <row r="1644" spans="1:9" ht="26.4" x14ac:dyDescent="0.25">
      <c r="A1644" s="17" t="s">
        <v>320</v>
      </c>
      <c r="B1644" s="14" t="s">
        <v>88</v>
      </c>
      <c r="C1644" s="19" t="s">
        <v>3446</v>
      </c>
      <c r="D1644" s="14" t="str">
        <f t="shared" si="110"/>
        <v>1ST-358-1643</v>
      </c>
      <c r="E1644" s="19" t="s">
        <v>3444</v>
      </c>
      <c r="F1644" s="19">
        <f t="shared" si="113"/>
        <v>1140</v>
      </c>
      <c r="G1644" s="19" t="str">
        <f t="shared" si="112"/>
        <v>ROLL</v>
      </c>
      <c r="H1644" s="18" t="s">
        <v>3588</v>
      </c>
      <c r="I1644" s="14" t="s">
        <v>441</v>
      </c>
    </row>
    <row r="1645" spans="1:9" ht="26.4" x14ac:dyDescent="0.25">
      <c r="A1645" s="17" t="s">
        <v>320</v>
      </c>
      <c r="B1645" s="14" t="s">
        <v>88</v>
      </c>
      <c r="C1645" s="19" t="s">
        <v>3447</v>
      </c>
      <c r="D1645" s="14" t="str">
        <f t="shared" si="110"/>
        <v>1ST-358-1644</v>
      </c>
      <c r="E1645" s="19" t="s">
        <v>3448</v>
      </c>
      <c r="F1645" s="19">
        <f t="shared" si="113"/>
        <v>903</v>
      </c>
      <c r="G1645" s="19" t="str">
        <f t="shared" si="112"/>
        <v>ROLL</v>
      </c>
      <c r="H1645" s="18" t="s">
        <v>3590</v>
      </c>
      <c r="I1645" s="14" t="s">
        <v>441</v>
      </c>
    </row>
    <row r="1646" spans="1:9" x14ac:dyDescent="0.25">
      <c r="A1646" s="17" t="s">
        <v>320</v>
      </c>
      <c r="B1646" s="14" t="s">
        <v>88</v>
      </c>
      <c r="C1646" s="19" t="s">
        <v>3449</v>
      </c>
      <c r="D1646" s="14" t="str">
        <f t="shared" si="110"/>
        <v>1ST-358-1645</v>
      </c>
      <c r="E1646" s="19" t="s">
        <v>3450</v>
      </c>
      <c r="F1646" s="19">
        <f t="shared" si="113"/>
        <v>1207</v>
      </c>
      <c r="G1646" s="19" t="str">
        <f t="shared" si="112"/>
        <v>ROLL</v>
      </c>
      <c r="H1646" s="18" t="s">
        <v>3545</v>
      </c>
      <c r="I1646" s="14" t="s">
        <v>441</v>
      </c>
    </row>
    <row r="1647" spans="1:9" ht="26.4" x14ac:dyDescent="0.25">
      <c r="A1647" s="17" t="s">
        <v>320</v>
      </c>
      <c r="B1647" s="14" t="s">
        <v>88</v>
      </c>
      <c r="C1647" s="19" t="s">
        <v>3451</v>
      </c>
      <c r="D1647" s="14" t="str">
        <f t="shared" si="110"/>
        <v>1ST-358-1646</v>
      </c>
      <c r="E1647" s="19" t="s">
        <v>568</v>
      </c>
      <c r="F1647" s="19">
        <f t="shared" si="113"/>
        <v>1190</v>
      </c>
      <c r="G1647" s="19" t="str">
        <f t="shared" si="112"/>
        <v>ROLL</v>
      </c>
      <c r="H1647" s="18" t="s">
        <v>3591</v>
      </c>
      <c r="I1647" s="14" t="s">
        <v>441</v>
      </c>
    </row>
    <row r="1648" spans="1:9" ht="26.4" x14ac:dyDescent="0.25">
      <c r="A1648" s="17" t="s">
        <v>320</v>
      </c>
      <c r="B1648" s="14" t="s">
        <v>88</v>
      </c>
      <c r="C1648" s="19" t="s">
        <v>3452</v>
      </c>
      <c r="D1648" s="14" t="str">
        <f t="shared" si="110"/>
        <v>1ST-358-1647</v>
      </c>
      <c r="E1648" s="19" t="s">
        <v>3453</v>
      </c>
      <c r="F1648" s="19">
        <f t="shared" si="113"/>
        <v>1590</v>
      </c>
      <c r="G1648" s="19" t="str">
        <f t="shared" si="112"/>
        <v>ROLL</v>
      </c>
      <c r="H1648" s="18" t="s">
        <v>3592</v>
      </c>
      <c r="I1648" s="14" t="s">
        <v>441</v>
      </c>
    </row>
    <row r="1649" spans="1:9" ht="26.4" x14ac:dyDescent="0.25">
      <c r="A1649" s="17" t="s">
        <v>320</v>
      </c>
      <c r="B1649" s="14" t="s">
        <v>88</v>
      </c>
      <c r="C1649" s="19" t="s">
        <v>3454</v>
      </c>
      <c r="D1649" s="14" t="str">
        <f t="shared" si="110"/>
        <v>1ST-358-1648</v>
      </c>
      <c r="E1649" s="19" t="s">
        <v>3455</v>
      </c>
      <c r="F1649" s="19">
        <f t="shared" si="113"/>
        <v>1029</v>
      </c>
      <c r="G1649" s="19" t="str">
        <f t="shared" si="112"/>
        <v>ROLL</v>
      </c>
      <c r="H1649" s="18" t="s">
        <v>3593</v>
      </c>
      <c r="I1649" s="14" t="s">
        <v>441</v>
      </c>
    </row>
    <row r="1650" spans="1:9" ht="26.4" x14ac:dyDescent="0.25">
      <c r="A1650" s="17" t="s">
        <v>320</v>
      </c>
      <c r="B1650" s="14" t="s">
        <v>88</v>
      </c>
      <c r="C1650" s="19" t="s">
        <v>3456</v>
      </c>
      <c r="D1650" s="14" t="str">
        <f t="shared" si="110"/>
        <v>1ST-358-1649</v>
      </c>
      <c r="E1650" s="19" t="s">
        <v>3457</v>
      </c>
      <c r="F1650" s="19">
        <f t="shared" si="113"/>
        <v>966</v>
      </c>
      <c r="G1650" s="19" t="str">
        <f t="shared" si="112"/>
        <v>ROLL</v>
      </c>
      <c r="H1650" s="18" t="s">
        <v>3594</v>
      </c>
      <c r="I1650" s="14" t="s">
        <v>441</v>
      </c>
    </row>
    <row r="1651" spans="1:9" ht="26.4" x14ac:dyDescent="0.25">
      <c r="A1651" s="17" t="s">
        <v>320</v>
      </c>
      <c r="B1651" s="14" t="s">
        <v>88</v>
      </c>
      <c r="C1651" s="19" t="s">
        <v>3458</v>
      </c>
      <c r="D1651" s="14" t="str">
        <f t="shared" si="110"/>
        <v>1ST-358-1650</v>
      </c>
      <c r="E1651" s="19" t="s">
        <v>3459</v>
      </c>
      <c r="F1651" s="19">
        <f t="shared" si="113"/>
        <v>1292</v>
      </c>
      <c r="G1651" s="19" t="str">
        <f t="shared" si="112"/>
        <v>ROLL</v>
      </c>
      <c r="H1651" s="18" t="s">
        <v>3595</v>
      </c>
      <c r="I1651" s="14" t="s">
        <v>441</v>
      </c>
    </row>
    <row r="1652" spans="1:9" ht="26.4" x14ac:dyDescent="0.25">
      <c r="A1652" s="17" t="s">
        <v>320</v>
      </c>
      <c r="B1652" s="14" t="s">
        <v>88</v>
      </c>
      <c r="C1652" s="19" t="s">
        <v>3460</v>
      </c>
      <c r="D1652" s="14" t="str">
        <f t="shared" si="110"/>
        <v>1ST-358-1651</v>
      </c>
      <c r="E1652" s="19" t="s">
        <v>3461</v>
      </c>
      <c r="F1652" s="19">
        <f t="shared" si="113"/>
        <v>1481</v>
      </c>
      <c r="G1652" s="19" t="str">
        <f t="shared" si="112"/>
        <v>ROLL</v>
      </c>
      <c r="H1652" s="18" t="s">
        <v>3596</v>
      </c>
      <c r="I1652" s="14" t="s">
        <v>441</v>
      </c>
    </row>
    <row r="1653" spans="1:9" x14ac:dyDescent="0.25">
      <c r="A1653" s="17" t="s">
        <v>320</v>
      </c>
      <c r="B1653" s="14" t="s">
        <v>87</v>
      </c>
      <c r="C1653" s="19" t="s">
        <v>3462</v>
      </c>
      <c r="D1653" s="14" t="str">
        <f t="shared" si="110"/>
        <v>1ST-358-1652</v>
      </c>
      <c r="E1653" s="19" t="s">
        <v>3463</v>
      </c>
      <c r="F1653" s="19">
        <f t="shared" si="113"/>
        <v>7900</v>
      </c>
      <c r="G1653" s="19" t="str">
        <f t="shared" si="112"/>
        <v>ROLL</v>
      </c>
      <c r="H1653" s="14" t="s">
        <v>441</v>
      </c>
      <c r="I1653" s="14" t="s">
        <v>441</v>
      </c>
    </row>
    <row r="1654" spans="1:9" x14ac:dyDescent="0.25">
      <c r="A1654" s="17" t="s">
        <v>320</v>
      </c>
      <c r="B1654" s="14" t="s">
        <v>87</v>
      </c>
      <c r="C1654" s="19" t="s">
        <v>3464</v>
      </c>
      <c r="D1654" s="14" t="str">
        <f t="shared" si="110"/>
        <v>1ST-358-1653</v>
      </c>
      <c r="E1654" s="19" t="s">
        <v>3465</v>
      </c>
      <c r="F1654" s="19">
        <f t="shared" si="113"/>
        <v>7800</v>
      </c>
      <c r="G1654" s="19" t="str">
        <f t="shared" si="112"/>
        <v>ROLL</v>
      </c>
      <c r="H1654" s="14" t="s">
        <v>441</v>
      </c>
      <c r="I1654" s="14" t="s">
        <v>441</v>
      </c>
    </row>
    <row r="1655" spans="1:9" x14ac:dyDescent="0.25">
      <c r="A1655" s="17" t="s">
        <v>320</v>
      </c>
      <c r="B1655" s="14" t="s">
        <v>86</v>
      </c>
      <c r="C1655" s="18" t="s">
        <v>3546</v>
      </c>
      <c r="D1655" s="14" t="str">
        <f t="shared" si="110"/>
        <v>1ST-358-1654</v>
      </c>
      <c r="E1655" s="18" t="s">
        <v>547</v>
      </c>
      <c r="F1655" s="19">
        <f t="shared" si="113"/>
        <v>900</v>
      </c>
      <c r="G1655" s="19" t="str">
        <f t="shared" si="112"/>
        <v>ROLL</v>
      </c>
      <c r="H1655" s="14" t="s">
        <v>441</v>
      </c>
      <c r="I1655" s="14" t="s">
        <v>441</v>
      </c>
    </row>
    <row r="1656" spans="1:9" x14ac:dyDescent="0.25">
      <c r="A1656" s="17" t="s">
        <v>320</v>
      </c>
      <c r="B1656" s="14" t="s">
        <v>86</v>
      </c>
      <c r="C1656" s="18" t="s">
        <v>3547</v>
      </c>
      <c r="D1656" s="14" t="str">
        <f t="shared" si="110"/>
        <v>1ST-358-1655</v>
      </c>
      <c r="E1656" s="18" t="s">
        <v>2580</v>
      </c>
      <c r="F1656" s="19">
        <f t="shared" si="113"/>
        <v>920</v>
      </c>
      <c r="G1656" s="19" t="str">
        <f t="shared" si="112"/>
        <v>ROLL</v>
      </c>
      <c r="H1656" s="14" t="s">
        <v>441</v>
      </c>
      <c r="I1656" s="14" t="s">
        <v>441</v>
      </c>
    </row>
    <row r="1657" spans="1:9" ht="39.6" x14ac:dyDescent="0.25">
      <c r="A1657" s="17" t="s">
        <v>320</v>
      </c>
      <c r="B1657" s="14" t="s">
        <v>85</v>
      </c>
      <c r="C1657" s="19" t="s">
        <v>3466</v>
      </c>
      <c r="D1657" s="14" t="str">
        <f t="shared" si="110"/>
        <v>1ST-358-1656</v>
      </c>
      <c r="E1657" s="19" t="s">
        <v>673</v>
      </c>
      <c r="F1657" s="19">
        <f t="shared" si="113"/>
        <v>250</v>
      </c>
      <c r="G1657" s="19" t="str">
        <f t="shared" si="112"/>
        <v>PC</v>
      </c>
      <c r="H1657" s="20" t="s">
        <v>3422</v>
      </c>
      <c r="I1657" s="14" t="s">
        <v>441</v>
      </c>
    </row>
    <row r="1658" spans="1:9" ht="39.6" x14ac:dyDescent="0.25">
      <c r="A1658" s="17" t="s">
        <v>320</v>
      </c>
      <c r="B1658" s="14" t="s">
        <v>85</v>
      </c>
      <c r="C1658" s="19" t="s">
        <v>3467</v>
      </c>
      <c r="D1658" s="14" t="str">
        <f t="shared" si="110"/>
        <v>1ST-358-1657</v>
      </c>
      <c r="E1658" s="19" t="s">
        <v>740</v>
      </c>
      <c r="F1658" s="19">
        <f t="shared" si="113"/>
        <v>165</v>
      </c>
      <c r="G1658" s="19" t="str">
        <f t="shared" si="112"/>
        <v>PC</v>
      </c>
      <c r="H1658" s="20" t="s">
        <v>3422</v>
      </c>
      <c r="I1658" s="14" t="s">
        <v>441</v>
      </c>
    </row>
    <row r="1659" spans="1:9" ht="39.6" x14ac:dyDescent="0.25">
      <c r="A1659" s="17" t="s">
        <v>320</v>
      </c>
      <c r="B1659" s="14" t="s">
        <v>85</v>
      </c>
      <c r="C1659" s="19" t="s">
        <v>3468</v>
      </c>
      <c r="D1659" s="14" t="str">
        <f t="shared" si="110"/>
        <v>1ST-358-1658</v>
      </c>
      <c r="E1659" s="19" t="s">
        <v>495</v>
      </c>
      <c r="F1659" s="19">
        <f t="shared" si="113"/>
        <v>52</v>
      </c>
      <c r="G1659" s="19" t="str">
        <f t="shared" si="112"/>
        <v>PC</v>
      </c>
      <c r="H1659" s="20" t="s">
        <v>3423</v>
      </c>
      <c r="I1659" s="14" t="s">
        <v>441</v>
      </c>
    </row>
    <row r="1660" spans="1:9" ht="39.6" x14ac:dyDescent="0.25">
      <c r="A1660" s="17" t="s">
        <v>320</v>
      </c>
      <c r="B1660" s="14" t="s">
        <v>85</v>
      </c>
      <c r="C1660" s="19" t="s">
        <v>3469</v>
      </c>
      <c r="D1660" s="14" t="str">
        <f t="shared" si="110"/>
        <v>1ST-358-1659</v>
      </c>
      <c r="E1660" s="19" t="s">
        <v>495</v>
      </c>
      <c r="F1660" s="19">
        <f t="shared" si="113"/>
        <v>52</v>
      </c>
      <c r="G1660" s="19" t="str">
        <f t="shared" si="112"/>
        <v>PC</v>
      </c>
      <c r="H1660" s="20" t="s">
        <v>3423</v>
      </c>
      <c r="I1660" s="14" t="s">
        <v>441</v>
      </c>
    </row>
    <row r="1661" spans="1:9" x14ac:dyDescent="0.25">
      <c r="A1661" s="17" t="s">
        <v>320</v>
      </c>
      <c r="B1661" s="14" t="s">
        <v>85</v>
      </c>
      <c r="C1661" s="18" t="s">
        <v>3470</v>
      </c>
      <c r="D1661" s="14" t="str">
        <f t="shared" si="110"/>
        <v>1ST-358-1660</v>
      </c>
      <c r="E1661" s="19" t="s">
        <v>1138</v>
      </c>
      <c r="F1661" s="19">
        <f t="shared" si="113"/>
        <v>96</v>
      </c>
      <c r="G1661" s="19" t="str">
        <f t="shared" si="112"/>
        <v>PC</v>
      </c>
      <c r="H1661" s="14" t="s">
        <v>441</v>
      </c>
      <c r="I1661" s="14" t="s">
        <v>441</v>
      </c>
    </row>
    <row r="1662" spans="1:9" x14ac:dyDescent="0.25">
      <c r="A1662" s="17" t="s">
        <v>320</v>
      </c>
      <c r="B1662" s="14" t="s">
        <v>84</v>
      </c>
      <c r="C1662" s="18" t="s">
        <v>3548</v>
      </c>
      <c r="D1662" s="14" t="str">
        <f t="shared" si="110"/>
        <v>1ST-358-1661</v>
      </c>
      <c r="E1662" s="18" t="s">
        <v>914</v>
      </c>
      <c r="F1662" s="19">
        <f t="shared" si="113"/>
        <v>22.5</v>
      </c>
      <c r="G1662" s="19" t="str">
        <f t="shared" si="112"/>
        <v>PC</v>
      </c>
      <c r="H1662" s="14" t="s">
        <v>441</v>
      </c>
      <c r="I1662" s="14" t="s">
        <v>441</v>
      </c>
    </row>
    <row r="1663" spans="1:9" x14ac:dyDescent="0.25">
      <c r="A1663" s="17" t="s">
        <v>320</v>
      </c>
      <c r="B1663" s="14" t="s">
        <v>84</v>
      </c>
      <c r="C1663" s="18" t="s">
        <v>3549</v>
      </c>
      <c r="D1663" s="14" t="str">
        <f t="shared" si="110"/>
        <v>1ST-358-1662</v>
      </c>
      <c r="E1663" s="18" t="s">
        <v>904</v>
      </c>
      <c r="F1663" s="19">
        <f t="shared" si="113"/>
        <v>33</v>
      </c>
      <c r="G1663" s="19" t="str">
        <f t="shared" si="112"/>
        <v>PC</v>
      </c>
      <c r="H1663" s="14" t="s">
        <v>441</v>
      </c>
      <c r="I1663" s="14" t="s">
        <v>441</v>
      </c>
    </row>
    <row r="1664" spans="1:9" x14ac:dyDescent="0.25">
      <c r="A1664" s="17" t="s">
        <v>320</v>
      </c>
      <c r="B1664" s="14" t="s">
        <v>84</v>
      </c>
      <c r="C1664" s="18" t="s">
        <v>3550</v>
      </c>
      <c r="D1664" s="14" t="str">
        <f t="shared" si="110"/>
        <v>1ST-358-1663</v>
      </c>
      <c r="E1664" s="18" t="s">
        <v>1145</v>
      </c>
      <c r="F1664" s="19">
        <f t="shared" si="113"/>
        <v>46</v>
      </c>
      <c r="G1664" s="19" t="str">
        <f t="shared" si="112"/>
        <v>PC</v>
      </c>
      <c r="H1664" s="14" t="s">
        <v>441</v>
      </c>
      <c r="I1664" s="14" t="s">
        <v>441</v>
      </c>
    </row>
    <row r="1665" spans="1:9" x14ac:dyDescent="0.25">
      <c r="A1665" s="17" t="s">
        <v>320</v>
      </c>
      <c r="B1665" s="14" t="s">
        <v>84</v>
      </c>
      <c r="C1665" s="18" t="s">
        <v>3551</v>
      </c>
      <c r="D1665" s="14" t="str">
        <f t="shared" si="110"/>
        <v>1ST-358-1664</v>
      </c>
      <c r="E1665" s="18" t="s">
        <v>655</v>
      </c>
      <c r="F1665" s="19">
        <f t="shared" si="113"/>
        <v>95</v>
      </c>
      <c r="G1665" s="19" t="str">
        <f t="shared" si="112"/>
        <v>PC</v>
      </c>
      <c r="H1665" s="14" t="s">
        <v>441</v>
      </c>
      <c r="I1665" s="14" t="s">
        <v>441</v>
      </c>
    </row>
    <row r="1666" spans="1:9" ht="26.4" x14ac:dyDescent="0.25">
      <c r="A1666" s="17" t="s">
        <v>320</v>
      </c>
      <c r="B1666" s="14" t="s">
        <v>83</v>
      </c>
      <c r="C1666" s="18" t="s">
        <v>3597</v>
      </c>
      <c r="D1666" s="14" t="str">
        <f t="shared" si="110"/>
        <v>1ST-358-1665</v>
      </c>
      <c r="E1666" s="18" t="s">
        <v>904</v>
      </c>
      <c r="F1666" s="19">
        <f t="shared" si="113"/>
        <v>33</v>
      </c>
      <c r="G1666" s="19" t="str">
        <f t="shared" si="112"/>
        <v>PC</v>
      </c>
      <c r="H1666" s="18" t="s">
        <v>3598</v>
      </c>
      <c r="I1666" s="14" t="s">
        <v>441</v>
      </c>
    </row>
    <row r="1667" spans="1:9" x14ac:dyDescent="0.25">
      <c r="A1667" s="17" t="s">
        <v>320</v>
      </c>
      <c r="B1667" s="14" t="s">
        <v>83</v>
      </c>
      <c r="C1667" s="18" t="s">
        <v>3949</v>
      </c>
      <c r="D1667" s="14" t="str">
        <f t="shared" si="110"/>
        <v>1ST-358-1666</v>
      </c>
      <c r="E1667" s="18" t="s">
        <v>1151</v>
      </c>
      <c r="F1667" s="19">
        <f t="shared" si="113"/>
        <v>34</v>
      </c>
      <c r="G1667" s="19" t="str">
        <f t="shared" si="112"/>
        <v>PC</v>
      </c>
      <c r="H1667" s="18" t="s">
        <v>3552</v>
      </c>
      <c r="I1667" s="14" t="s">
        <v>441</v>
      </c>
    </row>
    <row r="1668" spans="1:9" x14ac:dyDescent="0.25">
      <c r="A1668" s="17" t="s">
        <v>320</v>
      </c>
      <c r="B1668" s="14" t="s">
        <v>82</v>
      </c>
      <c r="C1668" s="14" t="s">
        <v>3950</v>
      </c>
      <c r="D1668" s="14" t="str">
        <f t="shared" si="110"/>
        <v>1ST-358-1667</v>
      </c>
      <c r="E1668" s="14" t="s">
        <v>2505</v>
      </c>
      <c r="F1668" s="19">
        <f t="shared" si="113"/>
        <v>0.75</v>
      </c>
      <c r="G1668" s="19" t="str">
        <f t="shared" si="112"/>
        <v>PC</v>
      </c>
      <c r="H1668" s="14" t="s">
        <v>441</v>
      </c>
      <c r="I1668" s="14" t="s">
        <v>441</v>
      </c>
    </row>
    <row r="1669" spans="1:9" ht="26.4" x14ac:dyDescent="0.25">
      <c r="A1669" s="17" t="s">
        <v>320</v>
      </c>
      <c r="B1669" s="14" t="s">
        <v>81</v>
      </c>
      <c r="C1669" s="14" t="s">
        <v>3424</v>
      </c>
      <c r="D1669" s="14" t="str">
        <f t="shared" ref="D1669:D1729" si="114">LEFT($D$2,FIND("-",$D$2,FIND("-",$D$2)+1)) &amp; TEXT(RIGHT($D$2,3)+ROW(D1667),"000")</f>
        <v>1ST-358-1668</v>
      </c>
      <c r="E1669" s="14" t="s">
        <v>3425</v>
      </c>
      <c r="F1669" s="19">
        <f t="shared" si="113"/>
        <v>3.15</v>
      </c>
      <c r="G1669" s="19" t="str">
        <f t="shared" si="112"/>
        <v>PC</v>
      </c>
      <c r="H1669" s="20" t="s">
        <v>3426</v>
      </c>
      <c r="I1669" s="14" t="s">
        <v>441</v>
      </c>
    </row>
    <row r="1670" spans="1:9" ht="26.4" x14ac:dyDescent="0.25">
      <c r="A1670" s="17" t="s">
        <v>320</v>
      </c>
      <c r="B1670" s="14" t="s">
        <v>80</v>
      </c>
      <c r="C1670" s="19" t="s">
        <v>3471</v>
      </c>
      <c r="D1670" s="14" t="str">
        <f t="shared" si="114"/>
        <v>1ST-358-1669</v>
      </c>
      <c r="E1670" s="19" t="s">
        <v>3472</v>
      </c>
      <c r="F1670" s="19">
        <f t="shared" si="113"/>
        <v>0.22</v>
      </c>
      <c r="G1670" s="19" t="str">
        <f t="shared" si="112"/>
        <v>PC</v>
      </c>
      <c r="H1670" s="18" t="s">
        <v>3599</v>
      </c>
      <c r="I1670" s="14" t="s">
        <v>441</v>
      </c>
    </row>
    <row r="1671" spans="1:9" ht="26.4" x14ac:dyDescent="0.25">
      <c r="A1671" s="17" t="s">
        <v>320</v>
      </c>
      <c r="B1671" s="14" t="s">
        <v>80</v>
      </c>
      <c r="C1671" s="19" t="s">
        <v>3473</v>
      </c>
      <c r="D1671" s="14" t="str">
        <f t="shared" si="114"/>
        <v>1ST-358-1670</v>
      </c>
      <c r="E1671" s="19" t="s">
        <v>3474</v>
      </c>
      <c r="F1671" s="19">
        <f t="shared" si="113"/>
        <v>0.45</v>
      </c>
      <c r="G1671" s="19" t="str">
        <f t="shared" si="112"/>
        <v>PC</v>
      </c>
      <c r="H1671" s="18" t="s">
        <v>3600</v>
      </c>
      <c r="I1671" s="14" t="s">
        <v>441</v>
      </c>
    </row>
    <row r="1672" spans="1:9" ht="26.4" x14ac:dyDescent="0.25">
      <c r="A1672" s="17" t="s">
        <v>320</v>
      </c>
      <c r="B1672" s="14" t="s">
        <v>80</v>
      </c>
      <c r="C1672" s="19" t="s">
        <v>3475</v>
      </c>
      <c r="D1672" s="14" t="str">
        <f t="shared" si="114"/>
        <v>1ST-358-1671</v>
      </c>
      <c r="E1672" s="19" t="s">
        <v>3476</v>
      </c>
      <c r="F1672" s="19">
        <f t="shared" si="113"/>
        <v>0.5</v>
      </c>
      <c r="G1672" s="19" t="str">
        <f t="shared" si="112"/>
        <v>PC</v>
      </c>
      <c r="H1672" s="18" t="s">
        <v>3601</v>
      </c>
      <c r="I1672" s="14" t="s">
        <v>441</v>
      </c>
    </row>
    <row r="1673" spans="1:9" ht="26.4" x14ac:dyDescent="0.25">
      <c r="A1673" s="17" t="s">
        <v>320</v>
      </c>
      <c r="B1673" s="14" t="s">
        <v>80</v>
      </c>
      <c r="C1673" s="19" t="s">
        <v>3477</v>
      </c>
      <c r="D1673" s="14" t="str">
        <f t="shared" si="114"/>
        <v>1ST-358-1672</v>
      </c>
      <c r="E1673" s="19" t="s">
        <v>1239</v>
      </c>
      <c r="F1673" s="19">
        <f t="shared" si="113"/>
        <v>1.65</v>
      </c>
      <c r="G1673" s="19" t="str">
        <f t="shared" si="112"/>
        <v>PC</v>
      </c>
      <c r="H1673" s="18" t="s">
        <v>3602</v>
      </c>
      <c r="I1673" s="14" t="s">
        <v>441</v>
      </c>
    </row>
    <row r="1674" spans="1:9" x14ac:dyDescent="0.25">
      <c r="A1674" s="17" t="s">
        <v>320</v>
      </c>
      <c r="B1674" s="14" t="s">
        <v>79</v>
      </c>
      <c r="C1674" s="18" t="s">
        <v>3478</v>
      </c>
      <c r="D1674" s="14" t="str">
        <f t="shared" si="114"/>
        <v>1ST-358-1673</v>
      </c>
      <c r="E1674" s="18" t="s">
        <v>2470</v>
      </c>
      <c r="F1674" s="19">
        <f t="shared" si="113"/>
        <v>1.9</v>
      </c>
      <c r="G1674" s="19" t="str">
        <f t="shared" si="112"/>
        <v>PC</v>
      </c>
      <c r="H1674" s="18" t="s">
        <v>3553</v>
      </c>
      <c r="I1674" s="14" t="s">
        <v>441</v>
      </c>
    </row>
    <row r="1675" spans="1:9" x14ac:dyDescent="0.25">
      <c r="A1675" s="17" t="s">
        <v>320</v>
      </c>
      <c r="B1675" s="14" t="s">
        <v>79</v>
      </c>
      <c r="C1675" s="18" t="s">
        <v>3479</v>
      </c>
      <c r="D1675" s="14" t="str">
        <f t="shared" si="114"/>
        <v>1ST-358-1674</v>
      </c>
      <c r="E1675" s="18" t="s">
        <v>2004</v>
      </c>
      <c r="F1675" s="19">
        <f t="shared" si="113"/>
        <v>2</v>
      </c>
      <c r="G1675" s="19" t="str">
        <f t="shared" si="112"/>
        <v>PC</v>
      </c>
      <c r="H1675" s="18" t="s">
        <v>3554</v>
      </c>
      <c r="I1675" s="14" t="s">
        <v>441</v>
      </c>
    </row>
    <row r="1676" spans="1:9" x14ac:dyDescent="0.25">
      <c r="A1676" s="17" t="s">
        <v>320</v>
      </c>
      <c r="B1676" s="14" t="s">
        <v>78</v>
      </c>
      <c r="C1676" s="18" t="s">
        <v>3480</v>
      </c>
      <c r="D1676" s="14" t="str">
        <f t="shared" si="114"/>
        <v>1ST-358-1675</v>
      </c>
      <c r="E1676" s="18" t="s">
        <v>3481</v>
      </c>
      <c r="F1676" s="19">
        <f t="shared" si="113"/>
        <v>400</v>
      </c>
      <c r="G1676" s="19" t="str">
        <f t="shared" si="112"/>
        <v>BOX</v>
      </c>
      <c r="H1676" s="25" t="s">
        <v>3427</v>
      </c>
      <c r="I1676" s="25" t="s">
        <v>3427</v>
      </c>
    </row>
    <row r="1677" spans="1:9" x14ac:dyDescent="0.25">
      <c r="A1677" s="17" t="s">
        <v>320</v>
      </c>
      <c r="B1677" s="14" t="s">
        <v>78</v>
      </c>
      <c r="C1677" s="18" t="s">
        <v>3482</v>
      </c>
      <c r="D1677" s="14" t="str">
        <f t="shared" si="114"/>
        <v>1ST-358-1676</v>
      </c>
      <c r="E1677" s="18" t="s">
        <v>3483</v>
      </c>
      <c r="F1677" s="19">
        <f t="shared" si="113"/>
        <v>420</v>
      </c>
      <c r="G1677" s="19" t="str">
        <f t="shared" si="112"/>
        <v>BOX</v>
      </c>
      <c r="H1677" s="25" t="s">
        <v>3427</v>
      </c>
      <c r="I1677" s="25" t="s">
        <v>3427</v>
      </c>
    </row>
    <row r="1678" spans="1:9" x14ac:dyDescent="0.25">
      <c r="A1678" s="17" t="s">
        <v>320</v>
      </c>
      <c r="B1678" s="14" t="s">
        <v>78</v>
      </c>
      <c r="C1678" s="18" t="s">
        <v>3484</v>
      </c>
      <c r="D1678" s="14" t="str">
        <f t="shared" si="114"/>
        <v>1ST-358-1677</v>
      </c>
      <c r="E1678" s="18" t="s">
        <v>3485</v>
      </c>
      <c r="F1678" s="19">
        <f t="shared" si="113"/>
        <v>440</v>
      </c>
      <c r="G1678" s="19" t="str">
        <f t="shared" si="112"/>
        <v>BOX</v>
      </c>
      <c r="H1678" s="25" t="s">
        <v>3427</v>
      </c>
      <c r="I1678" s="25" t="s">
        <v>3427</v>
      </c>
    </row>
    <row r="1679" spans="1:9" x14ac:dyDescent="0.25">
      <c r="A1679" s="17" t="s">
        <v>320</v>
      </c>
      <c r="B1679" s="14" t="s">
        <v>78</v>
      </c>
      <c r="C1679" s="18" t="s">
        <v>3486</v>
      </c>
      <c r="D1679" s="14" t="str">
        <f t="shared" si="114"/>
        <v>1ST-358-1678</v>
      </c>
      <c r="E1679" s="18" t="s">
        <v>2537</v>
      </c>
      <c r="F1679" s="19">
        <f t="shared" si="113"/>
        <v>510</v>
      </c>
      <c r="G1679" s="19" t="str">
        <f t="shared" si="112"/>
        <v>BOX</v>
      </c>
      <c r="H1679" s="25" t="s">
        <v>3427</v>
      </c>
      <c r="I1679" s="25" t="s">
        <v>3427</v>
      </c>
    </row>
    <row r="1680" spans="1:9" x14ac:dyDescent="0.25">
      <c r="A1680" s="17" t="s">
        <v>320</v>
      </c>
      <c r="B1680" s="14" t="s">
        <v>78</v>
      </c>
      <c r="C1680" s="18" t="s">
        <v>3487</v>
      </c>
      <c r="D1680" s="14" t="str">
        <f t="shared" si="114"/>
        <v>1ST-358-1679</v>
      </c>
      <c r="E1680" s="18" t="s">
        <v>3488</v>
      </c>
      <c r="F1680" s="19">
        <f t="shared" si="113"/>
        <v>640</v>
      </c>
      <c r="G1680" s="19" t="str">
        <f t="shared" si="112"/>
        <v>BOX</v>
      </c>
      <c r="H1680" s="25" t="s">
        <v>3427</v>
      </c>
      <c r="I1680" s="25" t="s">
        <v>3427</v>
      </c>
    </row>
    <row r="1681" spans="1:9" x14ac:dyDescent="0.25">
      <c r="A1681" s="17" t="s">
        <v>320</v>
      </c>
      <c r="B1681" s="14" t="s">
        <v>78</v>
      </c>
      <c r="C1681" s="18" t="s">
        <v>3489</v>
      </c>
      <c r="D1681" s="14" t="str">
        <f t="shared" si="114"/>
        <v>1ST-358-1680</v>
      </c>
      <c r="E1681" s="18" t="s">
        <v>3490</v>
      </c>
      <c r="F1681" s="19">
        <f t="shared" si="113"/>
        <v>900</v>
      </c>
      <c r="G1681" s="19" t="str">
        <f t="shared" si="112"/>
        <v>BOX</v>
      </c>
      <c r="H1681" s="25" t="s">
        <v>3427</v>
      </c>
      <c r="I1681" s="25" t="s">
        <v>3427</v>
      </c>
    </row>
    <row r="1682" spans="1:9" x14ac:dyDescent="0.25">
      <c r="A1682" s="17" t="s">
        <v>320</v>
      </c>
      <c r="B1682" s="14" t="s">
        <v>78</v>
      </c>
      <c r="C1682" s="18" t="s">
        <v>3491</v>
      </c>
      <c r="D1682" s="14" t="str">
        <f t="shared" si="114"/>
        <v>1ST-358-1681</v>
      </c>
      <c r="E1682" s="18" t="s">
        <v>3492</v>
      </c>
      <c r="F1682" s="19">
        <f t="shared" si="113"/>
        <v>480</v>
      </c>
      <c r="G1682" s="19" t="str">
        <f t="shared" si="112"/>
        <v>BOX</v>
      </c>
      <c r="H1682" s="25" t="s">
        <v>3427</v>
      </c>
      <c r="I1682" s="25" t="s">
        <v>3427</v>
      </c>
    </row>
    <row r="1683" spans="1:9" x14ac:dyDescent="0.25">
      <c r="A1683" s="17" t="s">
        <v>320</v>
      </c>
      <c r="B1683" s="14" t="s">
        <v>78</v>
      </c>
      <c r="C1683" s="18" t="s">
        <v>3493</v>
      </c>
      <c r="D1683" s="14" t="str">
        <f t="shared" si="114"/>
        <v>1ST-358-1682</v>
      </c>
      <c r="E1683" s="18" t="s">
        <v>3494</v>
      </c>
      <c r="F1683" s="19">
        <f t="shared" si="113"/>
        <v>520</v>
      </c>
      <c r="G1683" s="19" t="str">
        <f t="shared" si="112"/>
        <v>BOX</v>
      </c>
      <c r="H1683" s="25" t="s">
        <v>3428</v>
      </c>
      <c r="I1683" s="25" t="s">
        <v>3428</v>
      </c>
    </row>
    <row r="1684" spans="1:9" x14ac:dyDescent="0.25">
      <c r="A1684" s="17" t="s">
        <v>320</v>
      </c>
      <c r="B1684" s="14" t="s">
        <v>78</v>
      </c>
      <c r="C1684" s="18" t="s">
        <v>3495</v>
      </c>
      <c r="D1684" s="14" t="str">
        <f t="shared" si="114"/>
        <v>1ST-358-1683</v>
      </c>
      <c r="E1684" s="18" t="s">
        <v>2551</v>
      </c>
      <c r="F1684" s="19">
        <f t="shared" si="113"/>
        <v>320</v>
      </c>
      <c r="G1684" s="19" t="str">
        <f t="shared" si="112"/>
        <v>BOX</v>
      </c>
      <c r="H1684" s="25" t="s">
        <v>3428</v>
      </c>
      <c r="I1684" s="25" t="s">
        <v>3428</v>
      </c>
    </row>
    <row r="1685" spans="1:9" x14ac:dyDescent="0.25">
      <c r="A1685" s="17" t="s">
        <v>320</v>
      </c>
      <c r="B1685" s="14" t="s">
        <v>78</v>
      </c>
      <c r="C1685" s="18" t="s">
        <v>3496</v>
      </c>
      <c r="D1685" s="14" t="str">
        <f t="shared" si="114"/>
        <v>1ST-358-1684</v>
      </c>
      <c r="E1685" s="18" t="s">
        <v>3497</v>
      </c>
      <c r="F1685" s="19">
        <f t="shared" si="113"/>
        <v>350</v>
      </c>
      <c r="G1685" s="19" t="str">
        <f t="shared" si="112"/>
        <v>BOX</v>
      </c>
      <c r="H1685" s="25" t="s">
        <v>3428</v>
      </c>
      <c r="I1685" s="25" t="s">
        <v>3428</v>
      </c>
    </row>
    <row r="1686" spans="1:9" x14ac:dyDescent="0.25">
      <c r="A1686" s="17" t="s">
        <v>320</v>
      </c>
      <c r="B1686" s="14" t="s">
        <v>78</v>
      </c>
      <c r="C1686" s="18" t="s">
        <v>3498</v>
      </c>
      <c r="D1686" s="14" t="str">
        <f t="shared" si="114"/>
        <v>1ST-358-1685</v>
      </c>
      <c r="E1686" s="18" t="s">
        <v>3499</v>
      </c>
      <c r="F1686" s="19">
        <f t="shared" si="113"/>
        <v>625</v>
      </c>
      <c r="G1686" s="19" t="str">
        <f t="shared" si="112"/>
        <v>BOX</v>
      </c>
      <c r="H1686" s="25" t="s">
        <v>3428</v>
      </c>
      <c r="I1686" s="25" t="s">
        <v>3428</v>
      </c>
    </row>
    <row r="1687" spans="1:9" x14ac:dyDescent="0.25">
      <c r="A1687" s="17" t="s">
        <v>320</v>
      </c>
      <c r="B1687" s="14" t="s">
        <v>78</v>
      </c>
      <c r="C1687" s="18" t="s">
        <v>3500</v>
      </c>
      <c r="D1687" s="14" t="str">
        <f t="shared" si="114"/>
        <v>1ST-358-1686</v>
      </c>
      <c r="E1687" s="18" t="s">
        <v>3501</v>
      </c>
      <c r="F1687" s="19">
        <f t="shared" si="113"/>
        <v>310</v>
      </c>
      <c r="G1687" s="19" t="str">
        <f t="shared" si="112"/>
        <v>BOX</v>
      </c>
      <c r="H1687" s="25" t="s">
        <v>3428</v>
      </c>
      <c r="I1687" s="25" t="s">
        <v>3428</v>
      </c>
    </row>
    <row r="1688" spans="1:9" x14ac:dyDescent="0.25">
      <c r="A1688" s="17" t="s">
        <v>320</v>
      </c>
      <c r="B1688" s="14" t="s">
        <v>78</v>
      </c>
      <c r="C1688" s="18" t="s">
        <v>3502</v>
      </c>
      <c r="D1688" s="14" t="str">
        <f t="shared" si="114"/>
        <v>1ST-358-1687</v>
      </c>
      <c r="E1688" s="18" t="s">
        <v>2553</v>
      </c>
      <c r="F1688" s="19">
        <f t="shared" si="113"/>
        <v>360</v>
      </c>
      <c r="G1688" s="19" t="str">
        <f t="shared" si="112"/>
        <v>BOX</v>
      </c>
      <c r="H1688" s="25" t="s">
        <v>3428</v>
      </c>
      <c r="I1688" s="25" t="s">
        <v>3428</v>
      </c>
    </row>
    <row r="1689" spans="1:9" x14ac:dyDescent="0.25">
      <c r="A1689" s="17" t="s">
        <v>320</v>
      </c>
      <c r="B1689" s="14" t="s">
        <v>78</v>
      </c>
      <c r="C1689" s="18" t="s">
        <v>3503</v>
      </c>
      <c r="D1689" s="14" t="str">
        <f t="shared" si="114"/>
        <v>1ST-358-1688</v>
      </c>
      <c r="E1689" s="18" t="s">
        <v>3485</v>
      </c>
      <c r="F1689" s="19">
        <f t="shared" si="113"/>
        <v>440</v>
      </c>
      <c r="G1689" s="19" t="str">
        <f t="shared" si="112"/>
        <v>BOX</v>
      </c>
      <c r="H1689" s="25" t="s">
        <v>3428</v>
      </c>
      <c r="I1689" s="25" t="s">
        <v>3428</v>
      </c>
    </row>
    <row r="1690" spans="1:9" x14ac:dyDescent="0.25">
      <c r="A1690" s="17" t="s">
        <v>320</v>
      </c>
      <c r="B1690" s="14" t="s">
        <v>78</v>
      </c>
      <c r="C1690" s="18" t="s">
        <v>3504</v>
      </c>
      <c r="D1690" s="14" t="str">
        <f t="shared" si="114"/>
        <v>1ST-358-1689</v>
      </c>
      <c r="E1690" s="18" t="s">
        <v>3492</v>
      </c>
      <c r="F1690" s="19">
        <f t="shared" si="113"/>
        <v>480</v>
      </c>
      <c r="G1690" s="19" t="str">
        <f t="shared" si="112"/>
        <v>BOX</v>
      </c>
      <c r="H1690" s="25" t="s">
        <v>3428</v>
      </c>
      <c r="I1690" s="25" t="s">
        <v>3428</v>
      </c>
    </row>
    <row r="1691" spans="1:9" x14ac:dyDescent="0.25">
      <c r="A1691" s="17" t="s">
        <v>320</v>
      </c>
      <c r="B1691" s="14" t="s">
        <v>78</v>
      </c>
      <c r="C1691" s="18" t="s">
        <v>3505</v>
      </c>
      <c r="D1691" s="14" t="str">
        <f t="shared" si="114"/>
        <v>1ST-358-1690</v>
      </c>
      <c r="E1691" s="18" t="s">
        <v>3506</v>
      </c>
      <c r="F1691" s="19">
        <f t="shared" si="113"/>
        <v>575</v>
      </c>
      <c r="G1691" s="19" t="str">
        <f t="shared" si="112"/>
        <v>BOX</v>
      </c>
      <c r="H1691" s="25" t="s">
        <v>3428</v>
      </c>
      <c r="I1691" s="25" t="s">
        <v>3428</v>
      </c>
    </row>
    <row r="1692" spans="1:9" ht="66" x14ac:dyDescent="0.25">
      <c r="A1692" s="17" t="s">
        <v>320</v>
      </c>
      <c r="B1692" s="14" t="s">
        <v>77</v>
      </c>
      <c r="C1692" s="18" t="s">
        <v>3555</v>
      </c>
      <c r="D1692" s="14" t="str">
        <f t="shared" si="114"/>
        <v>1ST-358-1691</v>
      </c>
      <c r="E1692" s="18" t="s">
        <v>3507</v>
      </c>
      <c r="F1692" s="19">
        <f t="shared" si="113"/>
        <v>50</v>
      </c>
      <c r="G1692" s="19" t="str">
        <f t="shared" ref="G1692:G1710" si="115">TRIM(MID(E1692,FIND("/",E1692)+1,LEN(E1692)))</f>
        <v>BOX</v>
      </c>
      <c r="H1692" s="20" t="s">
        <v>3429</v>
      </c>
      <c r="I1692" s="14" t="s">
        <v>441</v>
      </c>
    </row>
    <row r="1693" spans="1:9" ht="66" x14ac:dyDescent="0.25">
      <c r="A1693" s="17" t="s">
        <v>320</v>
      </c>
      <c r="B1693" s="14" t="s">
        <v>77</v>
      </c>
      <c r="C1693" s="18" t="s">
        <v>3556</v>
      </c>
      <c r="D1693" s="14" t="str">
        <f t="shared" si="114"/>
        <v>1ST-358-1692</v>
      </c>
      <c r="E1693" s="18" t="s">
        <v>2499</v>
      </c>
      <c r="F1693" s="19">
        <f t="shared" si="113"/>
        <v>55</v>
      </c>
      <c r="G1693" s="19" t="str">
        <f t="shared" si="115"/>
        <v>BOX</v>
      </c>
      <c r="H1693" s="20" t="s">
        <v>3429</v>
      </c>
      <c r="I1693" s="14" t="s">
        <v>441</v>
      </c>
    </row>
    <row r="1694" spans="1:9" ht="66" x14ac:dyDescent="0.25">
      <c r="A1694" s="17" t="s">
        <v>320</v>
      </c>
      <c r="B1694" s="14" t="s">
        <v>77</v>
      </c>
      <c r="C1694" s="18" t="s">
        <v>3557</v>
      </c>
      <c r="D1694" s="14" t="str">
        <f t="shared" si="114"/>
        <v>1ST-358-1693</v>
      </c>
      <c r="E1694" s="18" t="s">
        <v>2565</v>
      </c>
      <c r="F1694" s="19">
        <f t="shared" si="113"/>
        <v>66</v>
      </c>
      <c r="G1694" s="19" t="str">
        <f t="shared" si="115"/>
        <v>BOX</v>
      </c>
      <c r="H1694" s="20" t="s">
        <v>3429</v>
      </c>
      <c r="I1694" s="14" t="s">
        <v>441</v>
      </c>
    </row>
    <row r="1695" spans="1:9" ht="66" x14ac:dyDescent="0.25">
      <c r="A1695" s="17" t="s">
        <v>320</v>
      </c>
      <c r="B1695" s="14" t="s">
        <v>77</v>
      </c>
      <c r="C1695" s="18" t="s">
        <v>3558</v>
      </c>
      <c r="D1695" s="14" t="str">
        <f t="shared" si="114"/>
        <v>1ST-358-1694</v>
      </c>
      <c r="E1695" s="18" t="s">
        <v>3508</v>
      </c>
      <c r="F1695" s="19">
        <f t="shared" si="113"/>
        <v>69</v>
      </c>
      <c r="G1695" s="19" t="str">
        <f t="shared" si="115"/>
        <v>BOX</v>
      </c>
      <c r="H1695" s="20" t="s">
        <v>3429</v>
      </c>
      <c r="I1695" s="14" t="s">
        <v>441</v>
      </c>
    </row>
    <row r="1696" spans="1:9" ht="66" x14ac:dyDescent="0.25">
      <c r="A1696" s="17" t="s">
        <v>320</v>
      </c>
      <c r="B1696" s="14" t="s">
        <v>77</v>
      </c>
      <c r="C1696" s="18" t="s">
        <v>3559</v>
      </c>
      <c r="D1696" s="14" t="str">
        <f t="shared" si="114"/>
        <v>1ST-358-1695</v>
      </c>
      <c r="E1696" s="18" t="s">
        <v>3509</v>
      </c>
      <c r="F1696" s="19">
        <f t="shared" si="113"/>
        <v>97</v>
      </c>
      <c r="G1696" s="19" t="str">
        <f t="shared" si="115"/>
        <v>BOX</v>
      </c>
      <c r="H1696" s="20" t="s">
        <v>3429</v>
      </c>
      <c r="I1696" s="14" t="s">
        <v>441</v>
      </c>
    </row>
    <row r="1697" spans="1:9" ht="66" x14ac:dyDescent="0.25">
      <c r="A1697" s="17" t="s">
        <v>320</v>
      </c>
      <c r="B1697" s="14" t="s">
        <v>77</v>
      </c>
      <c r="C1697" s="18" t="s">
        <v>3560</v>
      </c>
      <c r="D1697" s="14" t="str">
        <f t="shared" si="114"/>
        <v>1ST-358-1696</v>
      </c>
      <c r="E1697" s="18" t="s">
        <v>3510</v>
      </c>
      <c r="F1697" s="19">
        <f t="shared" si="113"/>
        <v>71</v>
      </c>
      <c r="G1697" s="19" t="str">
        <f t="shared" si="115"/>
        <v>BOX</v>
      </c>
      <c r="H1697" s="20" t="s">
        <v>3429</v>
      </c>
      <c r="I1697" s="14" t="s">
        <v>441</v>
      </c>
    </row>
    <row r="1698" spans="1:9" ht="66" x14ac:dyDescent="0.25">
      <c r="A1698" s="17" t="s">
        <v>320</v>
      </c>
      <c r="B1698" s="14" t="s">
        <v>77</v>
      </c>
      <c r="C1698" s="18" t="s">
        <v>3561</v>
      </c>
      <c r="D1698" s="14" t="str">
        <f t="shared" si="114"/>
        <v>1ST-358-1697</v>
      </c>
      <c r="E1698" s="18" t="s">
        <v>3511</v>
      </c>
      <c r="F1698" s="19">
        <f t="shared" si="113"/>
        <v>72</v>
      </c>
      <c r="G1698" s="19" t="str">
        <f t="shared" si="115"/>
        <v>BOX</v>
      </c>
      <c r="H1698" s="20" t="s">
        <v>3429</v>
      </c>
      <c r="I1698" s="14" t="s">
        <v>441</v>
      </c>
    </row>
    <row r="1699" spans="1:9" ht="66" x14ac:dyDescent="0.25">
      <c r="A1699" s="17" t="s">
        <v>320</v>
      </c>
      <c r="B1699" s="14" t="s">
        <v>77</v>
      </c>
      <c r="C1699" s="18" t="s">
        <v>3562</v>
      </c>
      <c r="D1699" s="14" t="str">
        <f t="shared" si="114"/>
        <v>1ST-358-1698</v>
      </c>
      <c r="E1699" s="18" t="s">
        <v>3512</v>
      </c>
      <c r="F1699" s="19">
        <f t="shared" si="113"/>
        <v>45</v>
      </c>
      <c r="G1699" s="19" t="str">
        <f t="shared" si="115"/>
        <v>BOX</v>
      </c>
      <c r="H1699" s="20" t="s">
        <v>3429</v>
      </c>
      <c r="I1699" s="14" t="s">
        <v>441</v>
      </c>
    </row>
    <row r="1700" spans="1:9" ht="66" x14ac:dyDescent="0.25">
      <c r="A1700" s="17" t="s">
        <v>320</v>
      </c>
      <c r="B1700" s="14" t="s">
        <v>77</v>
      </c>
      <c r="C1700" s="18" t="s">
        <v>3563</v>
      </c>
      <c r="D1700" s="14" t="str">
        <f t="shared" si="114"/>
        <v>1ST-358-1699</v>
      </c>
      <c r="E1700" s="18" t="s">
        <v>3507</v>
      </c>
      <c r="F1700" s="19">
        <f t="shared" si="113"/>
        <v>50</v>
      </c>
      <c r="G1700" s="19" t="str">
        <f t="shared" si="115"/>
        <v>BOX</v>
      </c>
      <c r="H1700" s="20" t="s">
        <v>3429</v>
      </c>
      <c r="I1700" s="14" t="s">
        <v>441</v>
      </c>
    </row>
    <row r="1701" spans="1:9" ht="66" x14ac:dyDescent="0.25">
      <c r="A1701" s="17" t="s">
        <v>320</v>
      </c>
      <c r="B1701" s="14" t="s">
        <v>77</v>
      </c>
      <c r="C1701" s="18" t="s">
        <v>3564</v>
      </c>
      <c r="D1701" s="14" t="str">
        <f t="shared" si="114"/>
        <v>1ST-358-1700</v>
      </c>
      <c r="E1701" s="18" t="s">
        <v>3513</v>
      </c>
      <c r="F1701" s="19">
        <f t="shared" si="113"/>
        <v>64</v>
      </c>
      <c r="G1701" s="19" t="str">
        <f t="shared" si="115"/>
        <v>BOX</v>
      </c>
      <c r="H1701" s="20" t="s">
        <v>3429</v>
      </c>
      <c r="I1701" s="14" t="s">
        <v>441</v>
      </c>
    </row>
    <row r="1702" spans="1:9" ht="66" x14ac:dyDescent="0.25">
      <c r="A1702" s="17" t="s">
        <v>320</v>
      </c>
      <c r="B1702" s="14" t="s">
        <v>77</v>
      </c>
      <c r="C1702" s="18" t="s">
        <v>3565</v>
      </c>
      <c r="D1702" s="14" t="str">
        <f t="shared" si="114"/>
        <v>1ST-358-1701</v>
      </c>
      <c r="E1702" s="18" t="s">
        <v>3514</v>
      </c>
      <c r="F1702" s="19">
        <f t="shared" si="113"/>
        <v>56</v>
      </c>
      <c r="G1702" s="19" t="str">
        <f t="shared" si="115"/>
        <v>BOX</v>
      </c>
      <c r="H1702" s="20" t="s">
        <v>3429</v>
      </c>
      <c r="I1702" s="14" t="s">
        <v>441</v>
      </c>
    </row>
    <row r="1703" spans="1:9" ht="66" x14ac:dyDescent="0.25">
      <c r="A1703" s="17" t="s">
        <v>320</v>
      </c>
      <c r="B1703" s="14" t="s">
        <v>77</v>
      </c>
      <c r="C1703" s="18" t="s">
        <v>3566</v>
      </c>
      <c r="D1703" s="14" t="str">
        <f t="shared" si="114"/>
        <v>1ST-358-1702</v>
      </c>
      <c r="E1703" s="18" t="s">
        <v>3515</v>
      </c>
      <c r="F1703" s="19">
        <f t="shared" si="113"/>
        <v>60</v>
      </c>
      <c r="G1703" s="19" t="str">
        <f t="shared" si="115"/>
        <v>BOX</v>
      </c>
      <c r="H1703" s="20" t="s">
        <v>3429</v>
      </c>
      <c r="I1703" s="14" t="s">
        <v>441</v>
      </c>
    </row>
    <row r="1704" spans="1:9" ht="66" x14ac:dyDescent="0.25">
      <c r="A1704" s="17" t="s">
        <v>320</v>
      </c>
      <c r="B1704" s="14" t="s">
        <v>77</v>
      </c>
      <c r="C1704" s="18" t="s">
        <v>3567</v>
      </c>
      <c r="D1704" s="14" t="str">
        <f t="shared" si="114"/>
        <v>1ST-358-1703</v>
      </c>
      <c r="E1704" s="18" t="s">
        <v>3516</v>
      </c>
      <c r="F1704" s="19">
        <f t="shared" ref="F1704:F1729" si="116">VALUE(LEFT(E1704,FIND("/",E1704)-1))</f>
        <v>65</v>
      </c>
      <c r="G1704" s="19" t="str">
        <f t="shared" si="115"/>
        <v>BOX</v>
      </c>
      <c r="H1704" s="20" t="s">
        <v>3429</v>
      </c>
      <c r="I1704" s="14" t="s">
        <v>441</v>
      </c>
    </row>
    <row r="1705" spans="1:9" ht="66" x14ac:dyDescent="0.25">
      <c r="A1705" s="17" t="s">
        <v>320</v>
      </c>
      <c r="B1705" s="14" t="s">
        <v>77</v>
      </c>
      <c r="C1705" s="18" t="s">
        <v>3568</v>
      </c>
      <c r="D1705" s="14" t="str">
        <f t="shared" si="114"/>
        <v>1ST-358-1704</v>
      </c>
      <c r="E1705" s="18" t="s">
        <v>3517</v>
      </c>
      <c r="F1705" s="19">
        <f t="shared" si="116"/>
        <v>70</v>
      </c>
      <c r="G1705" s="19" t="str">
        <f t="shared" si="115"/>
        <v>BOX</v>
      </c>
      <c r="H1705" s="20" t="s">
        <v>3429</v>
      </c>
      <c r="I1705" s="14" t="s">
        <v>441</v>
      </c>
    </row>
    <row r="1706" spans="1:9" ht="66" x14ac:dyDescent="0.25">
      <c r="A1706" s="17" t="s">
        <v>320</v>
      </c>
      <c r="B1706" s="14" t="s">
        <v>77</v>
      </c>
      <c r="C1706" s="18" t="s">
        <v>3569</v>
      </c>
      <c r="D1706" s="14" t="str">
        <f t="shared" si="114"/>
        <v>1ST-358-1705</v>
      </c>
      <c r="E1706" s="18" t="s">
        <v>3518</v>
      </c>
      <c r="F1706" s="19">
        <f t="shared" si="116"/>
        <v>86</v>
      </c>
      <c r="G1706" s="19" t="str">
        <f t="shared" si="115"/>
        <v>BOX</v>
      </c>
      <c r="H1706" s="20" t="s">
        <v>3429</v>
      </c>
      <c r="I1706" s="14" t="s">
        <v>441</v>
      </c>
    </row>
    <row r="1707" spans="1:9" ht="39.6" x14ac:dyDescent="0.25">
      <c r="A1707" s="17" t="s">
        <v>320</v>
      </c>
      <c r="B1707" s="14" t="s">
        <v>76</v>
      </c>
      <c r="C1707" s="18" t="s">
        <v>3951</v>
      </c>
      <c r="D1707" s="14" t="str">
        <f t="shared" si="114"/>
        <v>1ST-358-1706</v>
      </c>
      <c r="E1707" s="19" t="s">
        <v>2413</v>
      </c>
      <c r="F1707" s="19">
        <f t="shared" si="116"/>
        <v>1950</v>
      </c>
      <c r="G1707" s="19" t="str">
        <f t="shared" si="115"/>
        <v>ROLL</v>
      </c>
      <c r="H1707" s="18" t="s">
        <v>3603</v>
      </c>
      <c r="I1707" s="14" t="s">
        <v>441</v>
      </c>
    </row>
    <row r="1708" spans="1:9" ht="39.6" x14ac:dyDescent="0.25">
      <c r="A1708" s="17" t="s">
        <v>320</v>
      </c>
      <c r="B1708" s="14" t="s">
        <v>76</v>
      </c>
      <c r="C1708" s="18" t="s">
        <v>3952</v>
      </c>
      <c r="D1708" s="14" t="str">
        <f t="shared" si="114"/>
        <v>1ST-358-1707</v>
      </c>
      <c r="E1708" s="19" t="s">
        <v>3519</v>
      </c>
      <c r="F1708" s="19">
        <f t="shared" si="116"/>
        <v>2250</v>
      </c>
      <c r="G1708" s="19" t="str">
        <f t="shared" si="115"/>
        <v>ROLL</v>
      </c>
      <c r="H1708" s="18" t="s">
        <v>3604</v>
      </c>
      <c r="I1708" s="14" t="s">
        <v>441</v>
      </c>
    </row>
    <row r="1709" spans="1:9" ht="26.4" x14ac:dyDescent="0.25">
      <c r="A1709" s="17" t="s">
        <v>320</v>
      </c>
      <c r="B1709" s="14" t="s">
        <v>76</v>
      </c>
      <c r="C1709" s="18" t="s">
        <v>3570</v>
      </c>
      <c r="D1709" s="14" t="str">
        <f t="shared" si="114"/>
        <v>1ST-358-1708</v>
      </c>
      <c r="E1709" s="19" t="s">
        <v>3520</v>
      </c>
      <c r="F1709" s="19">
        <f t="shared" si="116"/>
        <v>2950</v>
      </c>
      <c r="G1709" s="19" t="str">
        <f t="shared" si="115"/>
        <v>ROLL</v>
      </c>
      <c r="H1709" s="18" t="s">
        <v>3605</v>
      </c>
      <c r="I1709" s="14" t="s">
        <v>441</v>
      </c>
    </row>
    <row r="1710" spans="1:9" ht="39.6" x14ac:dyDescent="0.25">
      <c r="A1710" s="17" t="s">
        <v>320</v>
      </c>
      <c r="B1710" s="14" t="s">
        <v>76</v>
      </c>
      <c r="C1710" s="18" t="s">
        <v>3571</v>
      </c>
      <c r="D1710" s="14" t="str">
        <f t="shared" si="114"/>
        <v>1ST-358-1709</v>
      </c>
      <c r="E1710" s="19" t="s">
        <v>3521</v>
      </c>
      <c r="F1710" s="19">
        <f t="shared" si="116"/>
        <v>4300</v>
      </c>
      <c r="G1710" s="19" t="str">
        <f t="shared" si="115"/>
        <v>ROLL</v>
      </c>
      <c r="H1710" s="18" t="s">
        <v>3606</v>
      </c>
      <c r="I1710" s="14" t="s">
        <v>441</v>
      </c>
    </row>
    <row r="1711" spans="1:9" ht="26.4" x14ac:dyDescent="0.25">
      <c r="A1711" s="17" t="s">
        <v>320</v>
      </c>
      <c r="B1711" s="14" t="s">
        <v>75</v>
      </c>
      <c r="C1711" s="19" t="s">
        <v>3572</v>
      </c>
      <c r="D1711" s="14" t="str">
        <f t="shared" si="114"/>
        <v>1ST-358-1710</v>
      </c>
      <c r="E1711" s="19" t="s">
        <v>2413</v>
      </c>
      <c r="F1711" s="19">
        <f t="shared" si="116"/>
        <v>1950</v>
      </c>
      <c r="G1711" s="19" t="str">
        <f t="shared" ref="G1711:G1729" si="117">TRIM(MID(E1711,FIND("/",E1711)+1,LEN(E1711)))</f>
        <v>ROLL</v>
      </c>
      <c r="H1711" s="18" t="s">
        <v>3607</v>
      </c>
      <c r="I1711" s="14" t="s">
        <v>441</v>
      </c>
    </row>
    <row r="1712" spans="1:9" ht="26.4" x14ac:dyDescent="0.25">
      <c r="A1712" s="17" t="s">
        <v>320</v>
      </c>
      <c r="B1712" s="14" t="s">
        <v>75</v>
      </c>
      <c r="C1712" s="19" t="s">
        <v>3573</v>
      </c>
      <c r="D1712" s="14" t="str">
        <f t="shared" si="114"/>
        <v>1ST-358-1711</v>
      </c>
      <c r="E1712" s="19" t="s">
        <v>3520</v>
      </c>
      <c r="F1712" s="19">
        <f t="shared" si="116"/>
        <v>2950</v>
      </c>
      <c r="G1712" s="19" t="str">
        <f t="shared" si="117"/>
        <v>ROLL</v>
      </c>
      <c r="H1712" s="18" t="s">
        <v>3608</v>
      </c>
      <c r="I1712" s="14" t="s">
        <v>441</v>
      </c>
    </row>
    <row r="1713" spans="1:9" ht="26.4" x14ac:dyDescent="0.25">
      <c r="A1713" s="17" t="s">
        <v>320</v>
      </c>
      <c r="B1713" s="14" t="s">
        <v>75</v>
      </c>
      <c r="C1713" s="19" t="s">
        <v>3574</v>
      </c>
      <c r="D1713" s="14" t="str">
        <f t="shared" si="114"/>
        <v>1ST-358-1712</v>
      </c>
      <c r="E1713" s="19" t="s">
        <v>3521</v>
      </c>
      <c r="F1713" s="19">
        <f t="shared" si="116"/>
        <v>4300</v>
      </c>
      <c r="G1713" s="19" t="str">
        <f t="shared" si="117"/>
        <v>ROLL</v>
      </c>
      <c r="H1713" s="18" t="s">
        <v>3609</v>
      </c>
      <c r="I1713" s="14" t="s">
        <v>441</v>
      </c>
    </row>
    <row r="1714" spans="1:9" x14ac:dyDescent="0.25">
      <c r="A1714" s="17" t="s">
        <v>320</v>
      </c>
      <c r="B1714" s="14" t="s">
        <v>74</v>
      </c>
      <c r="C1714" s="19" t="s">
        <v>3526</v>
      </c>
      <c r="D1714" s="14" t="str">
        <f t="shared" si="114"/>
        <v>1ST-358-1713</v>
      </c>
      <c r="E1714" s="19" t="s">
        <v>3527</v>
      </c>
      <c r="F1714" s="19">
        <f t="shared" si="116"/>
        <v>820</v>
      </c>
      <c r="G1714" s="19" t="str">
        <f t="shared" si="117"/>
        <v>ROLL</v>
      </c>
      <c r="H1714" s="18" t="s">
        <v>3575</v>
      </c>
      <c r="I1714" s="14" t="s">
        <v>441</v>
      </c>
    </row>
    <row r="1715" spans="1:9" x14ac:dyDescent="0.25">
      <c r="A1715" s="17" t="s">
        <v>320</v>
      </c>
      <c r="B1715" s="14" t="s">
        <v>74</v>
      </c>
      <c r="C1715" s="19" t="s">
        <v>3528</v>
      </c>
      <c r="D1715" s="14" t="str">
        <f t="shared" si="114"/>
        <v>1ST-358-1714</v>
      </c>
      <c r="E1715" s="19" t="s">
        <v>3431</v>
      </c>
      <c r="F1715" s="19">
        <f t="shared" si="116"/>
        <v>1450</v>
      </c>
      <c r="G1715" s="19" t="str">
        <f t="shared" si="117"/>
        <v>ROLL</v>
      </c>
      <c r="H1715" s="18" t="s">
        <v>3576</v>
      </c>
      <c r="I1715" s="14" t="s">
        <v>441</v>
      </c>
    </row>
    <row r="1716" spans="1:9" x14ac:dyDescent="0.25">
      <c r="A1716" s="17" t="s">
        <v>320</v>
      </c>
      <c r="B1716" s="14" t="s">
        <v>73</v>
      </c>
      <c r="C1716" s="18" t="s">
        <v>3529</v>
      </c>
      <c r="D1716" s="14" t="str">
        <f t="shared" si="114"/>
        <v>1ST-358-1715</v>
      </c>
      <c r="E1716" s="18" t="s">
        <v>3530</v>
      </c>
      <c r="F1716" s="19">
        <f t="shared" si="116"/>
        <v>12.5</v>
      </c>
      <c r="G1716" s="19" t="str">
        <f t="shared" si="117"/>
        <v>PC</v>
      </c>
      <c r="H1716" s="18" t="s">
        <v>3577</v>
      </c>
      <c r="I1716" s="14" t="s">
        <v>441</v>
      </c>
    </row>
    <row r="1717" spans="1:9" ht="26.4" x14ac:dyDescent="0.25">
      <c r="A1717" s="17" t="s">
        <v>320</v>
      </c>
      <c r="B1717" s="14" t="s">
        <v>73</v>
      </c>
      <c r="C1717" s="18" t="s">
        <v>3531</v>
      </c>
      <c r="D1717" s="14" t="str">
        <f t="shared" si="114"/>
        <v>1ST-358-1716</v>
      </c>
      <c r="E1717" s="18" t="s">
        <v>909</v>
      </c>
      <c r="F1717" s="19">
        <f t="shared" si="116"/>
        <v>18</v>
      </c>
      <c r="G1717" s="19" t="str">
        <f t="shared" si="117"/>
        <v>PC</v>
      </c>
      <c r="H1717" s="18" t="s">
        <v>3610</v>
      </c>
      <c r="I1717" s="14" t="s">
        <v>441</v>
      </c>
    </row>
    <row r="1718" spans="1:9" ht="26.4" x14ac:dyDescent="0.25">
      <c r="A1718" s="17" t="s">
        <v>320</v>
      </c>
      <c r="B1718" s="14" t="s">
        <v>73</v>
      </c>
      <c r="C1718" s="18" t="s">
        <v>3532</v>
      </c>
      <c r="D1718" s="14" t="str">
        <f t="shared" si="114"/>
        <v>1ST-358-1717</v>
      </c>
      <c r="E1718" s="18" t="s">
        <v>1153</v>
      </c>
      <c r="F1718" s="19">
        <f t="shared" si="116"/>
        <v>23</v>
      </c>
      <c r="G1718" s="19" t="str">
        <f t="shared" si="117"/>
        <v>PC</v>
      </c>
      <c r="H1718" s="18" t="s">
        <v>3611</v>
      </c>
      <c r="I1718" s="14" t="s">
        <v>441</v>
      </c>
    </row>
    <row r="1719" spans="1:9" ht="145.19999999999999" x14ac:dyDescent="0.25">
      <c r="A1719" s="17" t="s">
        <v>320</v>
      </c>
      <c r="B1719" s="14" t="s">
        <v>72</v>
      </c>
      <c r="C1719" s="19" t="s">
        <v>3578</v>
      </c>
      <c r="D1719" s="14" t="str">
        <f t="shared" si="114"/>
        <v>1ST-358-1718</v>
      </c>
      <c r="E1719" s="19" t="s">
        <v>1196</v>
      </c>
      <c r="F1719" s="19">
        <f t="shared" si="116"/>
        <v>72</v>
      </c>
      <c r="G1719" s="19" t="str">
        <f t="shared" si="117"/>
        <v>PC</v>
      </c>
      <c r="H1719" s="20" t="s">
        <v>3522</v>
      </c>
      <c r="I1719" s="14" t="s">
        <v>441</v>
      </c>
    </row>
    <row r="1720" spans="1:9" ht="145.19999999999999" x14ac:dyDescent="0.25">
      <c r="A1720" s="17" t="s">
        <v>320</v>
      </c>
      <c r="B1720" s="14" t="s">
        <v>72</v>
      </c>
      <c r="C1720" s="20" t="s">
        <v>3579</v>
      </c>
      <c r="D1720" s="14" t="str">
        <f t="shared" si="114"/>
        <v>1ST-358-1719</v>
      </c>
      <c r="E1720" s="18" t="s">
        <v>1196</v>
      </c>
      <c r="F1720" s="19">
        <f t="shared" si="116"/>
        <v>72</v>
      </c>
      <c r="G1720" s="19" t="str">
        <f t="shared" si="117"/>
        <v>PC</v>
      </c>
      <c r="H1720" s="20" t="s">
        <v>3522</v>
      </c>
      <c r="I1720" s="14" t="s">
        <v>441</v>
      </c>
    </row>
    <row r="1721" spans="1:9" ht="145.19999999999999" x14ac:dyDescent="0.25">
      <c r="A1721" s="17" t="s">
        <v>320</v>
      </c>
      <c r="B1721" s="14" t="s">
        <v>72</v>
      </c>
      <c r="C1721" s="18" t="s">
        <v>3580</v>
      </c>
      <c r="D1721" s="14" t="str">
        <f t="shared" si="114"/>
        <v>1ST-358-1720</v>
      </c>
      <c r="E1721" s="18" t="s">
        <v>1196</v>
      </c>
      <c r="F1721" s="19">
        <f t="shared" si="116"/>
        <v>72</v>
      </c>
      <c r="G1721" s="19" t="str">
        <f t="shared" si="117"/>
        <v>PC</v>
      </c>
      <c r="H1721" s="20" t="s">
        <v>3522</v>
      </c>
      <c r="I1721" s="14" t="s">
        <v>441</v>
      </c>
    </row>
    <row r="1722" spans="1:9" ht="145.19999999999999" x14ac:dyDescent="0.25">
      <c r="A1722" s="17" t="s">
        <v>320</v>
      </c>
      <c r="B1722" s="14" t="s">
        <v>72</v>
      </c>
      <c r="C1722" s="18" t="s">
        <v>3581</v>
      </c>
      <c r="D1722" s="14" t="str">
        <f t="shared" si="114"/>
        <v>1ST-358-1721</v>
      </c>
      <c r="E1722" s="18" t="s">
        <v>1196</v>
      </c>
      <c r="F1722" s="19">
        <f t="shared" si="116"/>
        <v>72</v>
      </c>
      <c r="G1722" s="19" t="str">
        <f t="shared" si="117"/>
        <v>PC</v>
      </c>
      <c r="H1722" s="20" t="s">
        <v>3522</v>
      </c>
      <c r="I1722" s="14" t="s">
        <v>441</v>
      </c>
    </row>
    <row r="1723" spans="1:9" ht="145.19999999999999" x14ac:dyDescent="0.25">
      <c r="A1723" s="17" t="s">
        <v>320</v>
      </c>
      <c r="B1723" s="14" t="s">
        <v>72</v>
      </c>
      <c r="C1723" s="19" t="s">
        <v>3582</v>
      </c>
      <c r="D1723" s="14" t="str">
        <f t="shared" si="114"/>
        <v>1ST-358-1722</v>
      </c>
      <c r="E1723" s="18" t="s">
        <v>1196</v>
      </c>
      <c r="F1723" s="19">
        <f t="shared" si="116"/>
        <v>72</v>
      </c>
      <c r="G1723" s="19" t="str">
        <f t="shared" si="117"/>
        <v>PC</v>
      </c>
      <c r="H1723" s="20" t="s">
        <v>3522</v>
      </c>
      <c r="I1723" s="14" t="s">
        <v>441</v>
      </c>
    </row>
    <row r="1724" spans="1:9" ht="26.4" x14ac:dyDescent="0.25">
      <c r="A1724" s="17" t="s">
        <v>320</v>
      </c>
      <c r="B1724" s="14" t="s">
        <v>71</v>
      </c>
      <c r="C1724" s="14" t="s">
        <v>2002</v>
      </c>
      <c r="D1724" s="14" t="str">
        <f t="shared" si="114"/>
        <v>1ST-358-1723</v>
      </c>
      <c r="E1724" s="14" t="s">
        <v>700</v>
      </c>
      <c r="F1724" s="19">
        <f t="shared" si="116"/>
        <v>65</v>
      </c>
      <c r="G1724" s="19" t="str">
        <f t="shared" si="117"/>
        <v>PC</v>
      </c>
      <c r="H1724" s="20" t="s">
        <v>2003</v>
      </c>
      <c r="I1724" s="14" t="s">
        <v>441</v>
      </c>
    </row>
    <row r="1725" spans="1:9" x14ac:dyDescent="0.25">
      <c r="A1725" s="17" t="s">
        <v>320</v>
      </c>
      <c r="B1725" s="14" t="s">
        <v>52</v>
      </c>
      <c r="C1725" s="18" t="s">
        <v>3533</v>
      </c>
      <c r="D1725" s="14" t="str">
        <f t="shared" si="114"/>
        <v>1ST-358-1724</v>
      </c>
      <c r="E1725" s="18" t="s">
        <v>3534</v>
      </c>
      <c r="F1725" s="19">
        <f t="shared" si="116"/>
        <v>1888</v>
      </c>
      <c r="G1725" s="19" t="str">
        <f t="shared" si="117"/>
        <v>PC</v>
      </c>
      <c r="H1725" s="14" t="s">
        <v>441</v>
      </c>
      <c r="I1725" s="25" t="s">
        <v>3523</v>
      </c>
    </row>
    <row r="1726" spans="1:9" x14ac:dyDescent="0.25">
      <c r="A1726" s="17" t="s">
        <v>320</v>
      </c>
      <c r="B1726" s="14" t="s">
        <v>52</v>
      </c>
      <c r="C1726" s="18" t="s">
        <v>3953</v>
      </c>
      <c r="D1726" s="14" t="str">
        <f t="shared" si="114"/>
        <v>1ST-358-1725</v>
      </c>
      <c r="E1726" s="18" t="s">
        <v>3534</v>
      </c>
      <c r="F1726" s="19">
        <f t="shared" si="116"/>
        <v>1888</v>
      </c>
      <c r="G1726" s="19" t="str">
        <f t="shared" si="117"/>
        <v>PC</v>
      </c>
      <c r="H1726" s="14" t="s">
        <v>441</v>
      </c>
      <c r="I1726" s="25" t="s">
        <v>3523</v>
      </c>
    </row>
    <row r="1727" spans="1:9" x14ac:dyDescent="0.25">
      <c r="A1727" s="17" t="s">
        <v>320</v>
      </c>
      <c r="B1727" s="14" t="s">
        <v>52</v>
      </c>
      <c r="C1727" s="18" t="s">
        <v>3535</v>
      </c>
      <c r="D1727" s="14" t="str">
        <f t="shared" si="114"/>
        <v>1ST-358-1726</v>
      </c>
      <c r="E1727" s="18" t="s">
        <v>3534</v>
      </c>
      <c r="F1727" s="19">
        <f t="shared" si="116"/>
        <v>1888</v>
      </c>
      <c r="G1727" s="19" t="str">
        <f t="shared" si="117"/>
        <v>PC</v>
      </c>
      <c r="H1727" s="14" t="s">
        <v>441</v>
      </c>
      <c r="I1727" s="25" t="s">
        <v>3523</v>
      </c>
    </row>
    <row r="1728" spans="1:9" x14ac:dyDescent="0.25">
      <c r="A1728" s="17" t="s">
        <v>320</v>
      </c>
      <c r="B1728" s="14" t="s">
        <v>52</v>
      </c>
      <c r="C1728" s="18" t="s">
        <v>3536</v>
      </c>
      <c r="D1728" s="14" t="str">
        <f t="shared" si="114"/>
        <v>1ST-358-1727</v>
      </c>
      <c r="E1728" s="18" t="s">
        <v>3534</v>
      </c>
      <c r="F1728" s="19">
        <f t="shared" si="116"/>
        <v>1888</v>
      </c>
      <c r="G1728" s="19" t="str">
        <f t="shared" si="117"/>
        <v>PC</v>
      </c>
      <c r="H1728" s="14" t="s">
        <v>441</v>
      </c>
      <c r="I1728" s="25" t="s">
        <v>3523</v>
      </c>
    </row>
    <row r="1729" spans="1:9" x14ac:dyDescent="0.25">
      <c r="A1729" s="17" t="s">
        <v>320</v>
      </c>
      <c r="B1729" s="14" t="s">
        <v>52</v>
      </c>
      <c r="C1729" s="18" t="s">
        <v>3537</v>
      </c>
      <c r="D1729" s="14" t="str">
        <f t="shared" si="114"/>
        <v>1ST-358-1728</v>
      </c>
      <c r="E1729" s="18" t="s">
        <v>3534</v>
      </c>
      <c r="F1729" s="19">
        <f t="shared" si="116"/>
        <v>1888</v>
      </c>
      <c r="G1729" s="19" t="str">
        <f t="shared" si="117"/>
        <v>PC</v>
      </c>
      <c r="H1729" s="14" t="s">
        <v>441</v>
      </c>
      <c r="I1729" s="25" t="s">
        <v>3523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E089E-C4BB-42CD-8880-01A3564BA604}">
  <dimension ref="A1:P1199"/>
  <sheetViews>
    <sheetView topLeftCell="F1" workbookViewId="0">
      <pane ySplit="1" topLeftCell="A155" activePane="bottomLeft" state="frozen"/>
      <selection pane="bottomLeft" activeCell="D174" sqref="D174:D175"/>
    </sheetView>
  </sheetViews>
  <sheetFormatPr defaultRowHeight="13.2" x14ac:dyDescent="0.25"/>
  <cols>
    <col min="1" max="1" width="13.109375" style="13" bestFit="1" customWidth="1"/>
    <col min="2" max="2" width="12.77734375" style="13" customWidth="1"/>
    <col min="3" max="3" width="47.33203125" style="13" bestFit="1" customWidth="1"/>
    <col min="4" max="4" width="70.88671875" style="13" bestFit="1" customWidth="1"/>
    <col min="5" max="5" width="61.77734375" style="13" hidden="1" customWidth="1"/>
    <col min="6" max="6" width="59.109375" style="13" customWidth="1"/>
    <col min="7" max="7" width="15.6640625" style="13" hidden="1" customWidth="1"/>
    <col min="8" max="8" width="14.33203125" style="13" hidden="1" customWidth="1"/>
    <col min="9" max="9" width="22.5546875" style="13" customWidth="1"/>
    <col min="10" max="10" width="13.44140625" style="13" customWidth="1"/>
    <col min="11" max="11" width="10.109375" style="13" bestFit="1" customWidth="1"/>
    <col min="12" max="12" width="8.109375" style="13" bestFit="1" customWidth="1"/>
    <col min="13" max="13" width="15" style="13" bestFit="1" customWidth="1"/>
    <col min="14" max="14" width="8.88671875" style="13"/>
    <col min="15" max="15" width="15.88671875" style="13" customWidth="1"/>
    <col min="16" max="16" width="12.6640625" style="13" customWidth="1"/>
    <col min="17" max="16384" width="8.88671875" style="13"/>
  </cols>
  <sheetData>
    <row r="1" spans="1:16" s="33" customFormat="1" ht="37.799999999999997" x14ac:dyDescent="0.2">
      <c r="A1" s="27" t="s">
        <v>3959</v>
      </c>
      <c r="B1" s="28" t="s">
        <v>3954</v>
      </c>
      <c r="C1" s="28" t="s">
        <v>494</v>
      </c>
      <c r="D1" s="28" t="s">
        <v>3955</v>
      </c>
      <c r="E1" s="28" t="s">
        <v>3630</v>
      </c>
      <c r="F1" s="28" t="s">
        <v>736</v>
      </c>
      <c r="G1" s="28" t="s">
        <v>724</v>
      </c>
      <c r="H1" s="28" t="s">
        <v>725</v>
      </c>
      <c r="I1" s="28" t="s">
        <v>3619</v>
      </c>
      <c r="J1" s="28" t="s">
        <v>484</v>
      </c>
      <c r="K1" s="28" t="s">
        <v>3956</v>
      </c>
      <c r="L1" s="28" t="s">
        <v>726</v>
      </c>
      <c r="M1" s="28" t="s">
        <v>3957</v>
      </c>
      <c r="N1" s="28" t="s">
        <v>737</v>
      </c>
      <c r="O1" s="29" t="s">
        <v>437</v>
      </c>
      <c r="P1" s="29" t="s">
        <v>438</v>
      </c>
    </row>
    <row r="2" spans="1:16" x14ac:dyDescent="0.25">
      <c r="A2" s="13" t="s">
        <v>727</v>
      </c>
      <c r="B2" s="13" t="str">
        <f>VLOOKUP(D2,'SUPPLIER_ITEMS (1st Tools)'!C2:D1729,2,FALSE)</f>
        <v>1ST-358-001</v>
      </c>
      <c r="C2" s="14" t="s">
        <v>0</v>
      </c>
      <c r="D2" s="18" t="s">
        <v>440</v>
      </c>
      <c r="E2" s="30" t="str">
        <f>TRIM(SUBSTITUTE(SUBSTITUTE(D2,CHAR(10)," "),CHAR(13)," "))</f>
        <v>PL22050-1 STAINLESS BASKET STRAINER 2-1/2 DUPLEX STRAINER</v>
      </c>
      <c r="F2" s="30" t="str">
        <f>"AV"&amp;RIGHT(D2,LEN(D2)-2)</f>
        <v>AV22050-1 STAINLESS BASKET STRAINER 2-1/2 DUPLEX STRAINER</v>
      </c>
      <c r="I2" s="31" t="str">
        <f>VLOOKUP(D2,'[1]NEW PRICE LIST'!$C$4:$D$1917,2,FALSE)</f>
        <v>100PCS/CTN</v>
      </c>
      <c r="J2" s="13" t="s">
        <v>300</v>
      </c>
      <c r="K2" s="32">
        <f>VLOOKUP(D2,'[1]NEW PRICE LIST'!$C$4:$H$1917,3,FALSE)</f>
        <v>85</v>
      </c>
      <c r="L2" s="13">
        <v>100</v>
      </c>
      <c r="M2" s="13">
        <v>0</v>
      </c>
      <c r="N2" s="13">
        <v>0</v>
      </c>
    </row>
    <row r="3" spans="1:16" x14ac:dyDescent="0.25">
      <c r="A3" s="14" t="str">
        <f>"AVT"&amp;TEXT(RIGHT(A2,LEN(A2)-3)+1,"0000000")</f>
        <v>AVT0000002</v>
      </c>
      <c r="B3" s="13" t="str">
        <f>VLOOKUP(D3,'SUPPLIER_ITEMS (1st Tools)'!C3:D1730,2,FALSE)</f>
        <v>1ST-358-002</v>
      </c>
      <c r="C3" s="14" t="s">
        <v>0</v>
      </c>
      <c r="D3" s="18" t="s">
        <v>3958</v>
      </c>
      <c r="E3" s="30" t="str">
        <f t="shared" ref="E3:E63" si="0">TRIM(SUBSTITUTE(SUBSTITUTE(D3,CHAR(10)," "),CHAR(13)," "))</f>
        <v>PL22050-2 (LTSN011) STAINLESS BASKET STRAINER 4-1/2</v>
      </c>
      <c r="F3" s="30" t="str">
        <f t="shared" ref="F3:F63" si="1">"AV"&amp;RIGHT(D3,LEN(D3)-2)</f>
        <v>AV22050-2 (LTSN011) STAINLESS BASKET STRAINER 4-1/2</v>
      </c>
      <c r="I3" s="31" t="str">
        <f>VLOOKUP(D3,'[1]NEW PRICE LIST'!$C$4:$D$1917,2,FALSE)</f>
        <v>60PCS/CTN</v>
      </c>
      <c r="J3" s="13" t="s">
        <v>300</v>
      </c>
      <c r="K3" s="32">
        <f>VLOOKUP(D3,'[1]NEW PRICE LIST'!$C$4:$H$1917,3,FALSE)</f>
        <v>150</v>
      </c>
      <c r="L3" s="13">
        <v>100</v>
      </c>
      <c r="M3" s="13">
        <v>0</v>
      </c>
      <c r="N3" s="13">
        <v>0</v>
      </c>
    </row>
    <row r="4" spans="1:16" x14ac:dyDescent="0.25">
      <c r="A4" s="14" t="str">
        <f t="shared" ref="A4:A67" si="2">"AVT"&amp;TEXT(RIGHT(A3,LEN(A3)-3)+1,"0000000")</f>
        <v>AVT0000003</v>
      </c>
      <c r="B4" s="13" t="str">
        <f>VLOOKUP(D4,'SUPPLIER_ITEMS (1st Tools)'!C5:D1732,2,FALSE)</f>
        <v>1ST-358-004</v>
      </c>
      <c r="C4" s="14" t="s">
        <v>0</v>
      </c>
      <c r="D4" s="19" t="s">
        <v>497</v>
      </c>
      <c r="E4" s="30" t="str">
        <f t="shared" si="0"/>
        <v>PL22150-2 4''*4 POLONET STAINLESS STRAINER</v>
      </c>
      <c r="F4" s="30" t="str">
        <f t="shared" si="1"/>
        <v>AV22150-2 4''*4 POLONET STAINLESS STRAINER</v>
      </c>
      <c r="I4" s="31" t="str">
        <f>VLOOKUP(D4,'[1]NEW PRICE LIST'!$C$4:$D$1917,2,FALSE)</f>
        <v>72PCS/CTN</v>
      </c>
      <c r="J4" s="13" t="s">
        <v>300</v>
      </c>
      <c r="K4" s="32">
        <f>VLOOKUP(D4,'[1]NEW PRICE LIST'!$C$4:$H$1917,3,FALSE)</f>
        <v>45</v>
      </c>
      <c r="L4" s="13">
        <v>100</v>
      </c>
      <c r="M4" s="13">
        <v>0</v>
      </c>
      <c r="N4" s="13">
        <v>0</v>
      </c>
    </row>
    <row r="5" spans="1:16" x14ac:dyDescent="0.25">
      <c r="A5" s="14" t="str">
        <f t="shared" si="2"/>
        <v>AVT0000004</v>
      </c>
      <c r="B5" s="13" t="str">
        <f>VLOOKUP(D5,'SUPPLIER_ITEMS (1st Tools)'!C8:D1735,2,FALSE)</f>
        <v>1ST-358-007</v>
      </c>
      <c r="C5" s="14" t="s">
        <v>295</v>
      </c>
      <c r="D5" s="18" t="s">
        <v>501</v>
      </c>
      <c r="E5" s="30" t="str">
        <f t="shared" si="0"/>
        <v>PL22040-00 STAINLESS KITCHEN SINK 15"*20</v>
      </c>
      <c r="F5" s="30" t="str">
        <f t="shared" si="1"/>
        <v>AV22040-00 STAINLESS KITCHEN SINK 15"*20</v>
      </c>
      <c r="I5" s="31" t="str">
        <f>VLOOKUP(D5,'[1]NEW PRICE LIST'!$C$4:$D$1917,2,FALSE)</f>
        <v>20PCS/CTN</v>
      </c>
      <c r="J5" s="13" t="s">
        <v>300</v>
      </c>
      <c r="K5" s="32">
        <f>VLOOKUP(D5,'[1]NEW PRICE LIST'!$C$4:$H$1917,3,FALSE)</f>
        <v>340</v>
      </c>
      <c r="L5" s="13">
        <v>100</v>
      </c>
      <c r="M5" s="13">
        <v>0</v>
      </c>
      <c r="N5" s="13">
        <v>0</v>
      </c>
    </row>
    <row r="6" spans="1:16" x14ac:dyDescent="0.25">
      <c r="A6" s="14" t="str">
        <f t="shared" si="2"/>
        <v>AVT0000005</v>
      </c>
      <c r="B6" s="13" t="str">
        <f>VLOOKUP(D6,'SUPPLIER_ITEMS (1st Tools)'!C9:D1736,2,FALSE)</f>
        <v>1ST-358-008</v>
      </c>
      <c r="C6" s="14" t="s">
        <v>295</v>
      </c>
      <c r="D6" s="19" t="s">
        <v>502</v>
      </c>
      <c r="E6" s="30" t="str">
        <f t="shared" si="0"/>
        <v>PL22040-01 STAINLESS KITCHEN SINK 16"*24"</v>
      </c>
      <c r="F6" s="30" t="str">
        <f t="shared" si="1"/>
        <v>AV22040-01 STAINLESS KITCHEN SINK 16"*24"</v>
      </c>
      <c r="I6" s="31" t="str">
        <f>VLOOKUP(D6,'[1]NEW PRICE LIST'!$C$4:$D$1917,2,FALSE)</f>
        <v>20PCS/CTN</v>
      </c>
      <c r="J6" s="13" t="s">
        <v>300</v>
      </c>
      <c r="K6" s="32">
        <f>VLOOKUP(D6,'[1]NEW PRICE LIST'!$C$4:$H$1917,3,FALSE)</f>
        <v>360</v>
      </c>
      <c r="L6" s="13">
        <v>100</v>
      </c>
      <c r="M6" s="13">
        <v>0</v>
      </c>
      <c r="N6" s="13">
        <v>0</v>
      </c>
    </row>
    <row r="7" spans="1:16" x14ac:dyDescent="0.25">
      <c r="A7" s="14" t="str">
        <f t="shared" si="2"/>
        <v>AVT0000006</v>
      </c>
      <c r="B7" s="13" t="str">
        <f>VLOOKUP(D7,'SUPPLIER_ITEMS (1st Tools)'!C10:D1737,2,FALSE)</f>
        <v>1ST-358-009</v>
      </c>
      <c r="C7" s="14" t="s">
        <v>295</v>
      </c>
      <c r="D7" s="18" t="s">
        <v>448</v>
      </c>
      <c r="E7" s="30" t="str">
        <f t="shared" si="0"/>
        <v>PL22041-00 21"*17"*6.5 PLAIN STAINLESS KITCHEN SINK</v>
      </c>
      <c r="F7" s="30" t="str">
        <f t="shared" si="1"/>
        <v>AV22041-00 21"*17"*6.5 PLAIN STAINLESS KITCHEN SINK</v>
      </c>
      <c r="I7" s="31" t="str">
        <f>VLOOKUP(D7,'[1]NEW PRICE LIST'!$C$4:$D$1917,2,FALSE)</f>
        <v>10PCS/CTN</v>
      </c>
      <c r="J7" s="13" t="s">
        <v>300</v>
      </c>
      <c r="K7" s="32">
        <f>VLOOKUP(D7,'[1]NEW PRICE LIST'!$C$4:$H$1917,3,FALSE)</f>
        <v>450</v>
      </c>
      <c r="L7" s="13">
        <v>100</v>
      </c>
      <c r="M7" s="13">
        <v>0</v>
      </c>
      <c r="N7" s="13">
        <v>0</v>
      </c>
    </row>
    <row r="8" spans="1:16" x14ac:dyDescent="0.25">
      <c r="A8" s="14" t="str">
        <f t="shared" si="2"/>
        <v>AVT0000007</v>
      </c>
      <c r="B8" s="13" t="str">
        <f>VLOOKUP(D8,'SUPPLIER_ITEMS (1st Tools)'!C11:D1738,2,FALSE)</f>
        <v>1ST-358-010</v>
      </c>
      <c r="C8" s="14" t="s">
        <v>295</v>
      </c>
      <c r="D8" s="18" t="s">
        <v>505</v>
      </c>
      <c r="E8" s="30" t="str">
        <f t="shared" si="0"/>
        <v>PL22041-01 30"*16"*5"RIGHT DRAIN STAINLESS KITCHEN SINK</v>
      </c>
      <c r="F8" s="30" t="str">
        <f t="shared" si="1"/>
        <v>AV22041-01 30"*16"*5"RIGHT DRAIN STAINLESS KITCHEN SINK</v>
      </c>
      <c r="I8" s="31" t="str">
        <f>VLOOKUP(D8,'[1]NEW PRICE LIST'!$C$4:$D$1917,2,FALSE)</f>
        <v>10PCS/CTN</v>
      </c>
      <c r="J8" s="13" t="s">
        <v>300</v>
      </c>
      <c r="K8" s="32">
        <f>VLOOKUP(D8,'[1]NEW PRICE LIST'!$C$4:$H$1917,3,FALSE)</f>
        <v>590</v>
      </c>
      <c r="L8" s="13">
        <v>100</v>
      </c>
      <c r="M8" s="13">
        <v>0</v>
      </c>
      <c r="N8" s="13">
        <v>0</v>
      </c>
    </row>
    <row r="9" spans="1:16" x14ac:dyDescent="0.25">
      <c r="A9" s="14" t="str">
        <f t="shared" si="2"/>
        <v>AVT0000008</v>
      </c>
      <c r="B9" s="13" t="str">
        <f>VLOOKUP(D9,'SUPPLIER_ITEMS (1st Tools)'!C12:D1739,2,FALSE)</f>
        <v>1ST-358-011</v>
      </c>
      <c r="C9" s="14" t="s">
        <v>295</v>
      </c>
      <c r="D9" s="18" t="s">
        <v>507</v>
      </c>
      <c r="E9" s="30" t="str">
        <f t="shared" si="0"/>
        <v>PL22041-02 30"*16"*5"-LEFT DRAIN STAINLESS KITCHEN SINK</v>
      </c>
      <c r="F9" s="30" t="str">
        <f t="shared" si="1"/>
        <v>AV22041-02 30"*16"*5"-LEFT DRAIN STAINLESS KITCHEN SINK</v>
      </c>
      <c r="I9" s="31" t="str">
        <f>VLOOKUP(D9,'[1]NEW PRICE LIST'!$C$4:$D$1917,2,FALSE)</f>
        <v>10PCS/CTN</v>
      </c>
      <c r="J9" s="13" t="s">
        <v>300</v>
      </c>
      <c r="K9" s="32">
        <f>VLOOKUP(D9,'[1]NEW PRICE LIST'!$C$4:$H$1917,3,FALSE)</f>
        <v>590</v>
      </c>
      <c r="L9" s="13">
        <v>100</v>
      </c>
      <c r="M9" s="13">
        <v>0</v>
      </c>
      <c r="N9" s="13">
        <v>0</v>
      </c>
    </row>
    <row r="10" spans="1:16" x14ac:dyDescent="0.25">
      <c r="A10" s="14" t="str">
        <f t="shared" si="2"/>
        <v>AVT0000009</v>
      </c>
      <c r="B10" s="13" t="str">
        <f>VLOOKUP(D10,'SUPPLIER_ITEMS (1st Tools)'!C13:D1740,2,FALSE)</f>
        <v>1ST-358-012</v>
      </c>
      <c r="C10" s="14" t="s">
        <v>295</v>
      </c>
      <c r="D10" s="18" t="s">
        <v>508</v>
      </c>
      <c r="E10" s="30" t="str">
        <f t="shared" si="0"/>
        <v>PL22041-03 30"*18"*7" RIGHT DRAIN STAINLESS KITCHEN SINK</v>
      </c>
      <c r="F10" s="30" t="str">
        <f t="shared" si="1"/>
        <v>AV22041-03 30"*18"*7" RIGHT DRAIN STAINLESS KITCHEN SINK</v>
      </c>
      <c r="I10" s="31" t="str">
        <f>VLOOKUP(D10,'[1]NEW PRICE LIST'!$C$4:$D$1917,2,FALSE)</f>
        <v>10PCS/CTN</v>
      </c>
      <c r="J10" s="13" t="s">
        <v>300</v>
      </c>
      <c r="K10" s="32">
        <f>VLOOKUP(D10,'[1]NEW PRICE LIST'!$C$4:$H$1917,3,FALSE)</f>
        <v>890</v>
      </c>
      <c r="L10" s="13">
        <v>100</v>
      </c>
      <c r="M10" s="13">
        <v>0</v>
      </c>
      <c r="N10" s="13">
        <v>0</v>
      </c>
    </row>
    <row r="11" spans="1:16" x14ac:dyDescent="0.25">
      <c r="A11" s="14" t="str">
        <f t="shared" si="2"/>
        <v>AVT0000010</v>
      </c>
      <c r="B11" s="13" t="str">
        <f>VLOOKUP(D11,'SUPPLIER_ITEMS (1st Tools)'!C14:D1741,2,FALSE)</f>
        <v>1ST-358-013</v>
      </c>
      <c r="C11" s="14" t="s">
        <v>295</v>
      </c>
      <c r="D11" s="18" t="s">
        <v>510</v>
      </c>
      <c r="E11" s="30" t="str">
        <f t="shared" si="0"/>
        <v>PL22041-04 30"*18"*7"-LEFT DRAIN STAINLESS KITCHEN SINK</v>
      </c>
      <c r="F11" s="30" t="str">
        <f t="shared" si="1"/>
        <v>AV22041-04 30"*18"*7"-LEFT DRAIN STAINLESS KITCHEN SINK</v>
      </c>
      <c r="I11" s="31" t="str">
        <f>VLOOKUP(D11,'[1]NEW PRICE LIST'!$C$4:$D$1917,2,FALSE)</f>
        <v>10PCS/CTN</v>
      </c>
      <c r="J11" s="13" t="s">
        <v>300</v>
      </c>
      <c r="K11" s="32">
        <f>VLOOKUP(D11,'[1]NEW PRICE LIST'!$C$4:$H$1917,3,FALSE)</f>
        <v>890</v>
      </c>
      <c r="L11" s="13">
        <v>100</v>
      </c>
      <c r="M11" s="13">
        <v>0</v>
      </c>
      <c r="N11" s="13">
        <v>0</v>
      </c>
    </row>
    <row r="12" spans="1:16" ht="26.4" x14ac:dyDescent="0.25">
      <c r="A12" s="14" t="str">
        <f t="shared" si="2"/>
        <v>AVT0000011</v>
      </c>
      <c r="B12" s="13" t="str">
        <f>VLOOKUP(D12,'SUPPLIER_ITEMS (1st Tools)'!C15:D1742,2,FALSE)</f>
        <v>1ST-358-014</v>
      </c>
      <c r="C12" s="14" t="s">
        <v>295</v>
      </c>
      <c r="D12" s="18" t="s">
        <v>511</v>
      </c>
      <c r="E12" s="30" t="str">
        <f t="shared" si="0"/>
        <v>PL22041-05 31"*17"*6.5" DOUBLE BOWL STAINLESS KITCHEN SINK</v>
      </c>
      <c r="F12" s="30" t="str">
        <f t="shared" si="1"/>
        <v>AV22041-05 31"*17"*6.5" DOUBLE BOWL STAINLESS KITCHEN SINK</v>
      </c>
      <c r="I12" s="31" t="str">
        <f>VLOOKUP(D12,'[1]NEW PRICE LIST'!$C$4:$D$1917,2,FALSE)</f>
        <v>5PCS/CTN</v>
      </c>
      <c r="J12" s="13" t="s">
        <v>300</v>
      </c>
      <c r="K12" s="32">
        <f>VLOOKUP(D12,'[1]NEW PRICE LIST'!$C$4:$H$1917,3,FALSE)</f>
        <v>1050</v>
      </c>
      <c r="L12" s="13">
        <v>100</v>
      </c>
      <c r="M12" s="13">
        <v>0</v>
      </c>
      <c r="N12" s="13">
        <v>0</v>
      </c>
    </row>
    <row r="13" spans="1:16" x14ac:dyDescent="0.25">
      <c r="A13" s="14" t="str">
        <f t="shared" si="2"/>
        <v>AVT0000012</v>
      </c>
      <c r="B13" s="13" t="str">
        <f>VLOOKUP(D13,'SUPPLIER_ITEMS (1st Tools)'!C16:D1743,2,FALSE)</f>
        <v>1ST-358-015</v>
      </c>
      <c r="C13" s="14" t="s">
        <v>295</v>
      </c>
      <c r="D13" s="18" t="s">
        <v>513</v>
      </c>
      <c r="E13" s="30" t="str">
        <f t="shared" si="0"/>
        <v>PL22041-06 40"*20"*6" RIGHT DRAIN STAINLESS KITCHEN SINK</v>
      </c>
      <c r="F13" s="30" t="str">
        <f t="shared" si="1"/>
        <v>AV22041-06 40"*20"*6" RIGHT DRAIN STAINLESS KITCHEN SINK</v>
      </c>
      <c r="I13" s="31" t="str">
        <f>VLOOKUP(D13,'[1]NEW PRICE LIST'!$C$4:$D$1917,2,FALSE)</f>
        <v>10PCS/CTN</v>
      </c>
      <c r="J13" s="13" t="s">
        <v>300</v>
      </c>
      <c r="K13" s="32">
        <f>VLOOKUP(D13,'[1]NEW PRICE LIST'!$C$4:$H$1917,3,FALSE)</f>
        <v>950</v>
      </c>
      <c r="L13" s="13">
        <v>100</v>
      </c>
      <c r="M13" s="13">
        <v>0</v>
      </c>
      <c r="N13" s="13">
        <v>0</v>
      </c>
    </row>
    <row r="14" spans="1:16" x14ac:dyDescent="0.25">
      <c r="A14" s="14" t="str">
        <f t="shared" si="2"/>
        <v>AVT0000013</v>
      </c>
      <c r="B14" s="13" t="str">
        <f>VLOOKUP(D14,'SUPPLIER_ITEMS (1st Tools)'!C17:D1744,2,FALSE)</f>
        <v>1ST-358-016</v>
      </c>
      <c r="C14" s="14" t="s">
        <v>295</v>
      </c>
      <c r="D14" s="18" t="s">
        <v>515</v>
      </c>
      <c r="E14" s="30" t="str">
        <f t="shared" si="0"/>
        <v>PL22041-07 40"*20"*6"-LEFT DRAIN STAINLESS KITCHEN SINK</v>
      </c>
      <c r="F14" s="30" t="str">
        <f t="shared" si="1"/>
        <v>AV22041-07 40"*20"*6"-LEFT DRAIN STAINLESS KITCHEN SINK</v>
      </c>
      <c r="I14" s="31" t="str">
        <f>VLOOKUP(D14,'[1]NEW PRICE LIST'!$C$4:$D$1917,2,FALSE)</f>
        <v>10PCS/CTN</v>
      </c>
      <c r="J14" s="13" t="s">
        <v>300</v>
      </c>
      <c r="K14" s="32">
        <f>VLOOKUP(D14,'[1]NEW PRICE LIST'!$C$4:$H$1917,3,FALSE)</f>
        <v>950</v>
      </c>
      <c r="L14" s="13">
        <v>100</v>
      </c>
      <c r="M14" s="13">
        <v>0</v>
      </c>
      <c r="N14" s="13">
        <v>0</v>
      </c>
    </row>
    <row r="15" spans="1:16" x14ac:dyDescent="0.25">
      <c r="A15" s="14" t="str">
        <f t="shared" si="2"/>
        <v>AVT0000014</v>
      </c>
      <c r="B15" s="13" t="str">
        <f>VLOOKUP(D15,'SUPPLIER_ITEMS (1st Tools)'!C18:D1745,2,FALSE)</f>
        <v>1ST-358-017</v>
      </c>
      <c r="C15" s="14" t="s">
        <v>295</v>
      </c>
      <c r="D15" s="18" t="s">
        <v>516</v>
      </c>
      <c r="E15" s="30" t="str">
        <f t="shared" si="0"/>
        <v>PL22041-08 POLONET STAINLESS KITCHEN SINK 15"*15"*6</v>
      </c>
      <c r="F15" s="30" t="str">
        <f t="shared" si="1"/>
        <v>AV22041-08 POLONET STAINLESS KITCHEN SINK 15"*15"*6</v>
      </c>
      <c r="I15" s="31" t="str">
        <f>VLOOKUP(D15,'[1]NEW PRICE LIST'!$C$4:$D$1917,2,FALSE)</f>
        <v>10PCS/CTN</v>
      </c>
      <c r="J15" s="13" t="s">
        <v>300</v>
      </c>
      <c r="K15" s="32">
        <f>VLOOKUP(D15,'[1]NEW PRICE LIST'!$C$4:$H$1917,3,FALSE)</f>
        <v>350</v>
      </c>
      <c r="L15" s="13">
        <v>100</v>
      </c>
      <c r="M15" s="13">
        <v>0</v>
      </c>
      <c r="N15" s="13">
        <v>0</v>
      </c>
    </row>
    <row r="16" spans="1:16" x14ac:dyDescent="0.25">
      <c r="A16" s="14" t="str">
        <f t="shared" si="2"/>
        <v>AVT0000015</v>
      </c>
      <c r="B16" s="13" t="str">
        <f>VLOOKUP(D16,'SUPPLIER_ITEMS (1st Tools)'!C19:D1746,2,FALSE)</f>
        <v>1ST-358-018</v>
      </c>
      <c r="C16" s="14" t="s">
        <v>295</v>
      </c>
      <c r="D16" s="18" t="s">
        <v>518</v>
      </c>
      <c r="E16" s="30" t="str">
        <f t="shared" si="0"/>
        <v>PL22041-09 19"*19"*6.5" STAINLESS KITCHEN SINK</v>
      </c>
      <c r="F16" s="30" t="str">
        <f t="shared" si="1"/>
        <v>AV22041-09 19"*19"*6.5" STAINLESS KITCHEN SINK</v>
      </c>
      <c r="I16" s="31" t="str">
        <f>VLOOKUP(D16,'[1]NEW PRICE LIST'!$C$4:$D$1917,2,FALSE)</f>
        <v>10PCS/CTN</v>
      </c>
      <c r="J16" s="13" t="s">
        <v>300</v>
      </c>
      <c r="K16" s="32">
        <f>VLOOKUP(D16,'[1]NEW PRICE LIST'!$C$4:$H$1917,3,FALSE)</f>
        <v>590</v>
      </c>
      <c r="L16" s="13">
        <v>100</v>
      </c>
      <c r="M16" s="13">
        <v>0</v>
      </c>
      <c r="N16" s="13">
        <v>0</v>
      </c>
    </row>
    <row r="17" spans="1:14" ht="26.4" x14ac:dyDescent="0.25">
      <c r="A17" s="14" t="str">
        <f t="shared" si="2"/>
        <v>AVT0000016</v>
      </c>
      <c r="B17" s="13" t="str">
        <f>VLOOKUP(D17,'SUPPLIER_ITEMS (1st Tools)'!C20:D1747,2,FALSE)</f>
        <v>1ST-358-019</v>
      </c>
      <c r="C17" s="14" t="s">
        <v>295</v>
      </c>
      <c r="D17" s="19" t="s">
        <v>3632</v>
      </c>
      <c r="E17" s="30" t="str">
        <f t="shared" si="0"/>
        <v>PL22041-10 48"*20"*7.5"-DOUBLE BOWL RIGHT DRAIN STAINLESS KITCHEN SINK</v>
      </c>
      <c r="F17" s="30" t="str">
        <f t="shared" si="1"/>
        <v>AV22041-10 48"*20"*7.5"-DOUBLE BOWL RIGHT DRAIN STAINLESS KITCHEN SINK</v>
      </c>
      <c r="I17" s="31" t="str">
        <f>VLOOKUP(D17,'[1]NEW PRICE LIST'!$C$4:$D$1917,2,FALSE)</f>
        <v>5PCS/CTN</v>
      </c>
      <c r="J17" s="13" t="s">
        <v>300</v>
      </c>
      <c r="K17" s="32">
        <f>VLOOKUP(D17,'[1]NEW PRICE LIST'!$C$4:$H$1917,3,FALSE)</f>
        <v>2200</v>
      </c>
      <c r="L17" s="13">
        <v>100</v>
      </c>
      <c r="M17" s="13">
        <v>0</v>
      </c>
      <c r="N17" s="13">
        <v>0</v>
      </c>
    </row>
    <row r="18" spans="1:14" ht="26.4" x14ac:dyDescent="0.25">
      <c r="A18" s="14" t="str">
        <f t="shared" si="2"/>
        <v>AVT0000017</v>
      </c>
      <c r="B18" s="13" t="str">
        <f>VLOOKUP(D18,'SUPPLIER_ITEMS (1st Tools)'!C21:D1748,2,FALSE)</f>
        <v>1ST-358-020</v>
      </c>
      <c r="C18" s="14" t="s">
        <v>295</v>
      </c>
      <c r="D18" s="19" t="s">
        <v>450</v>
      </c>
      <c r="E18" s="30" t="str">
        <f t="shared" si="0"/>
        <v>PL22041-11 48"*20"*7.5"-DOUBLE BOWL LEFT DRAIN STAINLESS KITCHEN SINK</v>
      </c>
      <c r="F18" s="30" t="str">
        <f t="shared" si="1"/>
        <v>AV22041-11 48"*20"*7.5"-DOUBLE BOWL LEFT DRAIN STAINLESS KITCHEN SINK</v>
      </c>
      <c r="I18" s="31" t="str">
        <f>VLOOKUP(D18,'[1]NEW PRICE LIST'!$C$4:$D$1917,2,FALSE)</f>
        <v>5PCS/CTN</v>
      </c>
      <c r="J18" s="13" t="s">
        <v>300</v>
      </c>
      <c r="K18" s="32">
        <f>VLOOKUP(D18,'[1]NEW PRICE LIST'!$C$4:$H$1917,3,FALSE)</f>
        <v>2200</v>
      </c>
      <c r="L18" s="13">
        <v>100</v>
      </c>
      <c r="M18" s="13">
        <v>0</v>
      </c>
      <c r="N18" s="13">
        <v>0</v>
      </c>
    </row>
    <row r="19" spans="1:14" ht="26.4" x14ac:dyDescent="0.25">
      <c r="A19" s="14" t="str">
        <f t="shared" si="2"/>
        <v>AVT0000018</v>
      </c>
      <c r="B19" s="13" t="str">
        <f>VLOOKUP(D19,'SUPPLIER_ITEMS (1st Tools)'!C22:D1749,2,FALSE)</f>
        <v>1ST-358-021</v>
      </c>
      <c r="C19" s="14" t="s">
        <v>295</v>
      </c>
      <c r="D19" s="18" t="s">
        <v>451</v>
      </c>
      <c r="E19" s="30" t="str">
        <f t="shared" si="0"/>
        <v>PL22042-01 22"*18"*8.5" SINGLE STAINLESS STEEL HAND SINK SATIN</v>
      </c>
      <c r="F19" s="30" t="str">
        <f t="shared" si="1"/>
        <v>AV22042-01 22"*18"*8.5" SINGLE STAINLESS STEEL HAND SINK SATIN</v>
      </c>
      <c r="I19" s="31" t="str">
        <f>VLOOKUP(D19,'[1]NEW PRICE LIST'!$C$4:$D$1917,2,FALSE)</f>
        <v>1PC/CTN</v>
      </c>
      <c r="J19" s="13" t="s">
        <v>738</v>
      </c>
      <c r="K19" s="32">
        <f>VLOOKUP(D19,'[1]NEW PRICE LIST'!$C$4:$H$1917,3,FALSE)</f>
        <v>2500</v>
      </c>
      <c r="L19" s="13">
        <v>100</v>
      </c>
      <c r="M19" s="13">
        <v>0</v>
      </c>
      <c r="N19" s="13">
        <v>0</v>
      </c>
    </row>
    <row r="20" spans="1:14" ht="26.4" x14ac:dyDescent="0.25">
      <c r="A20" s="14" t="str">
        <f t="shared" si="2"/>
        <v>AVT0000019</v>
      </c>
      <c r="B20" s="13" t="str">
        <f>VLOOKUP(D20,'SUPPLIER_ITEMS (1st Tools)'!C23:D1750,2,FALSE)</f>
        <v>1ST-358-022</v>
      </c>
      <c r="C20" s="14" t="s">
        <v>295</v>
      </c>
      <c r="D20" s="18" t="s">
        <v>521</v>
      </c>
      <c r="E20" s="30" t="str">
        <f t="shared" si="0"/>
        <v>PL22042-02 22"*18"*8.5" SINGLE SINK STAINLESS STEEL HAND SINK BLACK</v>
      </c>
      <c r="F20" s="30" t="str">
        <f t="shared" si="1"/>
        <v>AV22042-02 22"*18"*8.5" SINGLE SINK STAINLESS STEEL HAND SINK BLACK</v>
      </c>
      <c r="I20" s="31" t="str">
        <f>VLOOKUP(D20,'[1]NEW PRICE LIST'!$C$4:$D$1917,2,FALSE)</f>
        <v>1PC/CTN</v>
      </c>
      <c r="J20" s="13" t="s">
        <v>738</v>
      </c>
      <c r="K20" s="32">
        <f>VLOOKUP(D20,'[1]NEW PRICE LIST'!$C$4:$H$1917,3,FALSE)</f>
        <v>3100</v>
      </c>
      <c r="L20" s="13">
        <v>100</v>
      </c>
      <c r="M20" s="13">
        <v>0</v>
      </c>
      <c r="N20" s="13">
        <v>0</v>
      </c>
    </row>
    <row r="21" spans="1:14" ht="26.4" x14ac:dyDescent="0.25">
      <c r="A21" s="14" t="str">
        <f t="shared" si="2"/>
        <v>AVT0000020</v>
      </c>
      <c r="B21" s="13" t="str">
        <f>VLOOKUP(D21,'SUPPLIER_ITEMS (1st Tools)'!C24:D1751,2,FALSE)</f>
        <v>1ST-358-023</v>
      </c>
      <c r="C21" s="14" t="s">
        <v>295</v>
      </c>
      <c r="D21" s="18" t="s">
        <v>523</v>
      </c>
      <c r="E21" s="30" t="str">
        <f t="shared" si="0"/>
        <v>PL22042-03 24"*18"*8.5" SINGLE SINK STAINLESS STEEL HAND SINK SATIN</v>
      </c>
      <c r="F21" s="30" t="str">
        <f t="shared" si="1"/>
        <v>AV22042-03 24"*18"*8.5" SINGLE SINK STAINLESS STEEL HAND SINK SATIN</v>
      </c>
      <c r="I21" s="31" t="str">
        <f>VLOOKUP(D21,'[1]NEW PRICE LIST'!$C$4:$D$1917,2,FALSE)</f>
        <v>1PC/CTN</v>
      </c>
      <c r="J21" s="13" t="s">
        <v>738</v>
      </c>
      <c r="K21" s="32">
        <f>VLOOKUP(D21,'[1]NEW PRICE LIST'!$C$4:$H$1917,3,FALSE)</f>
        <v>2700</v>
      </c>
      <c r="L21" s="13">
        <v>100</v>
      </c>
      <c r="M21" s="13">
        <v>0</v>
      </c>
      <c r="N21" s="13">
        <v>0</v>
      </c>
    </row>
    <row r="22" spans="1:14" ht="26.4" x14ac:dyDescent="0.25">
      <c r="A22" s="14" t="str">
        <f t="shared" si="2"/>
        <v>AVT0000021</v>
      </c>
      <c r="B22" s="13" t="str">
        <f>VLOOKUP(D22,'SUPPLIER_ITEMS (1st Tools)'!C25:D1752,2,FALSE)</f>
        <v>1ST-358-024</v>
      </c>
      <c r="C22" s="14" t="s">
        <v>295</v>
      </c>
      <c r="D22" s="18" t="s">
        <v>3633</v>
      </c>
      <c r="E22" s="30" t="str">
        <f t="shared" si="0"/>
        <v>PL22042-04 24"*18"*8.5" SINGLE SINK STAINLESS STEEL HAND SINK BLACK</v>
      </c>
      <c r="F22" s="30" t="str">
        <f t="shared" si="1"/>
        <v>AV22042-04 24"*18"*8.5" SINGLE SINK STAINLESS STEEL HAND SINK BLACK</v>
      </c>
      <c r="I22" s="31" t="str">
        <f>VLOOKUP(D22,'[1]NEW PRICE LIST'!$C$4:$D$1917,2,FALSE)</f>
        <v>1PC/CTN</v>
      </c>
      <c r="J22" s="13" t="s">
        <v>738</v>
      </c>
      <c r="K22" s="32">
        <f>VLOOKUP(D22,'[1]NEW PRICE LIST'!$C$4:$H$1917,3,FALSE)</f>
        <v>3300</v>
      </c>
      <c r="L22" s="13">
        <v>100</v>
      </c>
      <c r="M22" s="13">
        <v>0</v>
      </c>
      <c r="N22" s="13">
        <v>0</v>
      </c>
    </row>
    <row r="23" spans="1:14" ht="26.4" x14ac:dyDescent="0.25">
      <c r="A23" s="14" t="str">
        <f t="shared" si="2"/>
        <v>AVT0000022</v>
      </c>
      <c r="B23" s="13" t="str">
        <f>VLOOKUP(D23,'SUPPLIER_ITEMS (1st Tools)'!C26:D1753,2,FALSE)</f>
        <v>1ST-358-025</v>
      </c>
      <c r="C23" s="14" t="s">
        <v>295</v>
      </c>
      <c r="D23" s="18" t="s">
        <v>526</v>
      </c>
      <c r="E23" s="30" t="str">
        <f t="shared" si="0"/>
        <v>PL22042-05 26"*18"*8.5" SINGLE SINK STAINLESS STEEL HAND SINK SATIN</v>
      </c>
      <c r="F23" s="30" t="str">
        <f t="shared" si="1"/>
        <v>AV22042-05 26"*18"*8.5" SINGLE SINK STAINLESS STEEL HAND SINK SATIN</v>
      </c>
      <c r="I23" s="31" t="str">
        <f>VLOOKUP(D23,'[1]NEW PRICE LIST'!$C$4:$D$1917,2,FALSE)</f>
        <v>1PC/CTN</v>
      </c>
      <c r="J23" s="13" t="s">
        <v>738</v>
      </c>
      <c r="K23" s="32">
        <f>VLOOKUP(D23,'[1]NEW PRICE LIST'!$C$4:$H$1917,3,FALSE)</f>
        <v>2800</v>
      </c>
      <c r="L23" s="13">
        <v>100</v>
      </c>
      <c r="M23" s="13">
        <v>0</v>
      </c>
      <c r="N23" s="13">
        <v>0</v>
      </c>
    </row>
    <row r="24" spans="1:14" ht="26.4" x14ac:dyDescent="0.25">
      <c r="A24" s="14" t="str">
        <f t="shared" si="2"/>
        <v>AVT0000023</v>
      </c>
      <c r="B24" s="13" t="str">
        <f>VLOOKUP(D24,'SUPPLIER_ITEMS (1st Tools)'!C27:D1754,2,FALSE)</f>
        <v>1ST-358-026</v>
      </c>
      <c r="C24" s="14" t="s">
        <v>295</v>
      </c>
      <c r="D24" s="18" t="s">
        <v>528</v>
      </c>
      <c r="E24" s="30" t="str">
        <f t="shared" si="0"/>
        <v>PL22042-06 26"*18"*8.5" SINGLE SINK STAINLESS STEEL HAND SINK BLACK</v>
      </c>
      <c r="F24" s="30" t="str">
        <f>"AV"&amp;RIGHT(D24,LEN(D24)-2)</f>
        <v>AV22042-06 26"*18"*8.5" SINGLE SINK STAINLESS STEEL HAND SINK BLACK</v>
      </c>
      <c r="I24" s="31" t="str">
        <f>VLOOKUP(D24,'[1]NEW PRICE LIST'!$C$4:$D$1917,2,FALSE)</f>
        <v>1PC/CTN</v>
      </c>
      <c r="J24" s="13" t="s">
        <v>738</v>
      </c>
      <c r="K24" s="32">
        <f>VLOOKUP(D24,'[1]NEW PRICE LIST'!$C$4:$H$1917,3,FALSE)</f>
        <v>3500</v>
      </c>
      <c r="L24" s="13">
        <v>100</v>
      </c>
      <c r="M24" s="13">
        <v>0</v>
      </c>
      <c r="N24" s="13">
        <v>0</v>
      </c>
    </row>
    <row r="25" spans="1:14" ht="26.4" x14ac:dyDescent="0.25">
      <c r="A25" s="14" t="str">
        <f t="shared" si="2"/>
        <v>AVT0000024</v>
      </c>
      <c r="B25" s="13" t="str">
        <f>VLOOKUP(D25,'SUPPLIER_ITEMS (1st Tools)'!C28:D1755,2,FALSE)</f>
        <v>1ST-358-027</v>
      </c>
      <c r="C25" s="14" t="s">
        <v>295</v>
      </c>
      <c r="D25" s="19" t="s">
        <v>530</v>
      </c>
      <c r="E25" s="30" t="str">
        <f t="shared" si="0"/>
        <v>PL22042-07 31"*17"*8.5" DOUBLE SINK STAINLESS STEEL HAND SINK SATIN</v>
      </c>
      <c r="F25" s="30" t="str">
        <f t="shared" si="1"/>
        <v>AV22042-07 31"*17"*8.5" DOUBLE SINK STAINLESS STEEL HAND SINK SATIN</v>
      </c>
      <c r="I25" s="31" t="str">
        <f>VLOOKUP(D25,'[1]NEW PRICE LIST'!$C$4:$D$1917,2,FALSE)</f>
        <v>1PC/CTN</v>
      </c>
      <c r="J25" s="13" t="s">
        <v>738</v>
      </c>
      <c r="K25" s="32">
        <f>VLOOKUP(D25,'[1]NEW PRICE LIST'!$C$4:$H$1917,3,FALSE)</f>
        <v>3500</v>
      </c>
      <c r="L25" s="13">
        <v>100</v>
      </c>
      <c r="M25" s="13">
        <v>0</v>
      </c>
      <c r="N25" s="13">
        <v>0</v>
      </c>
    </row>
    <row r="26" spans="1:14" ht="26.4" x14ac:dyDescent="0.25">
      <c r="A26" s="14" t="str">
        <f t="shared" si="2"/>
        <v>AVT0000025</v>
      </c>
      <c r="B26" s="13" t="str">
        <f>VLOOKUP(D26,'SUPPLIER_ITEMS (1st Tools)'!C29:D1756,2,FALSE)</f>
        <v>1ST-358-028</v>
      </c>
      <c r="C26" s="14" t="s">
        <v>295</v>
      </c>
      <c r="D26" s="19" t="s">
        <v>532</v>
      </c>
      <c r="E26" s="30" t="str">
        <f t="shared" si="0"/>
        <v>PL22042-08 31"*17"*8.5" DOUBLE SINK STAINLESS STEEL HAND SINK BLACK</v>
      </c>
      <c r="F26" s="30" t="str">
        <f t="shared" si="1"/>
        <v>AV22042-08 31"*17"*8.5" DOUBLE SINK STAINLESS STEEL HAND SINK BLACK</v>
      </c>
      <c r="I26" s="31" t="str">
        <f>VLOOKUP(D26,'[1]NEW PRICE LIST'!$C$4:$D$1917,2,FALSE)</f>
        <v>1PC/CTN</v>
      </c>
      <c r="J26" s="13" t="s">
        <v>738</v>
      </c>
      <c r="K26" s="32">
        <f>VLOOKUP(D26,'[1]NEW PRICE LIST'!$C$4:$H$1917,3,FALSE)</f>
        <v>4500</v>
      </c>
      <c r="L26" s="13">
        <v>100</v>
      </c>
      <c r="M26" s="13">
        <v>0</v>
      </c>
      <c r="N26" s="13">
        <v>0</v>
      </c>
    </row>
    <row r="27" spans="1:14" ht="26.4" x14ac:dyDescent="0.25">
      <c r="A27" s="14" t="str">
        <f t="shared" si="2"/>
        <v>AVT0000026</v>
      </c>
      <c r="B27" s="13" t="str">
        <f>VLOOKUP(D27,'SUPPLIER_ITEMS (1st Tools)'!C30:D1757,2,FALSE)</f>
        <v>1ST-358-029</v>
      </c>
      <c r="C27" s="14" t="s">
        <v>295</v>
      </c>
      <c r="D27" s="19" t="s">
        <v>534</v>
      </c>
      <c r="E27" s="30" t="str">
        <f t="shared" si="0"/>
        <v>PL22042-09 33"*18"*8.5" DOUBLE SINK STAINLESS STEEL HAND SINK SATIN</v>
      </c>
      <c r="F27" s="30" t="str">
        <f t="shared" si="1"/>
        <v>AV22042-09 33"*18"*8.5" DOUBLE SINK STAINLESS STEEL HAND SINK SATIN</v>
      </c>
      <c r="I27" s="31" t="str">
        <f>VLOOKUP(D27,'[1]NEW PRICE LIST'!$C$4:$D$1917,2,FALSE)</f>
        <v>1PC/CTN</v>
      </c>
      <c r="J27" s="13" t="s">
        <v>738</v>
      </c>
      <c r="K27" s="32">
        <f>VLOOKUP(D27,'[1]NEW PRICE LIST'!$C$4:$H$1917,3,FALSE)</f>
        <v>4000</v>
      </c>
      <c r="L27" s="13">
        <v>100</v>
      </c>
      <c r="M27" s="13">
        <v>0</v>
      </c>
      <c r="N27" s="13">
        <v>0</v>
      </c>
    </row>
    <row r="28" spans="1:14" ht="26.4" x14ac:dyDescent="0.25">
      <c r="A28" s="14" t="str">
        <f t="shared" si="2"/>
        <v>AVT0000027</v>
      </c>
      <c r="B28" s="13" t="str">
        <f>VLOOKUP(D28,'SUPPLIER_ITEMS (1st Tools)'!C31:D1758,2,FALSE)</f>
        <v>1ST-358-030</v>
      </c>
      <c r="C28" s="14" t="s">
        <v>295</v>
      </c>
      <c r="D28" s="19" t="s">
        <v>536</v>
      </c>
      <c r="E28" s="30" t="str">
        <f t="shared" si="0"/>
        <v>PL22042-10 33"*18"*8.5" DOUBLE SINK STAINLESS STEEL HAND SINK BLACK</v>
      </c>
      <c r="F28" s="30" t="str">
        <f t="shared" si="1"/>
        <v>AV22042-10 33"*18"*8.5" DOUBLE SINK STAINLESS STEEL HAND SINK BLACK</v>
      </c>
      <c r="I28" s="31" t="str">
        <f>VLOOKUP(D28,'[1]NEW PRICE LIST'!$C$4:$D$1917,2,FALSE)</f>
        <v>1PC/CTN</v>
      </c>
      <c r="J28" s="13" t="s">
        <v>738</v>
      </c>
      <c r="K28" s="32">
        <f>VLOOKUP(D28,'[1]NEW PRICE LIST'!$C$4:$H$1917,3,FALSE)</f>
        <v>4500</v>
      </c>
      <c r="L28" s="13">
        <v>100</v>
      </c>
      <c r="M28" s="13">
        <v>0</v>
      </c>
      <c r="N28" s="13">
        <v>0</v>
      </c>
    </row>
    <row r="29" spans="1:14" ht="26.4" x14ac:dyDescent="0.25">
      <c r="A29" s="14" t="str">
        <f t="shared" si="2"/>
        <v>AVT0000028</v>
      </c>
      <c r="B29" s="13" t="str">
        <f>VLOOKUP(D29,'SUPPLIER_ITEMS (1st Tools)'!C32:D1759,2,FALSE)</f>
        <v>1ST-358-031</v>
      </c>
      <c r="C29" s="14" t="s">
        <v>295</v>
      </c>
      <c r="D29" s="18" t="s">
        <v>538</v>
      </c>
      <c r="E29" s="30" t="str">
        <f t="shared" si="0"/>
        <v>PL22043-01 304 STAINLESS STEEL KITCHEN SINK 18”*18”*8”45*45*20CM</v>
      </c>
      <c r="F29" s="30" t="str">
        <f t="shared" si="1"/>
        <v>AV22043-01 304 STAINLESS STEEL KITCHEN SINK 18”*18”*8”45*45*20CM</v>
      </c>
      <c r="I29" s="31" t="str">
        <f>VLOOKUP(D29,'[1]NEW PRICE LIST'!$C$4:$D$1917,2,FALSE)</f>
        <v>1 SET/CTN</v>
      </c>
      <c r="J29" s="13" t="s">
        <v>3622</v>
      </c>
      <c r="K29" s="32">
        <f>VLOOKUP(D29,'[1]NEW PRICE LIST'!$C$4:$H$1917,3,FALSE)</f>
        <v>5500</v>
      </c>
      <c r="L29" s="13">
        <v>100</v>
      </c>
      <c r="M29" s="13">
        <v>0</v>
      </c>
      <c r="N29" s="13">
        <v>0</v>
      </c>
    </row>
    <row r="30" spans="1:14" ht="26.4" x14ac:dyDescent="0.25">
      <c r="A30" s="14" t="str">
        <f t="shared" si="2"/>
        <v>AVT0000029</v>
      </c>
      <c r="B30" s="13" t="str">
        <f>VLOOKUP(D30,'SUPPLIER_ITEMS (1st Tools)'!C33:D1760,2,FALSE)</f>
        <v>1ST-358-032</v>
      </c>
      <c r="C30" s="14" t="s">
        <v>295</v>
      </c>
      <c r="D30" s="18" t="s">
        <v>540</v>
      </c>
      <c r="E30" s="30" t="str">
        <f t="shared" si="0"/>
        <v>PL22043-02 304 STAINLESS STEEL KITCHEN SINK 30"*18"*8"*76"*45*20CM</v>
      </c>
      <c r="F30" s="30" t="str">
        <f t="shared" si="1"/>
        <v>AV22043-02 304 STAINLESS STEEL KITCHEN SINK 30"*18"*8"*76"*45*20CM</v>
      </c>
      <c r="I30" s="31" t="str">
        <f>VLOOKUP(D30,'[1]NEW PRICE LIST'!$C$4:$D$1917,2,FALSE)</f>
        <v>1 SET/CTN</v>
      </c>
      <c r="J30" s="13" t="s">
        <v>3622</v>
      </c>
      <c r="K30" s="32">
        <f>VLOOKUP(D30,'[1]NEW PRICE LIST'!$C$4:$H$1917,3,FALSE)</f>
        <v>7000</v>
      </c>
      <c r="L30" s="13">
        <v>100</v>
      </c>
      <c r="M30" s="13">
        <v>0</v>
      </c>
      <c r="N30" s="13">
        <v>0</v>
      </c>
    </row>
    <row r="31" spans="1:14" ht="26.4" x14ac:dyDescent="0.25">
      <c r="A31" s="14" t="str">
        <f t="shared" si="2"/>
        <v>AVT0000030</v>
      </c>
      <c r="B31" s="13" t="str">
        <f>VLOOKUP(D31,'SUPPLIER_ITEMS (1st Tools)'!C34:D1761,2,FALSE)</f>
        <v>1ST-358-033</v>
      </c>
      <c r="C31" s="14" t="s">
        <v>295</v>
      </c>
      <c r="D31" s="18" t="s">
        <v>542</v>
      </c>
      <c r="E31" s="30" t="str">
        <f t="shared" si="0"/>
        <v>PL22043-1 304 STAINLESS STEEL KITCHEN SINK 32"*18"*8"82"*45*20CM</v>
      </c>
      <c r="F31" s="30" t="str">
        <f t="shared" si="1"/>
        <v>AV22043-1 304 STAINLESS STEEL KITCHEN SINK 32"*18"*8"82"*45*20CM</v>
      </c>
      <c r="I31" s="31" t="str">
        <f>VLOOKUP(D31,'[1]NEW PRICE LIST'!$C$4:$D$1917,2,FALSE)</f>
        <v>1 SET/CTN</v>
      </c>
      <c r="J31" s="13" t="s">
        <v>3622</v>
      </c>
      <c r="K31" s="32">
        <f>VLOOKUP(D31,'[1]NEW PRICE LIST'!$C$4:$H$1917,3,FALSE)</f>
        <v>8000</v>
      </c>
      <c r="L31" s="13">
        <v>100</v>
      </c>
      <c r="M31" s="13">
        <v>0</v>
      </c>
      <c r="N31" s="13">
        <v>0</v>
      </c>
    </row>
    <row r="32" spans="1:14" x14ac:dyDescent="0.25">
      <c r="A32" s="14" t="str">
        <f t="shared" si="2"/>
        <v>AVT0000031</v>
      </c>
      <c r="B32" s="13" t="str">
        <f>VLOOKUP(D32,'SUPPLIER_ITEMS (1st Tools)'!C35:D1762,2,FALSE)</f>
        <v>1ST-358-034</v>
      </c>
      <c r="C32" s="14" t="s">
        <v>294</v>
      </c>
      <c r="D32" s="18" t="s">
        <v>452</v>
      </c>
      <c r="E32" s="30" t="str">
        <f t="shared" si="0"/>
        <v>PL22090-1 (LT22014-G1) GARDEN HOSE GREEN 1/2"*90M</v>
      </c>
      <c r="F32" s="30" t="str">
        <f t="shared" si="1"/>
        <v>AV22090-1 (LT22014-G1) GARDEN HOSE GREEN 1/2"*90M</v>
      </c>
      <c r="I32" s="31" t="str">
        <f>VLOOKUP(D32,'[1]NEW PRICE LIST'!$C$4:$D$1917,2,FALSE)</f>
        <v>1 ROLL</v>
      </c>
      <c r="J32" s="13" t="s">
        <v>299</v>
      </c>
      <c r="K32" s="32">
        <f>VLOOKUP(D32,'[1]NEW PRICE LIST'!$C$4:$H$1917,3,FALSE)</f>
        <v>1250</v>
      </c>
      <c r="L32" s="13">
        <v>100</v>
      </c>
      <c r="M32" s="13">
        <v>0</v>
      </c>
      <c r="N32" s="13">
        <v>0</v>
      </c>
    </row>
    <row r="33" spans="1:14" x14ac:dyDescent="0.25">
      <c r="A33" s="14" t="str">
        <f t="shared" si="2"/>
        <v>AVT0000032</v>
      </c>
      <c r="B33" s="13" t="str">
        <f>VLOOKUP(D33,'SUPPLIER_ITEMS (1st Tools)'!C36:D1763,2,FALSE)</f>
        <v>1ST-358-035</v>
      </c>
      <c r="C33" s="14" t="s">
        <v>294</v>
      </c>
      <c r="D33" s="18" t="s">
        <v>729</v>
      </c>
      <c r="E33" s="30" t="str">
        <f t="shared" si="0"/>
        <v>PL22090-2 (LT22014-G2) GARDEN HOSE GREEN 5/8"*90M</v>
      </c>
      <c r="F33" s="30" t="str">
        <f t="shared" si="1"/>
        <v>AV22090-2 (LT22014-G2) GARDEN HOSE GREEN 5/8"*90M</v>
      </c>
      <c r="I33" s="31" t="str">
        <f>VLOOKUP(D33,'[1]NEW PRICE LIST'!$C$4:$D$1917,2,FALSE)</f>
        <v>1 ROLL</v>
      </c>
      <c r="J33" s="13" t="s">
        <v>299</v>
      </c>
      <c r="K33" s="32">
        <f>VLOOKUP(D33,'[1]NEW PRICE LIST'!$C$4:$H$1917,3,FALSE)</f>
        <v>1450</v>
      </c>
      <c r="L33" s="13">
        <v>100</v>
      </c>
      <c r="M33" s="13">
        <v>0</v>
      </c>
      <c r="N33" s="13">
        <v>0</v>
      </c>
    </row>
    <row r="34" spans="1:14" x14ac:dyDescent="0.25">
      <c r="A34" s="14" t="str">
        <f t="shared" si="2"/>
        <v>AVT0000033</v>
      </c>
      <c r="B34" s="13" t="str">
        <f>VLOOKUP(D34,'SUPPLIER_ITEMS (1st Tools)'!C37:D1764,2,FALSE)</f>
        <v>1ST-358-036</v>
      </c>
      <c r="C34" s="14" t="s">
        <v>294</v>
      </c>
      <c r="D34" s="18" t="s">
        <v>730</v>
      </c>
      <c r="E34" s="30" t="str">
        <f t="shared" si="0"/>
        <v>PL22090-3 (LT22014-G3)GARDEN HOSE GREEN 3/4"*60M</v>
      </c>
      <c r="F34" s="30" t="str">
        <f t="shared" si="1"/>
        <v>AV22090-3 (LT22014-G3)GARDEN HOSE GREEN 3/4"*60M</v>
      </c>
      <c r="I34" s="31" t="str">
        <f>VLOOKUP(D34,'[1]NEW PRICE LIST'!$C$4:$D$1917,2,FALSE)</f>
        <v>1 ROLL</v>
      </c>
      <c r="J34" s="13" t="s">
        <v>299</v>
      </c>
      <c r="K34" s="32">
        <f>VLOOKUP(D34,'[1]NEW PRICE LIST'!$C$4:$H$1917,3,FALSE)</f>
        <v>1650</v>
      </c>
      <c r="L34" s="13">
        <v>100</v>
      </c>
      <c r="M34" s="13">
        <v>0</v>
      </c>
      <c r="N34" s="13">
        <v>0</v>
      </c>
    </row>
    <row r="35" spans="1:14" x14ac:dyDescent="0.25">
      <c r="A35" s="14" t="str">
        <f t="shared" si="2"/>
        <v>AVT0000034</v>
      </c>
      <c r="B35" s="13" t="str">
        <f>VLOOKUP(D35,'SUPPLIER_ITEMS (1st Tools)'!C38:D1765,2,FALSE)</f>
        <v>1ST-358-037</v>
      </c>
      <c r="C35" s="14" t="s">
        <v>294</v>
      </c>
      <c r="D35" s="18" t="s">
        <v>731</v>
      </c>
      <c r="E35" s="30" t="str">
        <f t="shared" si="0"/>
        <v>PL22090-4 (LT22014-G4) GARDEN HOSE GREEN 1"*60M</v>
      </c>
      <c r="F35" s="30" t="str">
        <f t="shared" si="1"/>
        <v>AV22090-4 (LT22014-G4) GARDEN HOSE GREEN 1"*60M</v>
      </c>
      <c r="I35" s="31" t="str">
        <f>VLOOKUP(D35,'[1]NEW PRICE LIST'!$C$4:$D$1917,2,FALSE)</f>
        <v>1 ROLL</v>
      </c>
      <c r="J35" s="13" t="s">
        <v>299</v>
      </c>
      <c r="K35" s="32">
        <f>VLOOKUP(D35,'[1]NEW PRICE LIST'!$C$4:$H$1917,3,FALSE)</f>
        <v>2250</v>
      </c>
      <c r="L35" s="13">
        <v>100</v>
      </c>
      <c r="M35" s="13">
        <v>0</v>
      </c>
      <c r="N35" s="13">
        <v>0</v>
      </c>
    </row>
    <row r="36" spans="1:14" x14ac:dyDescent="0.25">
      <c r="A36" s="14" t="str">
        <f t="shared" si="2"/>
        <v>AVT0000035</v>
      </c>
      <c r="B36" s="13" t="str">
        <f>VLOOKUP(D36,'SUPPLIER_ITEMS (1st Tools)'!C39:D1766,2,FALSE)</f>
        <v>1ST-358-038</v>
      </c>
      <c r="C36" s="14" t="s">
        <v>294</v>
      </c>
      <c r="D36" s="18" t="s">
        <v>732</v>
      </c>
      <c r="E36" s="30" t="str">
        <f t="shared" si="0"/>
        <v>PL22090-5 (LT22014-R1)GARDEN HOSE RED 1/2"*90M</v>
      </c>
      <c r="F36" s="30" t="str">
        <f t="shared" si="1"/>
        <v>AV22090-5 (LT22014-R1)GARDEN HOSE RED 1/2"*90M</v>
      </c>
      <c r="I36" s="31" t="str">
        <f>VLOOKUP(D36,'[1]NEW PRICE LIST'!$C$4:$D$1917,2,FALSE)</f>
        <v>1 ROLL</v>
      </c>
      <c r="J36" s="13" t="s">
        <v>299</v>
      </c>
      <c r="K36" s="32">
        <f>VLOOKUP(D36,'[1]NEW PRICE LIST'!$C$4:$H$1917,3,FALSE)</f>
        <v>1250</v>
      </c>
      <c r="L36" s="13">
        <v>100</v>
      </c>
      <c r="M36" s="13">
        <v>0</v>
      </c>
      <c r="N36" s="13">
        <v>0</v>
      </c>
    </row>
    <row r="37" spans="1:14" x14ac:dyDescent="0.25">
      <c r="A37" s="14" t="str">
        <f t="shared" si="2"/>
        <v>AVT0000036</v>
      </c>
      <c r="B37" s="13" t="str">
        <f>VLOOKUP(D37,'SUPPLIER_ITEMS (1st Tools)'!C40:D1767,2,FALSE)</f>
        <v>1ST-358-039</v>
      </c>
      <c r="C37" s="14" t="s">
        <v>294</v>
      </c>
      <c r="D37" s="18" t="s">
        <v>733</v>
      </c>
      <c r="E37" s="30" t="str">
        <f t="shared" si="0"/>
        <v>PL22090-6 (LT22014-R2) GARDEN HOSE RED 5/8"*90M</v>
      </c>
      <c r="F37" s="30" t="str">
        <f t="shared" si="1"/>
        <v>AV22090-6 (LT22014-R2) GARDEN HOSE RED 5/8"*90M</v>
      </c>
      <c r="I37" s="31" t="str">
        <f>VLOOKUP(D37,'[1]NEW PRICE LIST'!$C$4:$D$1917,2,FALSE)</f>
        <v>1 ROLL</v>
      </c>
      <c r="J37" s="13" t="s">
        <v>299</v>
      </c>
      <c r="K37" s="32">
        <f>VLOOKUP(D37,'[1]NEW PRICE LIST'!$C$4:$H$1917,3,FALSE)</f>
        <v>1450</v>
      </c>
      <c r="L37" s="13">
        <v>100</v>
      </c>
      <c r="M37" s="13">
        <v>0</v>
      </c>
      <c r="N37" s="13">
        <v>0</v>
      </c>
    </row>
    <row r="38" spans="1:14" x14ac:dyDescent="0.25">
      <c r="A38" s="14" t="str">
        <f t="shared" si="2"/>
        <v>AVT0000037</v>
      </c>
      <c r="B38" s="13" t="str">
        <f>VLOOKUP(D38,'SUPPLIER_ITEMS (1st Tools)'!C41:D1768,2,FALSE)</f>
        <v>1ST-358-040</v>
      </c>
      <c r="C38" s="14" t="s">
        <v>294</v>
      </c>
      <c r="D38" s="19" t="s">
        <v>734</v>
      </c>
      <c r="E38" s="30" t="str">
        <f t="shared" si="0"/>
        <v>PL22090-7 (LT22014-R3)GARDEN HOSE RED 3/4"*60M</v>
      </c>
      <c r="F38" s="30" t="str">
        <f t="shared" si="1"/>
        <v>AV22090-7 (LT22014-R3)GARDEN HOSE RED 3/4"*60M</v>
      </c>
      <c r="I38" s="31" t="str">
        <f>VLOOKUP(D38,'[1]NEW PRICE LIST'!$C$4:$D$1917,2,FALSE)</f>
        <v>1 ROLL</v>
      </c>
      <c r="J38" s="13" t="s">
        <v>299</v>
      </c>
      <c r="K38" s="32">
        <f>VLOOKUP(D38,'[1]NEW PRICE LIST'!$C$4:$H$1917,3,FALSE)</f>
        <v>1650</v>
      </c>
      <c r="L38" s="13">
        <v>100</v>
      </c>
      <c r="M38" s="13">
        <v>0</v>
      </c>
      <c r="N38" s="13">
        <v>0</v>
      </c>
    </row>
    <row r="39" spans="1:14" x14ac:dyDescent="0.25">
      <c r="A39" s="14" t="str">
        <f t="shared" si="2"/>
        <v>AVT0000038</v>
      </c>
      <c r="B39" s="13" t="str">
        <f>VLOOKUP(D39,'SUPPLIER_ITEMS (1st Tools)'!C42:D1769,2,FALSE)</f>
        <v>1ST-358-041</v>
      </c>
      <c r="C39" s="14" t="s">
        <v>294</v>
      </c>
      <c r="D39" s="19" t="s">
        <v>735</v>
      </c>
      <c r="E39" s="30" t="str">
        <f t="shared" si="0"/>
        <v>PL22090-8 (LT22014-R4) GARDEN HOSE RED 1"*60M</v>
      </c>
      <c r="F39" s="30" t="str">
        <f t="shared" si="1"/>
        <v>AV22090-8 (LT22014-R4) GARDEN HOSE RED 1"*60M</v>
      </c>
      <c r="I39" s="31" t="str">
        <f>VLOOKUP(D39,'[1]NEW PRICE LIST'!$C$4:$D$1917,2,FALSE)</f>
        <v>1 ROLL</v>
      </c>
      <c r="J39" s="13" t="s">
        <v>299</v>
      </c>
      <c r="K39" s="32">
        <f>VLOOKUP(D39,'[1]NEW PRICE LIST'!$C$4:$H$1917,3,FALSE)</f>
        <v>2250</v>
      </c>
      <c r="L39" s="13">
        <v>100</v>
      </c>
      <c r="M39" s="13">
        <v>0</v>
      </c>
      <c r="N39" s="13">
        <v>0</v>
      </c>
    </row>
    <row r="40" spans="1:14" x14ac:dyDescent="0.25">
      <c r="A40" s="14" t="str">
        <f t="shared" si="2"/>
        <v>AVT0000039</v>
      </c>
      <c r="B40" s="13" t="str">
        <f>VLOOKUP(D40,'SUPPLIER_ITEMS (1st Tools)'!C43:D1770,2,FALSE)</f>
        <v>1ST-358-042</v>
      </c>
      <c r="C40" s="14" t="s">
        <v>293</v>
      </c>
      <c r="D40" s="18" t="s">
        <v>455</v>
      </c>
      <c r="E40" s="30" t="str">
        <f t="shared" si="0"/>
        <v>PL22091-1 (LT22015-1) EXTRA THICK HOSE 1/4"*150M</v>
      </c>
      <c r="F40" s="30" t="str">
        <f t="shared" si="1"/>
        <v>AV22091-1 (LT22015-1) EXTRA THICK HOSE 1/4"*150M</v>
      </c>
      <c r="I40" s="31" t="str">
        <f>VLOOKUP(D40,'[1]NEW PRICE LIST'!$C$4:$D$1917,2,FALSE)</f>
        <v>1ROLL</v>
      </c>
      <c r="J40" s="13" t="s">
        <v>3621</v>
      </c>
      <c r="K40" s="32">
        <f>VLOOKUP(D40,'[1]NEW PRICE LIST'!$C$4:$H$1917,3,FALSE)</f>
        <v>1350</v>
      </c>
      <c r="L40" s="13">
        <v>100</v>
      </c>
      <c r="M40" s="13">
        <v>0</v>
      </c>
      <c r="N40" s="13">
        <v>0</v>
      </c>
    </row>
    <row r="41" spans="1:14" x14ac:dyDescent="0.25">
      <c r="A41" s="14" t="str">
        <f t="shared" si="2"/>
        <v>AVT0000040</v>
      </c>
      <c r="B41" s="13" t="str">
        <f>VLOOKUP(D41,'SUPPLIER_ITEMS (1st Tools)'!C44:D1771,2,FALSE)</f>
        <v>1ST-358-043</v>
      </c>
      <c r="C41" s="14" t="s">
        <v>293</v>
      </c>
      <c r="D41" s="20" t="s">
        <v>464</v>
      </c>
      <c r="E41" s="30" t="str">
        <f t="shared" si="0"/>
        <v>PL22091-2 (LT22015-2) EXTRA THICK HOSE 5/16"*150M</v>
      </c>
      <c r="F41" s="30" t="str">
        <f t="shared" si="1"/>
        <v>AV22091-2 (LT22015-2) EXTRA THICK HOSE 5/16"*150M</v>
      </c>
      <c r="I41" s="31" t="str">
        <f>VLOOKUP(D41,'[1]NEW PRICE LIST'!$C$4:$D$1917,2,FALSE)</f>
        <v>1ROLL</v>
      </c>
      <c r="J41" s="13" t="s">
        <v>300</v>
      </c>
      <c r="K41" s="32">
        <f>VLOOKUP(D41,'[1]NEW PRICE LIST'!$C$4:$H$1917,3,FALSE)</f>
        <v>1750</v>
      </c>
      <c r="L41" s="13">
        <v>100</v>
      </c>
      <c r="M41" s="13">
        <v>0</v>
      </c>
      <c r="N41" s="13">
        <v>0</v>
      </c>
    </row>
    <row r="42" spans="1:14" x14ac:dyDescent="0.25">
      <c r="A42" s="14" t="str">
        <f t="shared" si="2"/>
        <v>AVT0000041</v>
      </c>
      <c r="B42" s="13" t="str">
        <f>VLOOKUP(D42,'SUPPLIER_ITEMS (1st Tools)'!C45:D1772,2,FALSE)</f>
        <v>1ST-358-044</v>
      </c>
      <c r="C42" s="14" t="s">
        <v>293</v>
      </c>
      <c r="D42" s="14" t="s">
        <v>457</v>
      </c>
      <c r="E42" s="30" t="str">
        <f t="shared" si="0"/>
        <v>PL22091-3 (LT22015-3) EXTRA THICK HOSE 3/8"*150M</v>
      </c>
      <c r="F42" s="30" t="str">
        <f t="shared" si="1"/>
        <v>AV22091-3 (LT22015-3) EXTRA THICK HOSE 3/8"*150M</v>
      </c>
      <c r="I42" s="31" t="str">
        <f>VLOOKUP(D42,'[1]NEW PRICE LIST'!$C$4:$D$1917,2,FALSE)</f>
        <v>1ROLL</v>
      </c>
      <c r="J42" s="13" t="s">
        <v>300</v>
      </c>
      <c r="K42" s="32">
        <f>VLOOKUP(D42,'[1]NEW PRICE LIST'!$C$4:$H$1917,3,FALSE)</f>
        <v>2160</v>
      </c>
      <c r="L42" s="13">
        <v>100</v>
      </c>
      <c r="M42" s="13">
        <v>0</v>
      </c>
      <c r="N42" s="13">
        <v>0</v>
      </c>
    </row>
    <row r="43" spans="1:14" ht="18.600000000000001" customHeight="1" x14ac:dyDescent="0.25">
      <c r="A43" s="14" t="str">
        <f t="shared" si="2"/>
        <v>AVT0000042</v>
      </c>
      <c r="B43" s="13" t="str">
        <f>VLOOKUP(D43,'SUPPLIER_ITEMS (1st Tools)'!C46:D1773,2,FALSE)</f>
        <v>1ST-358-045</v>
      </c>
      <c r="C43" s="14" t="s">
        <v>293</v>
      </c>
      <c r="D43" s="14" t="s">
        <v>458</v>
      </c>
      <c r="E43" s="30" t="str">
        <f t="shared" si="0"/>
        <v>PL22091-4 (LT22015-4) EXTRA THICK HOSE 1/2"*150M</v>
      </c>
      <c r="F43" s="30" t="str">
        <f t="shared" si="1"/>
        <v>AV22091-4 (LT22015-4) EXTRA THICK HOSE 1/2"*150M</v>
      </c>
      <c r="I43" s="31" t="str">
        <f>VLOOKUP(D43,'[1]NEW PRICE LIST'!$C$4:$D$1917,2,FALSE)</f>
        <v>1ROLL</v>
      </c>
      <c r="J43" s="13" t="s">
        <v>300</v>
      </c>
      <c r="K43" s="32">
        <f>VLOOKUP(D43,'[1]NEW PRICE LIST'!$C$4:$H$1917,3,FALSE)</f>
        <v>2870</v>
      </c>
      <c r="L43" s="13">
        <v>100</v>
      </c>
      <c r="M43" s="13">
        <v>0</v>
      </c>
      <c r="N43" s="13">
        <v>0</v>
      </c>
    </row>
    <row r="44" spans="1:14" x14ac:dyDescent="0.25">
      <c r="A44" s="14" t="str">
        <f t="shared" si="2"/>
        <v>AVT0000043</v>
      </c>
      <c r="B44" s="13" t="str">
        <f>VLOOKUP(D44,'SUPPLIER_ITEMS (1st Tools)'!C47:D1774,2,FALSE)</f>
        <v>1ST-358-046</v>
      </c>
      <c r="C44" s="14" t="s">
        <v>292</v>
      </c>
      <c r="D44" s="18" t="s">
        <v>550</v>
      </c>
      <c r="E44" s="30" t="str">
        <f t="shared" si="0"/>
        <v>PL22092-1 (LT22011-1) CLEAR HOSE 1/8"*300M</v>
      </c>
      <c r="F44" s="30" t="str">
        <f t="shared" si="1"/>
        <v>AV22092-1 (LT22011-1) CLEAR HOSE 1/8"*300M</v>
      </c>
      <c r="I44" s="31" t="str">
        <f>VLOOKUP(D44,'[1]NEW PRICE LIST'!$C$4:$D$1917,2,FALSE)</f>
        <v>1ROLL</v>
      </c>
      <c r="J44" s="13" t="s">
        <v>300</v>
      </c>
      <c r="K44" s="32">
        <f>VLOOKUP(D44,'[1]NEW PRICE LIST'!$C$4:$H$1917,3,FALSE)</f>
        <v>460</v>
      </c>
      <c r="L44" s="13">
        <v>100</v>
      </c>
      <c r="M44" s="13">
        <v>0</v>
      </c>
      <c r="N44" s="13">
        <v>0</v>
      </c>
    </row>
    <row r="45" spans="1:14" x14ac:dyDescent="0.25">
      <c r="A45" s="14" t="str">
        <f t="shared" si="2"/>
        <v>AVT0000044</v>
      </c>
      <c r="B45" s="13" t="str">
        <f>VLOOKUP(D45,'SUPPLIER_ITEMS (1st Tools)'!C48:D1775,2,FALSE)</f>
        <v>1ST-358-047</v>
      </c>
      <c r="C45" s="14" t="s">
        <v>292</v>
      </c>
      <c r="D45" s="18" t="s">
        <v>552</v>
      </c>
      <c r="E45" s="30" t="str">
        <f t="shared" si="0"/>
        <v>PL22092-2 (LT22011-2) CLEAR HOSE 3/16"*300M</v>
      </c>
      <c r="F45" s="30" t="str">
        <f t="shared" si="1"/>
        <v>AV22092-2 (LT22011-2) CLEAR HOSE 3/16"*300M</v>
      </c>
      <c r="I45" s="31" t="str">
        <f>VLOOKUP(D45,'[1]NEW PRICE LIST'!$C$4:$D$1917,2,FALSE)</f>
        <v>1ROLL</v>
      </c>
      <c r="J45" s="13" t="s">
        <v>302</v>
      </c>
      <c r="K45" s="32">
        <f>VLOOKUP(D45,'[1]NEW PRICE LIST'!$C$4:$H$1917,3,FALSE)</f>
        <v>720</v>
      </c>
      <c r="L45" s="13">
        <v>100</v>
      </c>
      <c r="M45" s="13">
        <v>0</v>
      </c>
      <c r="N45" s="13">
        <v>0</v>
      </c>
    </row>
    <row r="46" spans="1:14" x14ac:dyDescent="0.25">
      <c r="A46" s="14" t="str">
        <f t="shared" si="2"/>
        <v>AVT0000045</v>
      </c>
      <c r="B46" s="13" t="str">
        <f>VLOOKUP(D46,'SUPPLIER_ITEMS (1st Tools)'!C49:D1776,2,FALSE)</f>
        <v>1ST-358-048</v>
      </c>
      <c r="C46" s="14" t="s">
        <v>292</v>
      </c>
      <c r="D46" s="18" t="s">
        <v>554</v>
      </c>
      <c r="E46" s="30" t="str">
        <f t="shared" si="0"/>
        <v>PL22092-3 (LT22011-3) CLEAR HOSE 1/4"*300M</v>
      </c>
      <c r="F46" s="30" t="str">
        <f t="shared" si="1"/>
        <v>AV22092-3 (LT22011-3) CLEAR HOSE 1/4"*300M</v>
      </c>
      <c r="I46" s="31" t="str">
        <f>VLOOKUP(D46,'[1]NEW PRICE LIST'!$C$4:$D$1917,2,FALSE)</f>
        <v>1ROLL</v>
      </c>
      <c r="J46" s="13" t="s">
        <v>302</v>
      </c>
      <c r="K46" s="32">
        <f>VLOOKUP(D46,'[1]NEW PRICE LIST'!$C$4:$H$1917,3,FALSE)</f>
        <v>900</v>
      </c>
      <c r="L46" s="13">
        <v>100</v>
      </c>
      <c r="M46" s="13">
        <v>0</v>
      </c>
      <c r="N46" s="13">
        <v>0</v>
      </c>
    </row>
    <row r="47" spans="1:14" x14ac:dyDescent="0.25">
      <c r="A47" s="14" t="str">
        <f t="shared" si="2"/>
        <v>AVT0000046</v>
      </c>
      <c r="B47" s="13" t="str">
        <f>VLOOKUP(D47,'SUPPLIER_ITEMS (1st Tools)'!C50:D1777,2,FALSE)</f>
        <v>1ST-358-049</v>
      </c>
      <c r="C47" s="14" t="s">
        <v>292</v>
      </c>
      <c r="D47" s="18" t="s">
        <v>556</v>
      </c>
      <c r="E47" s="30" t="str">
        <f t="shared" si="0"/>
        <v>PL22092-4 (LT22011-4) CLEAR HOSE 5/16"*300M</v>
      </c>
      <c r="F47" s="30" t="str">
        <f t="shared" si="1"/>
        <v>AV22092-4 (LT22011-4) CLEAR HOSE 5/16"*300M</v>
      </c>
      <c r="I47" s="31" t="str">
        <f>VLOOKUP(D47,'[1]NEW PRICE LIST'!$C$4:$D$1917,2,FALSE)</f>
        <v>1ROLL</v>
      </c>
      <c r="J47" s="13" t="s">
        <v>300</v>
      </c>
      <c r="K47" s="32">
        <f>VLOOKUP(D47,'[1]NEW PRICE LIST'!$C$4:$H$1917,3,FALSE)</f>
        <v>1650</v>
      </c>
      <c r="L47" s="13">
        <v>100</v>
      </c>
      <c r="M47" s="13">
        <v>0</v>
      </c>
      <c r="N47" s="13">
        <v>0</v>
      </c>
    </row>
    <row r="48" spans="1:14" x14ac:dyDescent="0.25">
      <c r="A48" s="14" t="str">
        <f t="shared" si="2"/>
        <v>AVT0000047</v>
      </c>
      <c r="B48" s="13" t="str">
        <f>VLOOKUP(D48,'SUPPLIER_ITEMS (1st Tools)'!C51:D1778,2,FALSE)</f>
        <v>1ST-358-050</v>
      </c>
      <c r="C48" s="14" t="s">
        <v>292</v>
      </c>
      <c r="D48" s="18" t="s">
        <v>558</v>
      </c>
      <c r="E48" s="30" t="str">
        <f t="shared" si="0"/>
        <v>PL22092-5 (LT22011-5) CLEAR HOSE 3/8"*150M</v>
      </c>
      <c r="F48" s="30" t="str">
        <f t="shared" si="1"/>
        <v>AV22092-5 (LT22011-5) CLEAR HOSE 3/8"*150M</v>
      </c>
      <c r="I48" s="31" t="str">
        <f>VLOOKUP(D48,'[1]NEW PRICE LIST'!$C$4:$D$1917,2,FALSE)</f>
        <v>1ROLL</v>
      </c>
      <c r="J48" s="13" t="s">
        <v>300</v>
      </c>
      <c r="K48" s="32">
        <f>VLOOKUP(D48,'[1]NEW PRICE LIST'!$C$4:$H$1917,3,FALSE)</f>
        <v>1100</v>
      </c>
      <c r="L48" s="13">
        <v>100</v>
      </c>
      <c r="M48" s="13">
        <v>0</v>
      </c>
      <c r="N48" s="13">
        <v>0</v>
      </c>
    </row>
    <row r="49" spans="1:15" x14ac:dyDescent="0.25">
      <c r="A49" s="14" t="str">
        <f t="shared" si="2"/>
        <v>AVT0000048</v>
      </c>
      <c r="B49" s="13" t="str">
        <f>VLOOKUP(D49,'SUPPLIER_ITEMS (1st Tools)'!C52:D1779,2,FALSE)</f>
        <v>1ST-358-051</v>
      </c>
      <c r="C49" s="14" t="s">
        <v>292</v>
      </c>
      <c r="D49" s="18" t="s">
        <v>560</v>
      </c>
      <c r="E49" s="30" t="str">
        <f t="shared" si="0"/>
        <v>PL22092-6 (LT22011-6) CLEAR HOSE 1/2"*150M</v>
      </c>
      <c r="F49" s="30" t="str">
        <f t="shared" si="1"/>
        <v>AV22092-6 (LT22011-6) CLEAR HOSE 1/2"*150M</v>
      </c>
      <c r="I49" s="31" t="str">
        <f>VLOOKUP(D49,'[1]NEW PRICE LIST'!$C$4:$D$1917,2,FALSE)</f>
        <v>1ROLL</v>
      </c>
      <c r="J49" s="13" t="s">
        <v>3622</v>
      </c>
      <c r="K49" s="32">
        <f>VLOOKUP(D49,'[1]NEW PRICE LIST'!$C$4:$H$1917,3,FALSE)</f>
        <v>1680</v>
      </c>
      <c r="L49" s="13">
        <v>100</v>
      </c>
      <c r="M49" s="13">
        <v>0</v>
      </c>
      <c r="N49" s="13">
        <v>0</v>
      </c>
    </row>
    <row r="50" spans="1:15" x14ac:dyDescent="0.25">
      <c r="A50" s="14" t="str">
        <f t="shared" si="2"/>
        <v>AVT0000049</v>
      </c>
      <c r="B50" s="13" t="str">
        <f>VLOOKUP(D50,'SUPPLIER_ITEMS (1st Tools)'!C53:D1780,2,FALSE)</f>
        <v>1ST-358-052</v>
      </c>
      <c r="C50" s="14" t="s">
        <v>292</v>
      </c>
      <c r="D50" s="18" t="s">
        <v>562</v>
      </c>
      <c r="E50" s="30" t="str">
        <f t="shared" si="0"/>
        <v>PL22092-7 (LT22011-7) CLEAR HOSE 5/8"*150M</v>
      </c>
      <c r="F50" s="30" t="str">
        <f t="shared" si="1"/>
        <v>AV22092-7 (LT22011-7) CLEAR HOSE 5/8"*150M</v>
      </c>
      <c r="I50" s="31" t="str">
        <f>VLOOKUP(D50,'[1]NEW PRICE LIST'!$C$4:$D$1917,2,FALSE)</f>
        <v>1ROLL</v>
      </c>
      <c r="J50" s="13" t="s">
        <v>300</v>
      </c>
      <c r="K50" s="32">
        <f>VLOOKUP(D50,'[1]NEW PRICE LIST'!$C$4:$H$1917,3,FALSE)</f>
        <v>2260</v>
      </c>
      <c r="L50" s="13">
        <v>100</v>
      </c>
      <c r="M50" s="13">
        <v>0</v>
      </c>
      <c r="N50" s="13">
        <v>0</v>
      </c>
    </row>
    <row r="51" spans="1:15" x14ac:dyDescent="0.25">
      <c r="A51" s="14" t="str">
        <f t="shared" si="2"/>
        <v>AVT0000050</v>
      </c>
      <c r="B51" s="13" t="str">
        <f>VLOOKUP(D51,'SUPPLIER_ITEMS (1st Tools)'!C54:D1781,2,FALSE)</f>
        <v>1ST-358-053</v>
      </c>
      <c r="C51" s="14" t="s">
        <v>291</v>
      </c>
      <c r="D51" s="19" t="s">
        <v>564</v>
      </c>
      <c r="E51" s="30" t="str">
        <f t="shared" si="0"/>
        <v>PL22093-00 CHEMICAL HOSE 1/4"*90M</v>
      </c>
      <c r="F51" s="30" t="str">
        <f t="shared" si="1"/>
        <v>AV22093-00 CHEMICAL HOSE 1/4"*90M</v>
      </c>
      <c r="I51" s="31" t="str">
        <f>VLOOKUP(D51,'[1]NEW PRICE LIST'!$C$4:$D$1917,2,FALSE)</f>
        <v>1ROLL</v>
      </c>
      <c r="J51" s="13" t="s">
        <v>300</v>
      </c>
      <c r="K51" s="32">
        <f>VLOOKUP(D51,'[1]NEW PRICE LIST'!$C$4:$H$1917,3,FALSE)</f>
        <v>1500</v>
      </c>
      <c r="L51" s="13">
        <v>100</v>
      </c>
      <c r="M51" s="13">
        <v>0</v>
      </c>
      <c r="N51" s="13">
        <v>5</v>
      </c>
      <c r="O51" s="13" t="s">
        <v>3618</v>
      </c>
    </row>
    <row r="52" spans="1:15" x14ac:dyDescent="0.25">
      <c r="A52" s="14" t="str">
        <f t="shared" si="2"/>
        <v>AVT0000051</v>
      </c>
      <c r="B52" s="13" t="str">
        <f>VLOOKUP(D52,'SUPPLIER_ITEMS (1st Tools)'!C55:D1782,2,FALSE)</f>
        <v>1ST-358-054</v>
      </c>
      <c r="C52" s="14" t="s">
        <v>291</v>
      </c>
      <c r="D52" s="19" t="s">
        <v>565</v>
      </c>
      <c r="E52" s="30" t="str">
        <f t="shared" si="0"/>
        <v>PL22093-01 CHEMICAL HOSE 5/16"*90M</v>
      </c>
      <c r="F52" s="30" t="str">
        <f t="shared" si="1"/>
        <v>AV22093-01 CHEMICAL HOSE 5/16"*90M</v>
      </c>
      <c r="I52" s="31" t="str">
        <f>VLOOKUP(D52,'[1]NEW PRICE LIST'!$C$4:$D$1917,2,FALSE)</f>
        <v>1ROLL</v>
      </c>
      <c r="J52" s="13" t="s">
        <v>300</v>
      </c>
      <c r="K52" s="32">
        <f>VLOOKUP(D52,'[1]NEW PRICE LIST'!$C$4:$H$1917,3,FALSE)</f>
        <v>1730</v>
      </c>
      <c r="L52" s="13">
        <v>100</v>
      </c>
      <c r="M52" s="13">
        <v>0</v>
      </c>
      <c r="N52" s="13">
        <v>5</v>
      </c>
      <c r="O52" s="13" t="s">
        <v>3618</v>
      </c>
    </row>
    <row r="53" spans="1:15" x14ac:dyDescent="0.25">
      <c r="A53" s="14" t="str">
        <f t="shared" si="2"/>
        <v>AVT0000052</v>
      </c>
      <c r="B53" s="13" t="str">
        <f>VLOOKUP(D53,'SUPPLIER_ITEMS (1st Tools)'!C56:D1783,2,FALSE)</f>
        <v>1ST-358-055</v>
      </c>
      <c r="C53" s="14" t="s">
        <v>291</v>
      </c>
      <c r="D53" s="19" t="s">
        <v>567</v>
      </c>
      <c r="E53" s="30" t="str">
        <f t="shared" si="0"/>
        <v>PL22093-02 CHEMICAL HOSE 3/8"*90M</v>
      </c>
      <c r="F53" s="30" t="str">
        <f t="shared" si="1"/>
        <v>AV22093-02 CHEMICAL HOSE 3/8"*90M</v>
      </c>
      <c r="I53" s="31" t="str">
        <f>VLOOKUP(D53,'[1]NEW PRICE LIST'!$C$4:$D$1917,2,FALSE)</f>
        <v>1ROLL</v>
      </c>
      <c r="J53" s="13" t="s">
        <v>300</v>
      </c>
      <c r="K53" s="32">
        <f>VLOOKUP(D53,'[1]NEW PRICE LIST'!$C$4:$H$1917,3,FALSE)</f>
        <v>2100</v>
      </c>
      <c r="L53" s="13">
        <v>100</v>
      </c>
      <c r="M53" s="13">
        <v>0</v>
      </c>
      <c r="N53" s="13">
        <v>5</v>
      </c>
      <c r="O53" s="13" t="s">
        <v>3618</v>
      </c>
    </row>
    <row r="54" spans="1:15" x14ac:dyDescent="0.25">
      <c r="A54" s="14" t="str">
        <f t="shared" si="2"/>
        <v>AVT0000053</v>
      </c>
      <c r="B54" s="13" t="str">
        <f>VLOOKUP(D54,'SUPPLIER_ITEMS (1st Tools)'!C57:D1784,2,FALSE)</f>
        <v>1ST-358-056</v>
      </c>
      <c r="C54" s="14" t="s">
        <v>291</v>
      </c>
      <c r="D54" s="19" t="s">
        <v>569</v>
      </c>
      <c r="E54" s="30" t="str">
        <f t="shared" si="0"/>
        <v>PL22093-03 CHEMICAL HOSE 1/2"*90M</v>
      </c>
      <c r="F54" s="30" t="str">
        <f t="shared" si="1"/>
        <v>AV22093-03 CHEMICAL HOSE 1/2"*90M</v>
      </c>
      <c r="I54" s="31" t="str">
        <f>VLOOKUP(D54,'[1]NEW PRICE LIST'!$C$4:$D$1917,2,FALSE)</f>
        <v>1ROLL</v>
      </c>
      <c r="J54" s="13" t="s">
        <v>300</v>
      </c>
      <c r="K54" s="32">
        <f>VLOOKUP(D54,'[1]NEW PRICE LIST'!$C$4:$H$1917,3,FALSE)</f>
        <v>3000</v>
      </c>
      <c r="L54" s="13">
        <v>100</v>
      </c>
      <c r="M54" s="13">
        <v>0</v>
      </c>
      <c r="N54" s="13">
        <v>5</v>
      </c>
      <c r="O54" s="13" t="s">
        <v>3618</v>
      </c>
    </row>
    <row r="55" spans="1:15" x14ac:dyDescent="0.25">
      <c r="A55" s="14" t="str">
        <f t="shared" si="2"/>
        <v>AVT0000054</v>
      </c>
      <c r="B55" s="13" t="str">
        <f>VLOOKUP(D55,'SUPPLIER_ITEMS (1st Tools)'!C58:D1785,2,FALSE)</f>
        <v>1ST-358-057</v>
      </c>
      <c r="C55" s="14" t="s">
        <v>291</v>
      </c>
      <c r="D55" s="18" t="s">
        <v>571</v>
      </c>
      <c r="E55" s="30" t="str">
        <f t="shared" si="0"/>
        <v>PL22093-04 CHEMICAL HOSE 5/8"*90M</v>
      </c>
      <c r="F55" s="30" t="str">
        <f t="shared" si="1"/>
        <v>AV22093-04 CHEMICAL HOSE 5/8"*90M</v>
      </c>
      <c r="I55" s="31" t="str">
        <f>VLOOKUP(D55,'[1]NEW PRICE LIST'!$C$4:$D$1917,2,FALSE)</f>
        <v>1ROLL</v>
      </c>
      <c r="J55" s="13" t="s">
        <v>300</v>
      </c>
      <c r="K55" s="32">
        <f>VLOOKUP(D55,'[1]NEW PRICE LIST'!$C$4:$H$1917,3,FALSE)</f>
        <v>3700</v>
      </c>
      <c r="L55" s="13">
        <v>100</v>
      </c>
      <c r="M55" s="13">
        <v>0</v>
      </c>
      <c r="N55" s="13">
        <v>5</v>
      </c>
      <c r="O55" s="13" t="s">
        <v>3618</v>
      </c>
    </row>
    <row r="56" spans="1:15" ht="18.600000000000001" customHeight="1" x14ac:dyDescent="0.25">
      <c r="A56" s="14" t="str">
        <f t="shared" si="2"/>
        <v>AVT0000055</v>
      </c>
      <c r="B56" s="13" t="str">
        <f>VLOOKUP(D56,'SUPPLIER_ITEMS (1st Tools)'!C59:D1786,2,FALSE)</f>
        <v>1ST-358-058</v>
      </c>
      <c r="C56" s="14" t="s">
        <v>291</v>
      </c>
      <c r="D56" s="19" t="s">
        <v>573</v>
      </c>
      <c r="E56" s="30" t="str">
        <f t="shared" si="0"/>
        <v>PL22093-05 CHEMICAL HOSE 3/4"*50M</v>
      </c>
      <c r="F56" s="30" t="str">
        <f t="shared" si="1"/>
        <v>AV22093-05 CHEMICAL HOSE 3/4"*50M</v>
      </c>
      <c r="I56" s="31" t="str">
        <f>VLOOKUP(D56,'[1]NEW PRICE LIST'!$C$4:$D$1917,2,FALSE)</f>
        <v>1ROLL</v>
      </c>
      <c r="J56" s="13" t="s">
        <v>3622</v>
      </c>
      <c r="K56" s="32">
        <f>VLOOKUP(D56,'[1]NEW PRICE LIST'!$C$4:$H$1917,3,FALSE)</f>
        <v>3000</v>
      </c>
      <c r="L56" s="13">
        <v>100</v>
      </c>
      <c r="M56" s="13">
        <v>0</v>
      </c>
      <c r="N56" s="13">
        <v>5</v>
      </c>
      <c r="O56" s="13" t="s">
        <v>3618</v>
      </c>
    </row>
    <row r="57" spans="1:15" ht="18.600000000000001" customHeight="1" x14ac:dyDescent="0.25">
      <c r="A57" s="14" t="str">
        <f t="shared" si="2"/>
        <v>AVT0000056</v>
      </c>
      <c r="B57" s="13" t="str">
        <f>VLOOKUP(D57,'SUPPLIER_ITEMS (1st Tools)'!C60:D1787,2,FALSE)</f>
        <v>1ST-358-059</v>
      </c>
      <c r="C57" s="14" t="s">
        <v>291</v>
      </c>
      <c r="D57" s="19" t="s">
        <v>3634</v>
      </c>
      <c r="E57" s="30" t="str">
        <f t="shared" si="0"/>
        <v>PL22093-06 CHEMICAL HOSE 1"*50M</v>
      </c>
      <c r="F57" s="30" t="str">
        <f t="shared" si="1"/>
        <v>AV22093-06 CHEMICAL HOSE 1"*50M</v>
      </c>
      <c r="I57" s="31" t="str">
        <f>VLOOKUP(D57,'[1]NEW PRICE LIST'!$C$4:$D$1917,2,FALSE)</f>
        <v>1ROLL</v>
      </c>
      <c r="J57" s="13" t="s">
        <v>3622</v>
      </c>
      <c r="K57" s="32">
        <f>VLOOKUP(D57,'[1]NEW PRICE LIST'!$C$4:$H$1917,3,FALSE)</f>
        <v>3900</v>
      </c>
      <c r="L57" s="13">
        <v>100</v>
      </c>
      <c r="M57" s="13">
        <v>0</v>
      </c>
      <c r="N57" s="13">
        <v>5</v>
      </c>
      <c r="O57" s="13" t="s">
        <v>3618</v>
      </c>
    </row>
    <row r="58" spans="1:15" x14ac:dyDescent="0.25">
      <c r="A58" s="14" t="str">
        <f t="shared" si="2"/>
        <v>AVT0000057</v>
      </c>
      <c r="B58" s="13" t="str">
        <f>VLOOKUP(D58,'SUPPLIER_ITEMS (1st Tools)'!C61:D1788,2,FALSE)</f>
        <v>1ST-358-060</v>
      </c>
      <c r="C58" s="14" t="s">
        <v>291</v>
      </c>
      <c r="D58" s="19" t="s">
        <v>576</v>
      </c>
      <c r="E58" s="30" t="str">
        <f t="shared" si="0"/>
        <v>PL22093-07 CHEMICAL HOSE 1-1/4"*40M</v>
      </c>
      <c r="F58" s="30" t="str">
        <f t="shared" si="1"/>
        <v>AV22093-07 CHEMICAL HOSE 1-1/4"*40M</v>
      </c>
      <c r="I58" s="31" t="str">
        <f>VLOOKUP(D58,'[1]NEW PRICE LIST'!$C$4:$D$1917,2,FALSE)</f>
        <v>1ROLL</v>
      </c>
      <c r="J58" s="13" t="s">
        <v>300</v>
      </c>
      <c r="K58" s="32">
        <f>VLOOKUP(D58,'[1]NEW PRICE LIST'!$C$4:$H$1917,3,FALSE)</f>
        <v>4600</v>
      </c>
      <c r="L58" s="13">
        <v>100</v>
      </c>
      <c r="M58" s="13">
        <v>0</v>
      </c>
      <c r="N58" s="13">
        <v>5</v>
      </c>
      <c r="O58" s="13" t="s">
        <v>3618</v>
      </c>
    </row>
    <row r="59" spans="1:15" x14ac:dyDescent="0.25">
      <c r="A59" s="14" t="str">
        <f t="shared" si="2"/>
        <v>AVT0000058</v>
      </c>
      <c r="B59" s="13" t="str">
        <f>VLOOKUP(D59,'SUPPLIER_ITEMS (1st Tools)'!C62:D1789,2,FALSE)</f>
        <v>1ST-358-061</v>
      </c>
      <c r="C59" s="14" t="s">
        <v>291</v>
      </c>
      <c r="D59" s="19" t="s">
        <v>578</v>
      </c>
      <c r="E59" s="30" t="str">
        <f t="shared" si="0"/>
        <v>PL22093-08 CHEMICAL HOSE 1-1/2"*40M</v>
      </c>
      <c r="F59" s="30" t="str">
        <f t="shared" si="1"/>
        <v>AV22093-08 CHEMICAL HOSE 1-1/2"*40M</v>
      </c>
      <c r="I59" s="31" t="str">
        <f>VLOOKUP(D59,'[1]NEW PRICE LIST'!$C$4:$D$1917,2,FALSE)</f>
        <v>1ROLL</v>
      </c>
      <c r="J59" s="13" t="s">
        <v>300</v>
      </c>
      <c r="K59" s="32">
        <f>VLOOKUP(D59,'[1]NEW PRICE LIST'!$C$4:$H$1917,3,FALSE)</f>
        <v>6400</v>
      </c>
      <c r="L59" s="13">
        <v>100</v>
      </c>
      <c r="M59" s="13">
        <v>0</v>
      </c>
      <c r="N59" s="13">
        <v>5</v>
      </c>
      <c r="O59" s="13" t="s">
        <v>3618</v>
      </c>
    </row>
    <row r="60" spans="1:15" x14ac:dyDescent="0.25">
      <c r="A60" s="14" t="str">
        <f t="shared" si="2"/>
        <v>AVT0000059</v>
      </c>
      <c r="B60" s="13" t="str">
        <f>VLOOKUP(D60,'SUPPLIER_ITEMS (1st Tools)'!C63:D1790,2,FALSE)</f>
        <v>1ST-358-062</v>
      </c>
      <c r="C60" s="14" t="s">
        <v>291</v>
      </c>
      <c r="D60" s="18" t="s">
        <v>580</v>
      </c>
      <c r="E60" s="30" t="str">
        <f t="shared" si="0"/>
        <v>PL22093-09 CHEMICAL HOSE 2"*40M</v>
      </c>
      <c r="F60" s="30" t="str">
        <f t="shared" si="1"/>
        <v>AV22093-09 CHEMICAL HOSE 2"*40M</v>
      </c>
      <c r="I60" s="31" t="str">
        <f>VLOOKUP(D60,'[1]NEW PRICE LIST'!$C$4:$D$1917,2,FALSE)</f>
        <v>1ROLL</v>
      </c>
      <c r="J60" s="13" t="s">
        <v>300</v>
      </c>
      <c r="K60" s="32">
        <f>VLOOKUP(D60,'[1]NEW PRICE LIST'!$C$4:$H$1917,3,FALSE)</f>
        <v>9500</v>
      </c>
      <c r="L60" s="13">
        <v>100</v>
      </c>
      <c r="M60" s="13">
        <v>0</v>
      </c>
      <c r="N60" s="13">
        <v>5</v>
      </c>
      <c r="O60" s="13" t="s">
        <v>3618</v>
      </c>
    </row>
    <row r="61" spans="1:15" ht="26.4" x14ac:dyDescent="0.25">
      <c r="A61" s="14" t="str">
        <f t="shared" si="2"/>
        <v>AVT0000060</v>
      </c>
      <c r="B61" s="13" t="str">
        <f>VLOOKUP(D61,'SUPPLIER_ITEMS (1st Tools)'!C64:D1791,2,FALSE)</f>
        <v>1ST-358-063</v>
      </c>
      <c r="C61" s="14" t="s">
        <v>290</v>
      </c>
      <c r="D61" s="19" t="s">
        <v>582</v>
      </c>
      <c r="E61" s="30" t="str">
        <f t="shared" si="0"/>
        <v>PL22250-1 1/2" HOSE COUPLING</v>
      </c>
      <c r="F61" s="30" t="str">
        <f t="shared" si="1"/>
        <v>AV22250-1 1/2" HOSE COUPLING</v>
      </c>
      <c r="I61" s="31" t="str">
        <f>VLOOKUP(D61,'[1]NEW PRICE LIST'!$C$4:$D$1917,2,FALSE)</f>
        <v>12PCS*
20BOXES/CTN</v>
      </c>
      <c r="J61" s="13" t="s">
        <v>3620</v>
      </c>
      <c r="K61" s="32">
        <f>VLOOKUP(D61,'[1]NEW PRICE LIST'!$C$4:$H$1917,3,FALSE)</f>
        <v>35</v>
      </c>
      <c r="L61" s="13">
        <v>100</v>
      </c>
      <c r="M61" s="13">
        <v>0</v>
      </c>
      <c r="N61" s="13">
        <v>0</v>
      </c>
    </row>
    <row r="62" spans="1:15" ht="26.4" x14ac:dyDescent="0.25">
      <c r="A62" s="14" t="str">
        <f t="shared" si="2"/>
        <v>AVT0000061</v>
      </c>
      <c r="B62" s="13" t="str">
        <f>VLOOKUP(D62,'SUPPLIER_ITEMS (1st Tools)'!C65:D1792,2,FALSE)</f>
        <v>1ST-358-064</v>
      </c>
      <c r="C62" s="14" t="s">
        <v>290</v>
      </c>
      <c r="D62" s="19" t="s">
        <v>584</v>
      </c>
      <c r="E62" s="30" t="str">
        <f t="shared" si="0"/>
        <v>PL22250-2 5/8" HOSE COUPLING</v>
      </c>
      <c r="F62" s="30" t="str">
        <f t="shared" si="1"/>
        <v>AV22250-2 5/8" HOSE COUPLING</v>
      </c>
      <c r="I62" s="31" t="str">
        <f>VLOOKUP(D62,'[1]NEW PRICE LIST'!$C$4:$D$1917,2,FALSE)</f>
        <v>12PCS*
20BOXES/CTN</v>
      </c>
      <c r="J62" s="13" t="s">
        <v>3620</v>
      </c>
      <c r="K62" s="32">
        <f>VLOOKUP(D62,'[1]NEW PRICE LIST'!$C$4:$H$1917,3,FALSE)</f>
        <v>38</v>
      </c>
      <c r="L62" s="13">
        <v>100</v>
      </c>
      <c r="M62" s="13">
        <v>0</v>
      </c>
      <c r="N62" s="13">
        <v>0</v>
      </c>
    </row>
    <row r="63" spans="1:15" ht="26.4" x14ac:dyDescent="0.25">
      <c r="A63" s="14" t="str">
        <f t="shared" si="2"/>
        <v>AVT0000062</v>
      </c>
      <c r="B63" s="13" t="str">
        <f>VLOOKUP(D63,'SUPPLIER_ITEMS (1st Tools)'!C66:D1793,2,FALSE)</f>
        <v>1ST-358-065</v>
      </c>
      <c r="C63" s="14" t="s">
        <v>290</v>
      </c>
      <c r="D63" s="19" t="s">
        <v>586</v>
      </c>
      <c r="E63" s="30" t="str">
        <f t="shared" si="0"/>
        <v>PL22250-3 3/4" HOSE COUPLING</v>
      </c>
      <c r="F63" s="30" t="str">
        <f t="shared" si="1"/>
        <v>AV22250-3 3/4" HOSE COUPLING</v>
      </c>
      <c r="I63" s="31" t="str">
        <f>VLOOKUP(D63,'[1]NEW PRICE LIST'!$C$4:$D$1917,2,FALSE)</f>
        <v>12PCS*
20BOXES/CTN</v>
      </c>
      <c r="J63" s="13" t="s">
        <v>3620</v>
      </c>
      <c r="K63" s="32">
        <f>VLOOKUP(D63,'[1]NEW PRICE LIST'!$C$4:$H$1917,3,FALSE)</f>
        <v>39</v>
      </c>
      <c r="L63" s="13">
        <v>100</v>
      </c>
      <c r="M63" s="13">
        <v>0</v>
      </c>
      <c r="N63" s="13">
        <v>0</v>
      </c>
    </row>
    <row r="64" spans="1:15" x14ac:dyDescent="0.25">
      <c r="A64" s="14" t="str">
        <f t="shared" si="2"/>
        <v>AVT0000063</v>
      </c>
      <c r="B64" s="13" t="str">
        <f>VLOOKUP(D64,'SUPPLIER_ITEMS (1st Tools)'!C67:D1794,2,FALSE)</f>
        <v>1ST-358-066</v>
      </c>
      <c r="C64" s="14" t="s">
        <v>289</v>
      </c>
      <c r="D64" s="19" t="s">
        <v>588</v>
      </c>
      <c r="E64" s="30" t="str">
        <f t="shared" ref="E64:E114" si="3">TRIM(SUBSTITUTE(SUBSTITUTE(D64,CHAR(10)," "),CHAR(13)," "))</f>
        <v>PL22120 (LTMA001-0.5HP) 0.5HP QB60 WATER PUMP</v>
      </c>
      <c r="F64" s="30" t="str">
        <f t="shared" ref="F64:F114" si="4">"AV"&amp;RIGHT(D64,LEN(D64)-2)</f>
        <v>AV22120 (LTMA001-0.5HP) 0.5HP QB60 WATER PUMP</v>
      </c>
      <c r="I64" s="31" t="str">
        <f>VLOOKUP(D64,'[1]NEW PRICE LIST'!$C$4:$D$1917,2,FALSE)</f>
        <v>4PC/CTN</v>
      </c>
      <c r="J64" s="13" t="s">
        <v>300</v>
      </c>
      <c r="K64" s="32">
        <f>VLOOKUP(D64,'[1]NEW PRICE LIST'!$C$4:$H$1917,3,FALSE)</f>
        <v>1950</v>
      </c>
      <c r="L64" s="13">
        <v>100</v>
      </c>
      <c r="M64" s="13">
        <v>0</v>
      </c>
      <c r="N64" s="13">
        <v>0</v>
      </c>
    </row>
    <row r="65" spans="1:14" x14ac:dyDescent="0.25">
      <c r="A65" s="14" t="str">
        <f t="shared" si="2"/>
        <v>AVT0000064</v>
      </c>
      <c r="B65" s="13" t="str">
        <f>VLOOKUP(D65,'SUPPLIER_ITEMS (1st Tools)'!C68:D1795,2,FALSE)</f>
        <v>1ST-358-067</v>
      </c>
      <c r="C65" s="14" t="s">
        <v>289</v>
      </c>
      <c r="D65" s="19" t="s">
        <v>590</v>
      </c>
      <c r="E65" s="30" t="str">
        <f t="shared" si="3"/>
        <v>PL22132 1HP JET100L WATER PUMP</v>
      </c>
      <c r="F65" s="30" t="str">
        <f t="shared" si="4"/>
        <v>AV22132 1HP JET100L WATER PUMP</v>
      </c>
      <c r="I65" s="31" t="str">
        <f>VLOOKUP(D65,'[1]NEW PRICE LIST'!$C$4:$D$1917,2,FALSE)</f>
        <v>1PC/CTN</v>
      </c>
      <c r="J65" s="13" t="s">
        <v>300</v>
      </c>
      <c r="K65" s="32">
        <f>VLOOKUP(D65,'[1]NEW PRICE LIST'!$C$4:$H$1917,3,FALSE)</f>
        <v>3300</v>
      </c>
      <c r="L65" s="13">
        <v>100</v>
      </c>
      <c r="M65" s="13">
        <v>0</v>
      </c>
      <c r="N65" s="13">
        <v>0</v>
      </c>
    </row>
    <row r="66" spans="1:14" ht="26.4" x14ac:dyDescent="0.25">
      <c r="A66" s="14" t="str">
        <f t="shared" si="2"/>
        <v>AVT0000065</v>
      </c>
      <c r="B66" s="13" t="str">
        <f>VLOOKUP(D66,'SUPPLIER_ITEMS (1st Tools)'!C69:D1796,2,FALSE)</f>
        <v>1ST-358-068</v>
      </c>
      <c r="C66" s="14" t="s">
        <v>288</v>
      </c>
      <c r="D66" s="19" t="s">
        <v>466</v>
      </c>
      <c r="E66" s="30" t="str">
        <f t="shared" si="3"/>
        <v>PLWM001 PPR HOT MACHINER FAN A. 20-32 LIGHT - WELDING MACHINE</v>
      </c>
      <c r="F66" s="30" t="str">
        <f t="shared" si="4"/>
        <v>AVWM001 PPR HOT MACHINER FAN A. 20-32 LIGHT - WELDING MACHINE</v>
      </c>
      <c r="I66" s="31" t="str">
        <f>VLOOKUP(D66,'[1]NEW PRICE LIST'!$C$4:$D$1917,2,FALSE)</f>
        <v>10BOX/CTN</v>
      </c>
      <c r="J66" s="13" t="s">
        <v>3620</v>
      </c>
      <c r="K66" s="32">
        <f>VLOOKUP(D66,'[1]NEW PRICE LIST'!$C$4:$H$1917,3,FALSE)</f>
        <v>450</v>
      </c>
      <c r="L66" s="13">
        <v>100</v>
      </c>
      <c r="M66" s="13">
        <v>0</v>
      </c>
      <c r="N66" s="13">
        <v>0</v>
      </c>
    </row>
    <row r="67" spans="1:14" x14ac:dyDescent="0.25">
      <c r="A67" s="14" t="str">
        <f t="shared" si="2"/>
        <v>AVT0000066</v>
      </c>
      <c r="B67" s="13" t="str">
        <f>VLOOKUP(D67,'SUPPLIER_ITEMS (1st Tools)'!C71:D1798,2,FALSE)</f>
        <v>1ST-358-070</v>
      </c>
      <c r="C67" s="14" t="s">
        <v>286</v>
      </c>
      <c r="D67" s="18" t="s">
        <v>593</v>
      </c>
      <c r="E67" s="30" t="str">
        <f t="shared" si="3"/>
        <v>PL22200 POWER SPRAYER</v>
      </c>
      <c r="F67" s="30" t="str">
        <f t="shared" si="4"/>
        <v>AV22200 POWER SPRAYER</v>
      </c>
      <c r="I67" s="31" t="str">
        <f>VLOOKUP(D67,'[1]NEW PRICE LIST'!$C$4:$D$1917,2,FALSE)</f>
        <v>1SET/CTN</v>
      </c>
      <c r="J67" s="13" t="s">
        <v>3622</v>
      </c>
      <c r="K67" s="32">
        <f>VLOOKUP(D67,'[1]NEW PRICE LIST'!$C$4:$H$1917,3,FALSE)</f>
        <v>3500</v>
      </c>
      <c r="L67" s="13">
        <v>100</v>
      </c>
      <c r="M67" s="13">
        <v>0</v>
      </c>
      <c r="N67" s="13">
        <v>0</v>
      </c>
    </row>
    <row r="68" spans="1:14" x14ac:dyDescent="0.25">
      <c r="A68" s="14" t="str">
        <f t="shared" ref="A68:A131" si="5">"AVT"&amp;TEXT(RIGHT(A67,LEN(A67)-3)+1,"0000000")</f>
        <v>AVT0000067</v>
      </c>
      <c r="B68" s="13" t="str">
        <f>VLOOKUP(D68,'SUPPLIER_ITEMS (1st Tools)'!C72:D1799,2,FALSE)</f>
        <v>1ST-358-071</v>
      </c>
      <c r="C68" s="14" t="s">
        <v>286</v>
      </c>
      <c r="D68" s="18" t="s">
        <v>594</v>
      </c>
      <c r="E68" s="30" t="str">
        <f t="shared" si="3"/>
        <v>PL22200-FRAME POWER SPRAYER FRAME</v>
      </c>
      <c r="F68" s="30" t="str">
        <f t="shared" si="4"/>
        <v>AV22200-FRAME POWER SPRAYER FRAME</v>
      </c>
      <c r="I68" s="31" t="str">
        <f>VLOOKUP(D68,'[1]NEW PRICE LIST'!$C$4:$D$1917,2,FALSE)</f>
        <v>10SET/CTN</v>
      </c>
      <c r="J68" s="13" t="s">
        <v>3622</v>
      </c>
      <c r="K68" s="32">
        <f>VLOOKUP(D68,'[1]NEW PRICE LIST'!$C$4:$H$1917,3,FALSE)</f>
        <v>3500</v>
      </c>
      <c r="L68" s="13">
        <v>100</v>
      </c>
      <c r="M68" s="13">
        <v>0</v>
      </c>
      <c r="N68" s="13">
        <v>0</v>
      </c>
    </row>
    <row r="69" spans="1:14" x14ac:dyDescent="0.25">
      <c r="A69" s="14" t="str">
        <f t="shared" si="5"/>
        <v>AVT0000068</v>
      </c>
      <c r="B69" s="13" t="str">
        <f>VLOOKUP(D69,'SUPPLIER_ITEMS (1st Tools)'!C73:D1800,2,FALSE)</f>
        <v>1ST-358-072</v>
      </c>
      <c r="C69" s="14" t="s">
        <v>286</v>
      </c>
      <c r="D69" s="18" t="s">
        <v>595</v>
      </c>
      <c r="E69" s="30" t="str">
        <f t="shared" si="3"/>
        <v>PL22200-SPRAY GUN POWER SPRAYER GUN</v>
      </c>
      <c r="F69" s="30" t="str">
        <f t="shared" si="4"/>
        <v>AV22200-SPRAY GUN POWER SPRAYER GUN</v>
      </c>
      <c r="I69" s="31" t="str">
        <f>VLOOKUP(D69,'[1]NEW PRICE LIST'!$C$4:$D$1917,2,FALSE)</f>
        <v>50PCS/CTN</v>
      </c>
      <c r="J69" s="13" t="s">
        <v>300</v>
      </c>
      <c r="K69" s="32">
        <f>VLOOKUP(D69,'[1]NEW PRICE LIST'!$C$4:$H$1917,3,FALSE)</f>
        <v>3500</v>
      </c>
      <c r="L69" s="13">
        <v>100</v>
      </c>
      <c r="M69" s="13">
        <v>0</v>
      </c>
      <c r="N69" s="13">
        <v>0</v>
      </c>
    </row>
    <row r="70" spans="1:14" x14ac:dyDescent="0.25">
      <c r="A70" s="14" t="str">
        <f t="shared" si="5"/>
        <v>AVT0000069</v>
      </c>
      <c r="B70" s="13" t="str">
        <f>VLOOKUP(D70,'SUPPLIER_ITEMS (1st Tools)'!C74:D1801,2,FALSE)</f>
        <v>1ST-358-073</v>
      </c>
      <c r="C70" s="14" t="s">
        <v>285</v>
      </c>
      <c r="D70" s="19" t="s">
        <v>596</v>
      </c>
      <c r="E70" s="30" t="str">
        <f t="shared" si="3"/>
        <v>PL22210-1 POWER SPRAYER HOSE 10m-ORANGE</v>
      </c>
      <c r="F70" s="30" t="str">
        <f t="shared" si="4"/>
        <v>AV22210-1 POWER SPRAYER HOSE 10m-ORANGE</v>
      </c>
      <c r="I70" s="31" t="str">
        <f>VLOOKUP(D70,'[1]NEW PRICE LIST'!$C$4:$D$1917,2,FALSE)</f>
        <v>5ROLLS/CTN</v>
      </c>
      <c r="J70" s="13" t="s">
        <v>300</v>
      </c>
      <c r="K70" s="32">
        <f>VLOOKUP(D70,'[1]NEW PRICE LIST'!$C$4:$H$1917,3,FALSE)</f>
        <v>330</v>
      </c>
      <c r="L70" s="13">
        <v>100</v>
      </c>
      <c r="M70" s="13">
        <v>0</v>
      </c>
      <c r="N70" s="13">
        <v>0</v>
      </c>
    </row>
    <row r="71" spans="1:14" x14ac:dyDescent="0.25">
      <c r="A71" s="14" t="str">
        <f t="shared" si="5"/>
        <v>AVT0000070</v>
      </c>
      <c r="B71" s="13" t="str">
        <f>VLOOKUP(D71,'SUPPLIER_ITEMS (1st Tools)'!C75:D1802,2,FALSE)</f>
        <v>1ST-358-074</v>
      </c>
      <c r="C71" s="14" t="s">
        <v>285</v>
      </c>
      <c r="D71" s="19" t="s">
        <v>598</v>
      </c>
      <c r="E71" s="30" t="str">
        <f t="shared" si="3"/>
        <v>PL22210-2 POWER SPRAYER HOSE 15m-ORANGE</v>
      </c>
      <c r="F71" s="30" t="str">
        <f t="shared" si="4"/>
        <v>AV22210-2 POWER SPRAYER HOSE 15m-ORANGE</v>
      </c>
      <c r="I71" s="31" t="str">
        <f>VLOOKUP(D71,'[1]NEW PRICE LIST'!$C$4:$D$1917,2,FALSE)</f>
        <v>5ROLLS/CTN</v>
      </c>
      <c r="J71" s="13" t="s">
        <v>300</v>
      </c>
      <c r="K71" s="32">
        <f>VLOOKUP(D71,'[1]NEW PRICE LIST'!$C$4:$H$1917,3,FALSE)</f>
        <v>460</v>
      </c>
      <c r="L71" s="13">
        <v>100</v>
      </c>
      <c r="M71" s="13">
        <v>0</v>
      </c>
      <c r="N71" s="13">
        <v>0</v>
      </c>
    </row>
    <row r="72" spans="1:14" x14ac:dyDescent="0.25">
      <c r="A72" s="14" t="str">
        <f t="shared" si="5"/>
        <v>AVT0000071</v>
      </c>
      <c r="B72" s="13" t="str">
        <f>VLOOKUP(D72,'SUPPLIER_ITEMS (1st Tools)'!C76:D1803,2,FALSE)</f>
        <v>1ST-358-075</v>
      </c>
      <c r="C72" s="14" t="s">
        <v>285</v>
      </c>
      <c r="D72" s="19" t="s">
        <v>600</v>
      </c>
      <c r="E72" s="30" t="str">
        <f t="shared" si="3"/>
        <v>PL22210-3 POWER SPRAYER HOSE 20m-ORANGE</v>
      </c>
      <c r="F72" s="30" t="str">
        <f t="shared" si="4"/>
        <v>AV22210-3 POWER SPRAYER HOSE 20m-ORANGE</v>
      </c>
      <c r="I72" s="31" t="str">
        <f>VLOOKUP(D72,'[1]NEW PRICE LIST'!$C$4:$D$1917,2,FALSE)</f>
        <v>5ROLLS/CTN</v>
      </c>
      <c r="J72" s="13" t="s">
        <v>300</v>
      </c>
      <c r="K72" s="32">
        <f>VLOOKUP(D72,'[1]NEW PRICE LIST'!$C$4:$H$1917,3,FALSE)</f>
        <v>590</v>
      </c>
      <c r="L72" s="13">
        <v>100</v>
      </c>
      <c r="M72" s="13">
        <v>0</v>
      </c>
      <c r="N72" s="13">
        <v>0</v>
      </c>
    </row>
    <row r="73" spans="1:14" x14ac:dyDescent="0.25">
      <c r="A73" s="14" t="str">
        <f t="shared" si="5"/>
        <v>AVT0000072</v>
      </c>
      <c r="B73" s="13" t="str">
        <f>VLOOKUP(D73,'SUPPLIER_ITEMS (1st Tools)'!C77:D1804,2,FALSE)</f>
        <v>1ST-358-076</v>
      </c>
      <c r="C73" s="14" t="s">
        <v>285</v>
      </c>
      <c r="D73" s="19" t="s">
        <v>602</v>
      </c>
      <c r="E73" s="30" t="str">
        <f t="shared" si="3"/>
        <v>PL22210-4 POWER SPRAYER HOSE 30m-ORANGE</v>
      </c>
      <c r="F73" s="30" t="str">
        <f t="shared" si="4"/>
        <v>AV22210-4 POWER SPRAYER HOSE 30m-ORANGE</v>
      </c>
      <c r="I73" s="31" t="str">
        <f>VLOOKUP(D73,'[1]NEW PRICE LIST'!$C$4:$D$1917,2,FALSE)</f>
        <v>2ROLLS/CTN</v>
      </c>
      <c r="J73" s="13" t="s">
        <v>300</v>
      </c>
      <c r="K73" s="32">
        <f>VLOOKUP(D73,'[1]NEW PRICE LIST'!$C$4:$H$1917,3,FALSE)</f>
        <v>750</v>
      </c>
      <c r="L73" s="13">
        <v>100</v>
      </c>
      <c r="M73" s="13">
        <v>0</v>
      </c>
      <c r="N73" s="13">
        <v>0</v>
      </c>
    </row>
    <row r="74" spans="1:14" x14ac:dyDescent="0.25">
      <c r="A74" s="14" t="str">
        <f t="shared" si="5"/>
        <v>AVT0000073</v>
      </c>
      <c r="B74" s="13" t="str">
        <f>VLOOKUP(D74,'SUPPLIER_ITEMS (1st Tools)'!C78:D1805,2,FALSE)</f>
        <v>1ST-358-077</v>
      </c>
      <c r="C74" s="14" t="s">
        <v>285</v>
      </c>
      <c r="D74" s="19" t="s">
        <v>604</v>
      </c>
      <c r="E74" s="30" t="str">
        <f t="shared" si="3"/>
        <v>PL22210-5 POWER SPRAYER HOSE 50m-ORANGE</v>
      </c>
      <c r="F74" s="30" t="str">
        <f t="shared" si="4"/>
        <v>AV22210-5 POWER SPRAYER HOSE 50m-ORANGE</v>
      </c>
      <c r="I74" s="31" t="str">
        <f>VLOOKUP(D74,'[1]NEW PRICE LIST'!$C$4:$D$1917,2,FALSE)</f>
        <v>1ROLLS/CTN</v>
      </c>
      <c r="J74" s="13" t="s">
        <v>300</v>
      </c>
      <c r="K74" s="32">
        <f>VLOOKUP(D74,'[1]NEW PRICE LIST'!$C$4:$H$1917,3,FALSE)</f>
        <v>1160</v>
      </c>
      <c r="L74" s="13">
        <v>100</v>
      </c>
      <c r="M74" s="13">
        <v>0</v>
      </c>
      <c r="N74" s="13">
        <v>0</v>
      </c>
    </row>
    <row r="75" spans="1:14" x14ac:dyDescent="0.25">
      <c r="A75" s="14" t="str">
        <f t="shared" si="5"/>
        <v>AVT0000074</v>
      </c>
      <c r="B75" s="13" t="str">
        <f>VLOOKUP(D75,'SUPPLIER_ITEMS (1st Tools)'!C79:D1806,2,FALSE)</f>
        <v>1ST-358-078</v>
      </c>
      <c r="C75" s="14" t="s">
        <v>285</v>
      </c>
      <c r="D75" s="19" t="s">
        <v>606</v>
      </c>
      <c r="E75" s="30" t="str">
        <f t="shared" si="3"/>
        <v>PL22210- 6 POWER SPRAYER HOSE 100m-ORANGE</v>
      </c>
      <c r="F75" s="30" t="str">
        <f t="shared" si="4"/>
        <v>AV22210- 6 POWER SPRAYER HOSE 100m-ORANGE</v>
      </c>
      <c r="I75" s="31" t="str">
        <f>VLOOKUP(D75,'[1]NEW PRICE LIST'!$C$4:$D$1917,2,FALSE)</f>
        <v>1ROLLS/CTN</v>
      </c>
      <c r="J75" s="13" t="s">
        <v>300</v>
      </c>
      <c r="K75" s="32">
        <f>VLOOKUP(D75,'[1]NEW PRICE LIST'!$C$4:$H$1917,3,FALSE)</f>
        <v>2300</v>
      </c>
      <c r="L75" s="13">
        <v>100</v>
      </c>
      <c r="M75" s="13">
        <v>0</v>
      </c>
      <c r="N75" s="13">
        <v>0</v>
      </c>
    </row>
    <row r="76" spans="1:14" x14ac:dyDescent="0.25">
      <c r="A76" s="14" t="str">
        <f t="shared" si="5"/>
        <v>AVT0000075</v>
      </c>
      <c r="B76" s="13" t="str">
        <f>VLOOKUP(D76,'SUPPLIER_ITEMS (1st Tools)'!C80:D1807,2,FALSE)</f>
        <v>1ST-358-079</v>
      </c>
      <c r="C76" s="14" t="s">
        <v>284</v>
      </c>
      <c r="D76" s="18" t="s">
        <v>608</v>
      </c>
      <c r="E76" s="30" t="str">
        <f t="shared" si="3"/>
        <v>PL22211-1 POWER SPRAYER HOSE 10m-BLACK</v>
      </c>
      <c r="F76" s="30" t="str">
        <f t="shared" si="4"/>
        <v>AV22211-1 POWER SPRAYER HOSE 10m-BLACK</v>
      </c>
      <c r="I76" s="31" t="str">
        <f>VLOOKUP(D76,'[1]NEW PRICE LIST'!$C$4:$D$1917,2,FALSE)</f>
        <v>5ROLLS/CTN</v>
      </c>
      <c r="J76" s="13" t="s">
        <v>300</v>
      </c>
      <c r="K76" s="32">
        <f>VLOOKUP(D76,'[1]NEW PRICE LIST'!$C$4:$H$1917,3,FALSE)</f>
        <v>330</v>
      </c>
      <c r="L76" s="13">
        <v>100</v>
      </c>
      <c r="M76" s="13">
        <v>0</v>
      </c>
      <c r="N76" s="13">
        <v>0</v>
      </c>
    </row>
    <row r="77" spans="1:14" x14ac:dyDescent="0.25">
      <c r="A77" s="14" t="str">
        <f t="shared" si="5"/>
        <v>AVT0000076</v>
      </c>
      <c r="B77" s="13" t="str">
        <f>VLOOKUP(D77,'SUPPLIER_ITEMS (1st Tools)'!C81:D1808,2,FALSE)</f>
        <v>1ST-358-080</v>
      </c>
      <c r="C77" s="14" t="s">
        <v>284</v>
      </c>
      <c r="D77" s="18" t="s">
        <v>3635</v>
      </c>
      <c r="E77" s="30" t="str">
        <f t="shared" si="3"/>
        <v>PL22211-2 POWER SPRAYER HOSE 15m-BLACK</v>
      </c>
      <c r="F77" s="30" t="str">
        <f t="shared" si="4"/>
        <v>AV22211-2 POWER SPRAYER HOSE 15m-BLACK</v>
      </c>
      <c r="I77" s="31" t="str">
        <f>VLOOKUP(D77,'[1]NEW PRICE LIST'!$C$4:$D$1917,2,FALSE)</f>
        <v>5ROLLS/CTN</v>
      </c>
      <c r="J77" s="13" t="s">
        <v>738</v>
      </c>
      <c r="K77" s="32">
        <f>VLOOKUP(D77,'[1]NEW PRICE LIST'!$C$4:$H$1917,3,FALSE)</f>
        <v>460</v>
      </c>
      <c r="L77" s="13">
        <v>100</v>
      </c>
      <c r="M77" s="13">
        <v>0</v>
      </c>
      <c r="N77" s="13">
        <v>0</v>
      </c>
    </row>
    <row r="78" spans="1:14" x14ac:dyDescent="0.25">
      <c r="A78" s="14" t="str">
        <f t="shared" si="5"/>
        <v>AVT0000077</v>
      </c>
      <c r="B78" s="13" t="str">
        <f>VLOOKUP(D78,'SUPPLIER_ITEMS (1st Tools)'!C82:D1809,2,FALSE)</f>
        <v>1ST-358-081</v>
      </c>
      <c r="C78" s="14" t="s">
        <v>284</v>
      </c>
      <c r="D78" s="18" t="s">
        <v>3636</v>
      </c>
      <c r="E78" s="30" t="str">
        <f t="shared" si="3"/>
        <v>PL22211-3 POWER SPRAYER HOSE 20m-BLACK</v>
      </c>
      <c r="F78" s="30" t="str">
        <f t="shared" si="4"/>
        <v>AV22211-3 POWER SPRAYER HOSE 20m-BLACK</v>
      </c>
      <c r="I78" s="31" t="str">
        <f>VLOOKUP(D78,'[1]NEW PRICE LIST'!$C$4:$D$1917,2,FALSE)</f>
        <v>5ROLLS/CTN</v>
      </c>
      <c r="J78" s="13" t="s">
        <v>738</v>
      </c>
      <c r="K78" s="32">
        <f>VLOOKUP(D78,'[1]NEW PRICE LIST'!$C$4:$H$1917,3,FALSE)</f>
        <v>590</v>
      </c>
      <c r="L78" s="13">
        <v>100</v>
      </c>
      <c r="M78" s="13">
        <v>0</v>
      </c>
      <c r="N78" s="13">
        <v>0</v>
      </c>
    </row>
    <row r="79" spans="1:14" x14ac:dyDescent="0.25">
      <c r="A79" s="14" t="str">
        <f t="shared" si="5"/>
        <v>AVT0000078</v>
      </c>
      <c r="B79" s="13" t="str">
        <f>VLOOKUP(D79,'SUPPLIER_ITEMS (1st Tools)'!C83:D1810,2,FALSE)</f>
        <v>1ST-358-082</v>
      </c>
      <c r="C79" s="14" t="s">
        <v>284</v>
      </c>
      <c r="D79" s="18" t="s">
        <v>609</v>
      </c>
      <c r="E79" s="30" t="str">
        <f t="shared" si="3"/>
        <v>PL22211-4 POWER SPRAYER HOSE 30m-BLACK</v>
      </c>
      <c r="F79" s="30" t="str">
        <f t="shared" si="4"/>
        <v>AV22211-4 POWER SPRAYER HOSE 30m-BLACK</v>
      </c>
      <c r="I79" s="31" t="str">
        <f>VLOOKUP(D79,'[1]NEW PRICE LIST'!$C$4:$D$1917,2,FALSE)</f>
        <v>2ROLLS/CTN</v>
      </c>
      <c r="J79" s="13" t="s">
        <v>738</v>
      </c>
      <c r="K79" s="32">
        <f>VLOOKUP(D79,'[1]NEW PRICE LIST'!$C$4:$H$1917,3,FALSE)</f>
        <v>750</v>
      </c>
      <c r="L79" s="13">
        <v>100</v>
      </c>
      <c r="M79" s="13">
        <v>0</v>
      </c>
      <c r="N79" s="13">
        <v>0</v>
      </c>
    </row>
    <row r="80" spans="1:14" x14ac:dyDescent="0.25">
      <c r="A80" s="14" t="str">
        <f t="shared" si="5"/>
        <v>AVT0000079</v>
      </c>
      <c r="B80" s="13" t="str">
        <f>VLOOKUP(D80,'SUPPLIER_ITEMS (1st Tools)'!C84:D1811,2,FALSE)</f>
        <v>1ST-358-083</v>
      </c>
      <c r="C80" s="14" t="s">
        <v>284</v>
      </c>
      <c r="D80" s="18" t="s">
        <v>610</v>
      </c>
      <c r="E80" s="30" t="str">
        <f t="shared" si="3"/>
        <v>PL22211-5 POWER SPRAYER HOSE 50m-BLACK</v>
      </c>
      <c r="F80" s="30" t="str">
        <f t="shared" si="4"/>
        <v>AV22211-5 POWER SPRAYER HOSE 50m-BLACK</v>
      </c>
      <c r="I80" s="31" t="str">
        <f>VLOOKUP(D80,'[1]NEW PRICE LIST'!$C$4:$D$1917,2,FALSE)</f>
        <v>1ROLLS/CTN</v>
      </c>
      <c r="J80" s="13" t="s">
        <v>738</v>
      </c>
      <c r="K80" s="32">
        <f>VLOOKUP(D80,'[1]NEW PRICE LIST'!$C$4:$H$1917,3,FALSE)</f>
        <v>1160</v>
      </c>
      <c r="L80" s="13">
        <v>100</v>
      </c>
      <c r="M80" s="13">
        <v>0</v>
      </c>
      <c r="N80" s="13">
        <v>0</v>
      </c>
    </row>
    <row r="81" spans="1:15" x14ac:dyDescent="0.25">
      <c r="A81" s="14" t="str">
        <f t="shared" si="5"/>
        <v>AVT0000080</v>
      </c>
      <c r="B81" s="13" t="str">
        <f>VLOOKUP(D81,'SUPPLIER_ITEMS (1st Tools)'!C85:D1812,2,FALSE)</f>
        <v>1ST-358-084</v>
      </c>
      <c r="C81" s="14" t="s">
        <v>284</v>
      </c>
      <c r="D81" s="18" t="s">
        <v>611</v>
      </c>
      <c r="E81" s="30" t="str">
        <f t="shared" si="3"/>
        <v>PL22211-6 POWER SPRAYER HOSE 100m-BLACK</v>
      </c>
      <c r="F81" s="30" t="str">
        <f t="shared" si="4"/>
        <v>AV22211-6 POWER SPRAYER HOSE 100m-BLACK</v>
      </c>
      <c r="I81" s="31" t="str">
        <f>VLOOKUP(D81,'[1]NEW PRICE LIST'!$C$4:$D$1917,2,FALSE)</f>
        <v>1ROLLS/CTN</v>
      </c>
      <c r="J81" s="13" t="s">
        <v>738</v>
      </c>
      <c r="K81" s="32">
        <f>VLOOKUP(D81,'[1]NEW PRICE LIST'!$C$4:$H$1917,3,FALSE)</f>
        <v>2300</v>
      </c>
      <c r="L81" s="13">
        <v>100</v>
      </c>
      <c r="M81" s="13">
        <v>0</v>
      </c>
      <c r="N81" s="13">
        <v>0</v>
      </c>
    </row>
    <row r="82" spans="1:15" x14ac:dyDescent="0.25">
      <c r="A82" s="14" t="str">
        <f t="shared" si="5"/>
        <v>AVT0000081</v>
      </c>
      <c r="B82" s="13" t="str">
        <f>VLOOKUP(D82,'SUPPLIER_ITEMS (1st Tools)'!C86:D1813,2,FALSE)</f>
        <v>1ST-358-085</v>
      </c>
      <c r="C82" s="14" t="s">
        <v>283</v>
      </c>
      <c r="D82" s="18" t="s">
        <v>471</v>
      </c>
      <c r="E82" s="30" t="str">
        <f t="shared" si="3"/>
        <v>PL22140 (PLMA001) POLOLOCK JETMATIC PUMP</v>
      </c>
      <c r="F82" s="30" t="str">
        <f t="shared" si="4"/>
        <v>AV22140 (PLMA001) POLOLOCK JETMATIC PUMP</v>
      </c>
      <c r="I82" s="31" t="str">
        <f>VLOOKUP(D82,'[1]NEW PRICE LIST'!$C$4:$D$1917,2,FALSE)</f>
        <v>1PC/CTN</v>
      </c>
      <c r="J82" s="13" t="s">
        <v>738</v>
      </c>
      <c r="K82" s="32">
        <f>VLOOKUP(D82,'[1]NEW PRICE LIST'!$C$4:$H$1917,3,FALSE)</f>
        <v>2500</v>
      </c>
      <c r="L82" s="13">
        <v>100</v>
      </c>
      <c r="M82" s="13">
        <v>0</v>
      </c>
      <c r="N82" s="13">
        <v>0</v>
      </c>
    </row>
    <row r="83" spans="1:15" x14ac:dyDescent="0.25">
      <c r="A83" s="14" t="str">
        <f t="shared" si="5"/>
        <v>AVT0000082</v>
      </c>
      <c r="B83" s="13" t="str">
        <f>VLOOKUP(D83,'SUPPLIER_ITEMS (1st Tools)'!C87:D1814,2,FALSE)</f>
        <v>1ST-358-086</v>
      </c>
      <c r="C83" s="14" t="s">
        <v>282</v>
      </c>
      <c r="D83" s="18" t="s">
        <v>472</v>
      </c>
      <c r="E83" s="30" t="str">
        <f t="shared" si="3"/>
        <v>PL22141 POLOLOCK PITCHER PUMP</v>
      </c>
      <c r="F83" s="30" t="str">
        <f t="shared" si="4"/>
        <v>AV22141 POLOLOCK PITCHER PUMP</v>
      </c>
      <c r="I83" s="31" t="str">
        <f>VLOOKUP(D83,'[1]NEW PRICE LIST'!$C$4:$D$1917,2,FALSE)</f>
        <v>1PC/SACK</v>
      </c>
      <c r="J83" s="13" t="s">
        <v>738</v>
      </c>
      <c r="K83" s="32">
        <f>VLOOKUP(D83,'[1]NEW PRICE LIST'!$C$4:$H$1917,3,FALSE)</f>
        <v>1550</v>
      </c>
      <c r="L83" s="13">
        <v>100</v>
      </c>
      <c r="M83" s="13">
        <v>0</v>
      </c>
      <c r="N83" s="13">
        <v>0</v>
      </c>
    </row>
    <row r="84" spans="1:15" x14ac:dyDescent="0.25">
      <c r="A84" s="14" t="str">
        <f t="shared" si="5"/>
        <v>AVT0000083</v>
      </c>
      <c r="B84" s="13" t="str">
        <f>VLOOKUP(D84,'SUPPLIER_ITEMS (1st Tools)'!C90:D1817,2,FALSE)</f>
        <v>1ST-358-089</v>
      </c>
      <c r="C84" s="14" t="s">
        <v>280</v>
      </c>
      <c r="D84" s="18" t="s">
        <v>475</v>
      </c>
      <c r="E84" s="30" t="str">
        <f t="shared" si="3"/>
        <v>PL22160 POLONET PRESSURE SWITCH</v>
      </c>
      <c r="F84" s="30" t="str">
        <f t="shared" si="4"/>
        <v>AV22160 POLONET PRESSURE SWITCH</v>
      </c>
      <c r="I84" s="31" t="str">
        <f>VLOOKUP(D84,'[1]NEW PRICE LIST'!$C$4:$D$1917,2,FALSE)</f>
        <v>50PCS/CTN</v>
      </c>
      <c r="J84" s="13" t="s">
        <v>738</v>
      </c>
      <c r="K84" s="32">
        <f>VLOOKUP(D84,'[1]NEW PRICE LIST'!$C$4:$H$1917,3,FALSE)</f>
        <v>230</v>
      </c>
      <c r="L84" s="13">
        <v>100</v>
      </c>
      <c r="M84" s="13">
        <v>0</v>
      </c>
      <c r="N84" s="13">
        <v>0</v>
      </c>
    </row>
    <row r="85" spans="1:15" x14ac:dyDescent="0.25">
      <c r="A85" s="14" t="str">
        <f t="shared" si="5"/>
        <v>AVT0000084</v>
      </c>
      <c r="B85" s="13" t="str">
        <f>VLOOKUP(D85,'SUPPLIER_ITEMS (1st Tools)'!C91:D1818,2,FALSE)</f>
        <v>1ST-358-090</v>
      </c>
      <c r="C85" s="14" t="s">
        <v>279</v>
      </c>
      <c r="D85" s="18" t="s">
        <v>477</v>
      </c>
      <c r="E85" s="30" t="str">
        <f t="shared" si="3"/>
        <v>PL22161 F BRASS CONNECT 1/4''</v>
      </c>
      <c r="F85" s="30" t="str">
        <f t="shared" si="4"/>
        <v>AV22161 F BRASS CONNECT 1/4''</v>
      </c>
      <c r="I85" s="31" t="str">
        <f>VLOOKUP(D85,'[1]NEW PRICE LIST'!$C$4:$D$1917,2,FALSE)</f>
        <v>100PCS/CTN</v>
      </c>
      <c r="J85" s="13" t="s">
        <v>3622</v>
      </c>
      <c r="K85" s="32">
        <f>VLOOKUP(D85,'[1]NEW PRICE LIST'!$C$4:$H$1917,3,FALSE)</f>
        <v>230</v>
      </c>
      <c r="L85" s="13">
        <v>100</v>
      </c>
      <c r="M85" s="13">
        <v>0</v>
      </c>
      <c r="N85" s="13">
        <v>0</v>
      </c>
    </row>
    <row r="86" spans="1:15" x14ac:dyDescent="0.25">
      <c r="A86" s="14" t="str">
        <f t="shared" si="5"/>
        <v>AVT0000085</v>
      </c>
      <c r="B86" s="13" t="str">
        <f>VLOOKUP(D86,'SUPPLIER_ITEMS (1st Tools)'!C92:D1819,2,FALSE)</f>
        <v>1ST-358-091</v>
      </c>
      <c r="C86" s="14" t="s">
        <v>278</v>
      </c>
      <c r="D86" s="19" t="s">
        <v>2645</v>
      </c>
      <c r="E86" s="30" t="str">
        <f t="shared" si="3"/>
        <v>PL22060-1 CHROME PIPE 1/2"</v>
      </c>
      <c r="F86" s="30" t="str">
        <f t="shared" si="4"/>
        <v>AV22060-1 CHROME PIPE 1/2"</v>
      </c>
      <c r="I86" s="31" t="str">
        <f>VLOOKUP(D86,'[1]NEW PRICE LIST'!$C$4:$D$1917,2,FALSE)</f>
        <v>30PCS/BDL</v>
      </c>
      <c r="J86" s="13" t="s">
        <v>3622</v>
      </c>
      <c r="K86" s="32">
        <f>VLOOKUP(D86,'[1]NEW PRICE LIST'!$C$4:$H$1917,3,FALSE)</f>
        <v>120</v>
      </c>
      <c r="L86" s="13">
        <v>100</v>
      </c>
      <c r="M86" s="13">
        <v>0</v>
      </c>
      <c r="N86" s="13">
        <v>20</v>
      </c>
      <c r="O86" s="13" t="s">
        <v>3629</v>
      </c>
    </row>
    <row r="87" spans="1:15" x14ac:dyDescent="0.25">
      <c r="A87" s="14" t="str">
        <f t="shared" si="5"/>
        <v>AVT0000086</v>
      </c>
      <c r="B87" s="13" t="str">
        <f>VLOOKUP(D87,'SUPPLIER_ITEMS (1st Tools)'!C93:D1820,2,FALSE)</f>
        <v>1ST-358-092</v>
      </c>
      <c r="C87" s="14" t="s">
        <v>278</v>
      </c>
      <c r="D87" s="19" t="s">
        <v>2646</v>
      </c>
      <c r="E87" s="30" t="str">
        <f t="shared" si="3"/>
        <v>PL22060-2 CHROME PIPE 3/4"</v>
      </c>
      <c r="F87" s="30" t="str">
        <f t="shared" si="4"/>
        <v>AV22060-2 CHROME PIPE 3/4"</v>
      </c>
      <c r="I87" s="31" t="str">
        <f>VLOOKUP(D87,'[1]NEW PRICE LIST'!$C$4:$D$1917,2,FALSE)</f>
        <v>20PCS/BDL</v>
      </c>
      <c r="J87" s="13" t="s">
        <v>3622</v>
      </c>
      <c r="K87" s="32">
        <f>VLOOKUP(D87,'[1]NEW PRICE LIST'!$C$4:$H$1917,3,FALSE)</f>
        <v>180</v>
      </c>
      <c r="L87" s="13">
        <v>100</v>
      </c>
      <c r="M87" s="13">
        <v>0</v>
      </c>
      <c r="N87" s="13">
        <v>20</v>
      </c>
      <c r="O87" s="13" t="s">
        <v>3629</v>
      </c>
    </row>
    <row r="88" spans="1:15" x14ac:dyDescent="0.25">
      <c r="A88" s="14" t="str">
        <f t="shared" si="5"/>
        <v>AVT0000087</v>
      </c>
      <c r="B88" s="13" t="str">
        <f>VLOOKUP(D88,'SUPPLIER_ITEMS (1st Tools)'!C94:D1821,2,FALSE)</f>
        <v>1ST-358-093</v>
      </c>
      <c r="C88" s="14" t="s">
        <v>278</v>
      </c>
      <c r="D88" s="19" t="s">
        <v>2647</v>
      </c>
      <c r="E88" s="30" t="str">
        <f t="shared" si="3"/>
        <v>PL22060-3 CHROME PIPE 1"</v>
      </c>
      <c r="F88" s="30" t="str">
        <f t="shared" si="4"/>
        <v>AV22060-3 CHROME PIPE 1"</v>
      </c>
      <c r="I88" s="31" t="str">
        <f>VLOOKUP(D88,'[1]NEW PRICE LIST'!$C$4:$D$1917,2,FALSE)</f>
        <v>10PCS/BDL</v>
      </c>
      <c r="J88" s="13" t="s">
        <v>3622</v>
      </c>
      <c r="K88" s="32">
        <f>VLOOKUP(D88,'[1]NEW PRICE LIST'!$C$4:$H$1917,3,FALSE)</f>
        <v>260</v>
      </c>
      <c r="L88" s="13">
        <v>100</v>
      </c>
      <c r="M88" s="13">
        <v>0</v>
      </c>
      <c r="N88" s="13">
        <v>20</v>
      </c>
      <c r="O88" s="13" t="s">
        <v>3629</v>
      </c>
    </row>
    <row r="89" spans="1:15" x14ac:dyDescent="0.25">
      <c r="A89" s="14" t="str">
        <f t="shared" si="5"/>
        <v>AVT0000088</v>
      </c>
      <c r="B89" s="13" t="str">
        <f>VLOOKUP(D89,'SUPPLIER_ITEMS (1st Tools)'!C96:D1823,2,FALSE)</f>
        <v>1ST-358-095</v>
      </c>
      <c r="C89" s="14" t="s">
        <v>277</v>
      </c>
      <c r="D89" s="18" t="s">
        <v>2649</v>
      </c>
      <c r="E89" s="30" t="str">
        <f t="shared" si="3"/>
        <v>PL22010-2 (LTSN002-34) 3/4 POLONET TEFLON TAPE</v>
      </c>
      <c r="F89" s="30" t="str">
        <f t="shared" si="4"/>
        <v>AV22010-2 (LTSN002-34) 3/4 POLONET TEFLON TAPE</v>
      </c>
      <c r="I89" s="31" t="str">
        <f>VLOOKUP(D89,'[1]NEW PRICE LIST'!$C$4:$D$1917,2,FALSE)</f>
        <v>2000PCS/CTN</v>
      </c>
      <c r="J89" s="13" t="s">
        <v>300</v>
      </c>
      <c r="K89" s="32">
        <f>VLOOKUP(D89,'[1]NEW PRICE LIST'!$C$4:$H$1917,3,FALSE)</f>
        <v>9</v>
      </c>
      <c r="L89" s="13">
        <v>100</v>
      </c>
      <c r="M89" s="13">
        <v>0</v>
      </c>
      <c r="N89" s="13">
        <v>0</v>
      </c>
    </row>
    <row r="90" spans="1:15" x14ac:dyDescent="0.25">
      <c r="A90" s="14" t="str">
        <f t="shared" si="5"/>
        <v>AVT0000089</v>
      </c>
      <c r="B90" s="13" t="str">
        <f>VLOOKUP(D90,'SUPPLIER_ITEMS (1st Tools)'!C97:D1824,2,FALSE)</f>
        <v>1ST-358-096</v>
      </c>
      <c r="C90" s="14" t="s">
        <v>277</v>
      </c>
      <c r="D90" s="18" t="s">
        <v>2650</v>
      </c>
      <c r="E90" s="30" t="str">
        <f t="shared" si="3"/>
        <v>PL22010-3 (LTSN002-1) 1" POLONET TEFLON TAPE</v>
      </c>
      <c r="F90" s="30" t="str">
        <f t="shared" si="4"/>
        <v>AV22010-3 (LTSN002-1) 1" POLONET TEFLON TAPE</v>
      </c>
      <c r="I90" s="31" t="str">
        <f>VLOOKUP(D90,'[1]NEW PRICE LIST'!$C$4:$D$1917,2,FALSE)</f>
        <v>1000PCS/CTN</v>
      </c>
      <c r="J90" s="13" t="s">
        <v>300</v>
      </c>
      <c r="K90" s="32">
        <f>VLOOKUP(D90,'[1]NEW PRICE LIST'!$C$4:$H$1917,3,FALSE)</f>
        <v>12</v>
      </c>
      <c r="L90" s="13">
        <v>100</v>
      </c>
      <c r="M90" s="13">
        <v>0</v>
      </c>
      <c r="N90" s="13">
        <v>0</v>
      </c>
    </row>
    <row r="91" spans="1:15" ht="26.4" x14ac:dyDescent="0.25">
      <c r="A91" s="14" t="str">
        <f t="shared" si="5"/>
        <v>AVT0000090</v>
      </c>
      <c r="B91" s="13" t="str">
        <f>VLOOKUP(D91,'SUPPLIER_ITEMS (1st Tools)'!C101:D1828,2,FALSE)</f>
        <v>1ST-358-100</v>
      </c>
      <c r="C91" s="14" t="s">
        <v>275</v>
      </c>
      <c r="D91" s="19" t="s">
        <v>625</v>
      </c>
      <c r="E91" s="30" t="str">
        <f t="shared" si="3"/>
        <v>PL22020-01 BLUE PLASTIC WATER FAUCET PLAIN</v>
      </c>
      <c r="F91" s="30" t="str">
        <f t="shared" si="4"/>
        <v>AV22020-01 BLUE PLASTIC WATER FAUCET PLAIN</v>
      </c>
      <c r="I91" s="31" t="str">
        <f>VLOOKUP(D91,'[1]NEW PRICE LIST'!$C$4:$D$1917,2,FALSE)</f>
        <v>50PCS*
6BOXES/CTN</v>
      </c>
      <c r="J91" s="13" t="s">
        <v>3620</v>
      </c>
      <c r="K91" s="32">
        <f>VLOOKUP(D91,'[1]NEW PRICE LIST'!$C$4:$H$1917,3,FALSE)</f>
        <v>23</v>
      </c>
      <c r="L91" s="13">
        <v>100</v>
      </c>
      <c r="M91" s="13">
        <v>0</v>
      </c>
      <c r="N91" s="13">
        <v>0</v>
      </c>
    </row>
    <row r="92" spans="1:15" ht="26.4" x14ac:dyDescent="0.25">
      <c r="A92" s="14" t="str">
        <f t="shared" si="5"/>
        <v>AVT0000091</v>
      </c>
      <c r="B92" s="13" t="str">
        <f>VLOOKUP(D92,'SUPPLIER_ITEMS (1st Tools)'!C102:D1829,2,FALSE)</f>
        <v>1ST-358-101</v>
      </c>
      <c r="C92" s="14" t="s">
        <v>275</v>
      </c>
      <c r="D92" s="19" t="s">
        <v>626</v>
      </c>
      <c r="E92" s="30" t="str">
        <f t="shared" si="3"/>
        <v>PL22020-02 BLUE PLASTIC WATER FAUCET HOSE</v>
      </c>
      <c r="F92" s="30" t="str">
        <f t="shared" si="4"/>
        <v>AV22020-02 BLUE PLASTIC WATER FAUCET HOSE</v>
      </c>
      <c r="I92" s="31" t="str">
        <f>VLOOKUP(D92,'[1]NEW PRICE LIST'!$C$4:$D$1917,2,FALSE)</f>
        <v>50PCS*
6BOXES/CTN</v>
      </c>
      <c r="J92" s="13" t="s">
        <v>3620</v>
      </c>
      <c r="K92" s="32">
        <f>VLOOKUP(D92,'[1]NEW PRICE LIST'!$C$4:$H$1917,3,FALSE)</f>
        <v>23</v>
      </c>
      <c r="L92" s="13">
        <v>100</v>
      </c>
      <c r="M92" s="13">
        <v>0</v>
      </c>
      <c r="N92" s="13">
        <v>0</v>
      </c>
    </row>
    <row r="93" spans="1:15" x14ac:dyDescent="0.25">
      <c r="A93" s="14" t="str">
        <f t="shared" si="5"/>
        <v>AVT0000092</v>
      </c>
      <c r="B93" s="13" t="str">
        <f>VLOOKUP(D93,'SUPPLIER_ITEMS (1st Tools)'!C103:D1830,2,FALSE)</f>
        <v>1ST-358-102</v>
      </c>
      <c r="C93" s="14" t="s">
        <v>274</v>
      </c>
      <c r="D93" s="18" t="s">
        <v>627</v>
      </c>
      <c r="E93" s="30" t="str">
        <f t="shared" si="3"/>
        <v>PL22021-1 BRASS FAUCET PB 1/2"-PLAIN</v>
      </c>
      <c r="F93" s="30" t="str">
        <f t="shared" si="4"/>
        <v>AV22021-1 BRASS FAUCET PB 1/2"-PLAIN</v>
      </c>
      <c r="I93" s="31" t="str">
        <f>VLOOKUP(D93,'[1]NEW PRICE LIST'!$C$4:$D$1917,2,FALSE)</f>
        <v>96PCS/CTN</v>
      </c>
      <c r="J93" s="13" t="s">
        <v>3622</v>
      </c>
      <c r="K93" s="32">
        <f>VLOOKUP(D93,'[1]NEW PRICE LIST'!$C$4:$H$1917,3,FALSE)</f>
        <v>185</v>
      </c>
      <c r="L93" s="13">
        <v>100</v>
      </c>
      <c r="M93" s="13">
        <v>0</v>
      </c>
      <c r="N93" s="13">
        <v>0</v>
      </c>
    </row>
    <row r="94" spans="1:15" x14ac:dyDescent="0.25">
      <c r="A94" s="14" t="str">
        <f t="shared" si="5"/>
        <v>AVT0000093</v>
      </c>
      <c r="B94" s="13" t="str">
        <f>VLOOKUP(D94,'SUPPLIER_ITEMS (1st Tools)'!C104:D1831,2,FALSE)</f>
        <v>1ST-358-103</v>
      </c>
      <c r="C94" s="14" t="s">
        <v>274</v>
      </c>
      <c r="D94" s="18" t="s">
        <v>629</v>
      </c>
      <c r="E94" s="30" t="str">
        <f t="shared" si="3"/>
        <v>PL22021-2 BRASS FAUCET HB 1/2"-HOSE</v>
      </c>
      <c r="F94" s="30" t="str">
        <f t="shared" si="4"/>
        <v>AV22021-2 BRASS FAUCET HB 1/2"-HOSE</v>
      </c>
      <c r="I94" s="31" t="str">
        <f>VLOOKUP(D94,'[1]NEW PRICE LIST'!$C$4:$D$1917,2,FALSE)</f>
        <v>96PCS/CTN</v>
      </c>
      <c r="J94" s="13" t="s">
        <v>3622</v>
      </c>
      <c r="K94" s="32">
        <f>VLOOKUP(D94,'[1]NEW PRICE LIST'!$C$4:$H$1917,3,FALSE)</f>
        <v>185</v>
      </c>
      <c r="L94" s="13">
        <v>100</v>
      </c>
      <c r="M94" s="13">
        <v>0</v>
      </c>
      <c r="N94" s="13">
        <v>0</v>
      </c>
    </row>
    <row r="95" spans="1:15" ht="26.4" x14ac:dyDescent="0.25">
      <c r="A95" s="14" t="str">
        <f t="shared" si="5"/>
        <v>AVT0000094</v>
      </c>
      <c r="B95" s="13" t="str">
        <f>VLOOKUP(D95,'SUPPLIER_ITEMS (1st Tools)'!C105:D1832,2,FALSE)</f>
        <v>1ST-358-104</v>
      </c>
      <c r="C95" s="14" t="s">
        <v>273</v>
      </c>
      <c r="D95" s="18" t="s">
        <v>630</v>
      </c>
      <c r="E95" s="30" t="str">
        <f t="shared" si="3"/>
        <v>PL22030-1 (LTSN004-S) SMALL POLONET STAINLESS STEEL PIG DRINKER</v>
      </c>
      <c r="F95" s="30" t="str">
        <f t="shared" si="4"/>
        <v>AV22030-1 (LTSN004-S) SMALL POLONET STAINLESS STEEL PIG DRINKER</v>
      </c>
      <c r="I95" s="31" t="str">
        <f>VLOOKUP(D95,'[1]NEW PRICE LIST'!$C$4:$D$1917,2,FALSE)</f>
        <v>240PCS/CTN</v>
      </c>
      <c r="J95" s="13" t="s">
        <v>300</v>
      </c>
      <c r="K95" s="32">
        <f>VLOOKUP(D95,'[1]NEW PRICE LIST'!$C$4:$H$1917,3,FALSE)</f>
        <v>70</v>
      </c>
      <c r="L95" s="13">
        <v>100</v>
      </c>
      <c r="M95" s="13">
        <v>0</v>
      </c>
      <c r="N95" s="13">
        <v>0</v>
      </c>
    </row>
    <row r="96" spans="1:15" ht="26.4" x14ac:dyDescent="0.25">
      <c r="A96" s="14" t="str">
        <f t="shared" si="5"/>
        <v>AVT0000095</v>
      </c>
      <c r="B96" s="13" t="str">
        <f>VLOOKUP(D96,'SUPPLIER_ITEMS (1st Tools)'!C106:D1833,2,FALSE)</f>
        <v>1ST-358-105</v>
      </c>
      <c r="C96" s="14" t="s">
        <v>273</v>
      </c>
      <c r="D96" s="18" t="s">
        <v>632</v>
      </c>
      <c r="E96" s="30" t="str">
        <f t="shared" si="3"/>
        <v>PL22030-2 (LTSN004-B) BIG POLONET STAINLESS STEEL PIG DRINKER</v>
      </c>
      <c r="F96" s="30" t="str">
        <f t="shared" si="4"/>
        <v>AV22030-2 (LTSN004-B) BIG POLONET STAINLESS STEEL PIG DRINKER</v>
      </c>
      <c r="I96" s="31" t="str">
        <f>VLOOKUP(D96,'[1]NEW PRICE LIST'!$C$4:$D$1917,2,FALSE)</f>
        <v>240PCS/CTN</v>
      </c>
      <c r="J96" s="13" t="s">
        <v>300</v>
      </c>
      <c r="K96" s="32">
        <f>VLOOKUP(D96,'[1]NEW PRICE LIST'!$C$4:$H$1917,3,FALSE)</f>
        <v>45</v>
      </c>
      <c r="L96" s="13">
        <v>100</v>
      </c>
      <c r="M96" s="13">
        <v>0</v>
      </c>
      <c r="N96" s="13">
        <v>0</v>
      </c>
    </row>
    <row r="97" spans="1:14" ht="26.4" x14ac:dyDescent="0.25">
      <c r="A97" s="14" t="str">
        <f t="shared" si="5"/>
        <v>AVT0000096</v>
      </c>
      <c r="B97" s="13" t="str">
        <f>VLOOKUP(D97,'SUPPLIER_ITEMS (1st Tools)'!C107:D1834,2,FALSE)</f>
        <v>1ST-358-106</v>
      </c>
      <c r="C97" s="14" t="s">
        <v>272</v>
      </c>
      <c r="D97" s="18" t="s">
        <v>633</v>
      </c>
      <c r="E97" s="30" t="str">
        <f t="shared" si="3"/>
        <v>PL22051-1 DOWNPIPE SET FOR SINGLE BOWL (SINGLE LAUNCH)</v>
      </c>
      <c r="F97" s="30" t="str">
        <f t="shared" si="4"/>
        <v>AV22051-1 DOWNPIPE SET FOR SINGLE BOWL (SINGLE LAUNCH)</v>
      </c>
      <c r="I97" s="31" t="str">
        <f>VLOOKUP(D97,'[1]NEW PRICE LIST'!$C$4:$D$1917,2,FALSE)</f>
        <v>100SET/CTN</v>
      </c>
      <c r="J97" s="13" t="s">
        <v>3622</v>
      </c>
      <c r="K97" s="32">
        <f>VLOOKUP(D97,'[1]NEW PRICE LIST'!$C$4:$H$1917,3,FALSE)</f>
        <v>60</v>
      </c>
      <c r="L97" s="13">
        <v>100</v>
      </c>
      <c r="M97" s="13">
        <v>0</v>
      </c>
      <c r="N97" s="13">
        <v>0</v>
      </c>
    </row>
    <row r="98" spans="1:14" ht="26.4" x14ac:dyDescent="0.25">
      <c r="A98" s="14" t="str">
        <f t="shared" si="5"/>
        <v>AVT0000097</v>
      </c>
      <c r="B98" s="13" t="str">
        <f>VLOOKUP(D98,'SUPPLIER_ITEMS (1st Tools)'!C108:D1835,2,FALSE)</f>
        <v>1ST-358-107</v>
      </c>
      <c r="C98" s="14" t="s">
        <v>272</v>
      </c>
      <c r="D98" s="18" t="s">
        <v>635</v>
      </c>
      <c r="E98" s="30" t="str">
        <f t="shared" si="3"/>
        <v>PL22051-2 DOWNPIPE SET FOR DOUBLE BOWL (DOUBLE LAUNCH)</v>
      </c>
      <c r="F98" s="30" t="str">
        <f t="shared" si="4"/>
        <v>AV22051-2 DOWNPIPE SET FOR DOUBLE BOWL (DOUBLE LAUNCH)</v>
      </c>
      <c r="I98" s="31" t="str">
        <f>VLOOKUP(D98,'[1]NEW PRICE LIST'!$C$4:$D$1917,2,FALSE)</f>
        <v>50SET/CTN</v>
      </c>
      <c r="J98" s="13" t="s">
        <v>3622</v>
      </c>
      <c r="K98" s="32">
        <f>VLOOKUP(D98,'[1]NEW PRICE LIST'!$C$4:$H$1917,3,FALSE)</f>
        <v>190</v>
      </c>
      <c r="L98" s="13">
        <v>100</v>
      </c>
      <c r="M98" s="13">
        <v>0</v>
      </c>
      <c r="N98" s="13">
        <v>0</v>
      </c>
    </row>
    <row r="99" spans="1:14" ht="26.4" x14ac:dyDescent="0.25">
      <c r="A99" s="14" t="str">
        <f t="shared" si="5"/>
        <v>AVT0000098</v>
      </c>
      <c r="B99" s="13" t="str">
        <f>VLOOKUP(D99,'SUPPLIER_ITEMS (1st Tools)'!C109:D1836,2,FALSE)</f>
        <v>1ST-358-108</v>
      </c>
      <c r="C99" s="14" t="s">
        <v>271</v>
      </c>
      <c r="D99" s="18" t="s">
        <v>637</v>
      </c>
      <c r="E99" s="30" t="str">
        <f t="shared" si="3"/>
        <v>PL22170-1 304 STAINLESS FLEXIBLE HOSE WITH HANDLE 1/2"*1/2"*12"</v>
      </c>
      <c r="F99" s="30" t="str">
        <f t="shared" si="4"/>
        <v>AV22170-1 304 STAINLESS FLEXIBLE HOSE WITH HANDLE 1/2"*1/2"*12"</v>
      </c>
      <c r="I99" s="31" t="str">
        <f>VLOOKUP(D99,'[1]NEW PRICE LIST'!$C$4:$D$1917,2,FALSE)</f>
        <v>160PCS/CTN</v>
      </c>
      <c r="J99" s="13" t="s">
        <v>300</v>
      </c>
      <c r="K99" s="32">
        <f>VLOOKUP(D99,'[1]NEW PRICE LIST'!$C$4:$H$1917,3,FALSE)</f>
        <v>85</v>
      </c>
      <c r="L99" s="13">
        <v>100</v>
      </c>
      <c r="M99" s="13">
        <v>0</v>
      </c>
      <c r="N99" s="13">
        <v>0</v>
      </c>
    </row>
    <row r="100" spans="1:14" ht="26.4" x14ac:dyDescent="0.25">
      <c r="A100" s="14" t="str">
        <f t="shared" si="5"/>
        <v>AVT0000099</v>
      </c>
      <c r="B100" s="13" t="str">
        <f>VLOOKUP(D100,'SUPPLIER_ITEMS (1st Tools)'!C110:D1837,2,FALSE)</f>
        <v>1ST-358-109</v>
      </c>
      <c r="C100" s="14" t="s">
        <v>271</v>
      </c>
      <c r="D100" s="18" t="s">
        <v>639</v>
      </c>
      <c r="E100" s="30" t="str">
        <f t="shared" si="3"/>
        <v>PL22170-2 304 STAINLESS FLEXIBLE HOSE WITH HANDLE 1/2"*1/2"*14"</v>
      </c>
      <c r="F100" s="30" t="str">
        <f t="shared" si="4"/>
        <v>AV22170-2 304 STAINLESS FLEXIBLE HOSE WITH HANDLE 1/2"*1/2"*14"</v>
      </c>
      <c r="I100" s="31" t="str">
        <f>VLOOKUP(D100,'[1]NEW PRICE LIST'!$C$4:$D$1917,2,FALSE)</f>
        <v>160PCS/CTN</v>
      </c>
      <c r="J100" s="13" t="s">
        <v>300</v>
      </c>
      <c r="K100" s="32">
        <f>VLOOKUP(D100,'[1]NEW PRICE LIST'!$C$4:$H$1917,3,FALSE)</f>
        <v>90</v>
      </c>
      <c r="L100" s="13">
        <v>100</v>
      </c>
      <c r="M100" s="13">
        <v>0</v>
      </c>
      <c r="N100" s="13">
        <v>0</v>
      </c>
    </row>
    <row r="101" spans="1:14" ht="26.4" x14ac:dyDescent="0.25">
      <c r="A101" s="14" t="str">
        <f t="shared" si="5"/>
        <v>AVT0000100</v>
      </c>
      <c r="B101" s="13" t="str">
        <f>VLOOKUP(D101,'SUPPLIER_ITEMS (1st Tools)'!C111:D1838,2,FALSE)</f>
        <v>1ST-358-110</v>
      </c>
      <c r="C101" s="14" t="s">
        <v>271</v>
      </c>
      <c r="D101" s="18" t="s">
        <v>641</v>
      </c>
      <c r="E101" s="30" t="str">
        <f t="shared" si="3"/>
        <v>PL22170-3 304 STAINLESS FLEXIBLE HOSE WITH HANDLE 1/2"*1/2"*16"</v>
      </c>
      <c r="F101" s="30" t="str">
        <f t="shared" si="4"/>
        <v>AV22170-3 304 STAINLESS FLEXIBLE HOSE WITH HANDLE 1/2"*1/2"*16"</v>
      </c>
      <c r="I101" s="31" t="str">
        <f>VLOOKUP(D101,'[1]NEW PRICE LIST'!$C$4:$D$1917,2,FALSE)</f>
        <v>160PCS/CTN</v>
      </c>
      <c r="J101" s="13" t="s">
        <v>300</v>
      </c>
      <c r="K101" s="32">
        <f>VLOOKUP(D101,'[1]NEW PRICE LIST'!$C$4:$H$1917,3,FALSE)</f>
        <v>100</v>
      </c>
      <c r="L101" s="13">
        <v>100</v>
      </c>
      <c r="M101" s="13">
        <v>0</v>
      </c>
      <c r="N101" s="13">
        <v>0</v>
      </c>
    </row>
    <row r="102" spans="1:14" ht="26.4" x14ac:dyDescent="0.25">
      <c r="A102" s="14" t="str">
        <f t="shared" si="5"/>
        <v>AVT0000101</v>
      </c>
      <c r="B102" s="13" t="str">
        <f>VLOOKUP(D102,'SUPPLIER_ITEMS (1st Tools)'!C112:D1839,2,FALSE)</f>
        <v>1ST-358-111</v>
      </c>
      <c r="C102" s="14" t="s">
        <v>271</v>
      </c>
      <c r="D102" s="18" t="s">
        <v>643</v>
      </c>
      <c r="E102" s="30" t="str">
        <f t="shared" si="3"/>
        <v>PL22170-4 304 STAINLESS FLEXIBLE HOSE WITH HANDLE 1/2"*1/2"*18"</v>
      </c>
      <c r="F102" s="30" t="str">
        <f t="shared" si="4"/>
        <v>AV22170-4 304 STAINLESS FLEXIBLE HOSE WITH HANDLE 1/2"*1/2"*18"</v>
      </c>
      <c r="I102" s="31" t="str">
        <f>VLOOKUP(D102,'[1]NEW PRICE LIST'!$C$4:$D$1917,2,FALSE)</f>
        <v>160PCS/CTN</v>
      </c>
      <c r="J102" s="13" t="s">
        <v>300</v>
      </c>
      <c r="K102" s="32">
        <f>VLOOKUP(D102,'[1]NEW PRICE LIST'!$C$4:$H$1917,3,FALSE)</f>
        <v>100</v>
      </c>
      <c r="L102" s="13">
        <v>100</v>
      </c>
      <c r="M102" s="13">
        <v>0</v>
      </c>
      <c r="N102" s="13">
        <v>0</v>
      </c>
    </row>
    <row r="103" spans="1:14" ht="26.4" x14ac:dyDescent="0.25">
      <c r="A103" s="14" t="str">
        <f t="shared" si="5"/>
        <v>AVT0000102</v>
      </c>
      <c r="B103" s="13" t="str">
        <f>VLOOKUP(D103,'SUPPLIER_ITEMS (1st Tools)'!C113:D1840,2,FALSE)</f>
        <v>1ST-358-112</v>
      </c>
      <c r="C103" s="14" t="s">
        <v>271</v>
      </c>
      <c r="D103" s="18" t="s">
        <v>645</v>
      </c>
      <c r="E103" s="30" t="str">
        <f t="shared" si="3"/>
        <v>PL22170-5 304 STAINLESS FLEXIBLE HOSE WITH HANDLE 1/2"*1/2"*20"</v>
      </c>
      <c r="F103" s="30" t="str">
        <f t="shared" si="4"/>
        <v>AV22170-5 304 STAINLESS FLEXIBLE HOSE WITH HANDLE 1/2"*1/2"*20"</v>
      </c>
      <c r="I103" s="31" t="str">
        <f>VLOOKUP(D103,'[1]NEW PRICE LIST'!$C$4:$D$1917,2,FALSE)</f>
        <v>160PCS/CTN</v>
      </c>
      <c r="J103" s="13" t="s">
        <v>300</v>
      </c>
      <c r="K103" s="32">
        <f>VLOOKUP(D103,'[1]NEW PRICE LIST'!$C$4:$H$1917,3,FALSE)</f>
        <v>120</v>
      </c>
      <c r="L103" s="13">
        <v>100</v>
      </c>
      <c r="M103" s="13">
        <v>0</v>
      </c>
      <c r="N103" s="13">
        <v>0</v>
      </c>
    </row>
    <row r="104" spans="1:14" ht="26.4" x14ac:dyDescent="0.25">
      <c r="A104" s="14" t="str">
        <f t="shared" si="5"/>
        <v>AVT0000103</v>
      </c>
      <c r="B104" s="13" t="str">
        <f>VLOOKUP(D104,'SUPPLIER_ITEMS (1st Tools)'!C114:D1841,2,FALSE)</f>
        <v>1ST-358-113</v>
      </c>
      <c r="C104" s="14" t="s">
        <v>271</v>
      </c>
      <c r="D104" s="18" t="s">
        <v>646</v>
      </c>
      <c r="E104" s="30" t="str">
        <f t="shared" si="3"/>
        <v>PL22170-6 304 STAINLESS FLEXIBLE HOSE WITH HANDLE 1/2"*1/2"*22"</v>
      </c>
      <c r="F104" s="30" t="str">
        <f t="shared" si="4"/>
        <v>AV22170-6 304 STAINLESS FLEXIBLE HOSE WITH HANDLE 1/2"*1/2"*22"</v>
      </c>
      <c r="I104" s="31" t="str">
        <f>VLOOKUP(D104,'[1]NEW PRICE LIST'!$C$4:$D$1917,2,FALSE)</f>
        <v>160PCS/CTN</v>
      </c>
      <c r="J104" s="13" t="s">
        <v>300</v>
      </c>
      <c r="K104" s="32">
        <f>VLOOKUP(D104,'[1]NEW PRICE LIST'!$C$4:$H$1917,3,FALSE)</f>
        <v>120</v>
      </c>
      <c r="L104" s="13">
        <v>100</v>
      </c>
      <c r="M104" s="13">
        <v>0</v>
      </c>
      <c r="N104" s="13">
        <v>0</v>
      </c>
    </row>
    <row r="105" spans="1:14" ht="26.4" x14ac:dyDescent="0.25">
      <c r="A105" s="14" t="str">
        <f t="shared" si="5"/>
        <v>AVT0000104</v>
      </c>
      <c r="B105" s="13" t="str">
        <f>VLOOKUP(D105,'SUPPLIER_ITEMS (1st Tools)'!C115:D1842,2,FALSE)</f>
        <v>1ST-358-114</v>
      </c>
      <c r="C105" s="14" t="s">
        <v>271</v>
      </c>
      <c r="D105" s="18" t="s">
        <v>648</v>
      </c>
      <c r="E105" s="30" t="str">
        <f t="shared" si="3"/>
        <v>PL22170-7 304 STAINLESS FLEXIBLE HOSE WITH HANDLE 1/2"*1/2"*24"</v>
      </c>
      <c r="F105" s="30" t="str">
        <f t="shared" si="4"/>
        <v>AV22170-7 304 STAINLESS FLEXIBLE HOSE WITH HANDLE 1/2"*1/2"*24"</v>
      </c>
      <c r="I105" s="31" t="str">
        <f>VLOOKUP(D105,'[1]NEW PRICE LIST'!$C$4:$D$1917,2,FALSE)</f>
        <v>160PCS/CTN</v>
      </c>
      <c r="J105" s="13" t="s">
        <v>300</v>
      </c>
      <c r="K105" s="32">
        <f>VLOOKUP(D105,'[1]NEW PRICE LIST'!$C$4:$H$1917,3,FALSE)</f>
        <v>120</v>
      </c>
      <c r="L105" s="13">
        <v>100</v>
      </c>
      <c r="M105" s="13">
        <v>0</v>
      </c>
      <c r="N105" s="13">
        <v>0</v>
      </c>
    </row>
    <row r="106" spans="1:14" x14ac:dyDescent="0.25">
      <c r="A106" s="14" t="str">
        <f t="shared" si="5"/>
        <v>AVT0000105</v>
      </c>
      <c r="B106" s="13" t="str">
        <f>VLOOKUP(D106,'SUPPLIER_ITEMS (1st Tools)'!C116:D1843,2,FALSE)</f>
        <v>1ST-358-115</v>
      </c>
      <c r="C106" s="14" t="s">
        <v>270</v>
      </c>
      <c r="D106" s="18" t="s">
        <v>649</v>
      </c>
      <c r="E106" s="30" t="str">
        <f t="shared" si="3"/>
        <v>PL22180-01 STAINLESS FLEXIBLE HOSE FOR BIDET 1/2"*120CM</v>
      </c>
      <c r="F106" s="30" t="str">
        <f t="shared" si="4"/>
        <v>AV22180-01 STAINLESS FLEXIBLE HOSE FOR BIDET 1/2"*120CM</v>
      </c>
      <c r="I106" s="31" t="str">
        <f>VLOOKUP(D106,'[1]NEW PRICE LIST'!$C$4:$D$1917,2,FALSE)</f>
        <v>60PCS/CTN</v>
      </c>
      <c r="J106" s="13" t="s">
        <v>3622</v>
      </c>
      <c r="K106" s="32">
        <f>VLOOKUP(D106,'[1]NEW PRICE LIST'!$C$4:$H$1917,3,FALSE)</f>
        <v>160</v>
      </c>
      <c r="L106" s="13">
        <v>100</v>
      </c>
      <c r="M106" s="13">
        <v>0</v>
      </c>
      <c r="N106" s="13">
        <v>0</v>
      </c>
    </row>
    <row r="107" spans="1:14" ht="26.4" x14ac:dyDescent="0.25">
      <c r="A107" s="14" t="str">
        <f t="shared" si="5"/>
        <v>AVT0000106</v>
      </c>
      <c r="B107" s="13" t="str">
        <f>VLOOKUP(D107,'SUPPLIER_ITEMS (1st Tools)'!C117:D1844,2,FALSE)</f>
        <v>1ST-358-116</v>
      </c>
      <c r="C107" s="14" t="s">
        <v>270</v>
      </c>
      <c r="D107" s="18" t="s">
        <v>651</v>
      </c>
      <c r="E107" s="30" t="str">
        <f t="shared" si="3"/>
        <v>PL22180-02 STAINLESS FLEXIBLE HOSE FOR SHOWER 1/2"*150CM</v>
      </c>
      <c r="F107" s="30" t="str">
        <f t="shared" si="4"/>
        <v>AV22180-02 STAINLESS FLEXIBLE HOSE FOR SHOWER 1/2"*150CM</v>
      </c>
      <c r="I107" s="31" t="str">
        <f>VLOOKUP(D107,'[1]NEW PRICE LIST'!$C$4:$D$1917,2,FALSE)</f>
        <v>60PCS/CTN</v>
      </c>
      <c r="J107" s="13" t="s">
        <v>3622</v>
      </c>
      <c r="K107" s="32">
        <f>VLOOKUP(D107,'[1]NEW PRICE LIST'!$C$4:$H$1917,3,FALSE)</f>
        <v>170</v>
      </c>
      <c r="L107" s="13">
        <v>100</v>
      </c>
      <c r="M107" s="13">
        <v>0</v>
      </c>
      <c r="N107" s="13">
        <v>0</v>
      </c>
    </row>
    <row r="108" spans="1:14" ht="26.4" x14ac:dyDescent="0.25">
      <c r="A108" s="14" t="str">
        <f t="shared" si="5"/>
        <v>AVT0000107</v>
      </c>
      <c r="B108" s="13" t="str">
        <f>VLOOKUP(D108,'SUPPLIER_ITEMS (1st Tools)'!C118:D1845,2,FALSE)</f>
        <v>1ST-358-117</v>
      </c>
      <c r="C108" s="14" t="s">
        <v>269</v>
      </c>
      <c r="D108" s="18" t="s">
        <v>3641</v>
      </c>
      <c r="E108" s="30" t="str">
        <f t="shared" si="3"/>
        <v>PL22181-01 POLONET MULTIFUNCTION FAUCET SHOWER SET内管三元乙两</v>
      </c>
      <c r="F108" s="30" t="str">
        <f t="shared" si="4"/>
        <v>AV22181-01 POLONET MULTIFUNCTION FAUCET SHOWER SET内管三元乙两</v>
      </c>
      <c r="I108" s="31" t="str">
        <f>VLOOKUP(D108,'[1]NEW PRICE LIST'!$C$4:$D$1917,2,FALSE)</f>
        <v>24SET/CTN</v>
      </c>
      <c r="J108" s="13" t="s">
        <v>3622</v>
      </c>
      <c r="K108" s="32">
        <f>VLOOKUP(D108,'[1]NEW PRICE LIST'!$C$4:$H$1917,3,FALSE)</f>
        <v>650</v>
      </c>
      <c r="L108" s="13">
        <v>100</v>
      </c>
      <c r="M108" s="13">
        <v>0</v>
      </c>
      <c r="N108" s="13">
        <v>0</v>
      </c>
    </row>
    <row r="109" spans="1:14" ht="26.4" x14ac:dyDescent="0.25">
      <c r="A109" s="14" t="str">
        <f t="shared" si="5"/>
        <v>AVT0000108</v>
      </c>
      <c r="B109" s="13" t="str">
        <f>VLOOKUP(D109,'SUPPLIER_ITEMS (1st Tools)'!C119:D1846,2,FALSE)</f>
        <v>1ST-358-118</v>
      </c>
      <c r="C109" s="14" t="s">
        <v>269</v>
      </c>
      <c r="D109" s="18" t="s">
        <v>3642</v>
      </c>
      <c r="E109" s="30" t="str">
        <f t="shared" si="3"/>
        <v>PL22181-02 POLONET MULTIFUNCTION FAUCET SHOWER SET内管PVC</v>
      </c>
      <c r="F109" s="30" t="str">
        <f t="shared" si="4"/>
        <v>AV22181-02 POLONET MULTIFUNCTION FAUCET SHOWER SET内管PVC</v>
      </c>
      <c r="I109" s="31" t="str">
        <f>VLOOKUP(D109,'[1]NEW PRICE LIST'!$C$4:$D$1917,2,FALSE)</f>
        <v>24SET/CTN</v>
      </c>
      <c r="J109" s="13" t="s">
        <v>3622</v>
      </c>
      <c r="K109" s="32">
        <f>VLOOKUP(D109,'[1]NEW PRICE LIST'!$C$4:$H$1917,3,FALSE)</f>
        <v>650</v>
      </c>
      <c r="L109" s="13">
        <v>100</v>
      </c>
      <c r="M109" s="13">
        <v>0</v>
      </c>
      <c r="N109" s="13">
        <v>0</v>
      </c>
    </row>
    <row r="110" spans="1:14" x14ac:dyDescent="0.25">
      <c r="A110" s="14" t="str">
        <f t="shared" si="5"/>
        <v>AVT0000109</v>
      </c>
      <c r="B110" s="13" t="str">
        <f>VLOOKUP(D110,'SUPPLIER_ITEMS (1st Tools)'!C124:D1851,2,FALSE)</f>
        <v>1ST-358-123</v>
      </c>
      <c r="C110" s="14" t="s">
        <v>266</v>
      </c>
      <c r="D110" s="18" t="s">
        <v>658</v>
      </c>
      <c r="E110" s="30" t="str">
        <f t="shared" si="3"/>
        <v>PL22182-01 POLONET ABS BIDET SET</v>
      </c>
      <c r="F110" s="30" t="str">
        <f t="shared" si="4"/>
        <v>AV22182-01 POLONET ABS BIDET SET</v>
      </c>
      <c r="I110" s="31" t="str">
        <f>VLOOKUP(D110,'[1]NEW PRICE LIST'!$C$4:$D$1917,2,FALSE)</f>
        <v>60SET/CTN</v>
      </c>
      <c r="J110" s="13" t="s">
        <v>3622</v>
      </c>
      <c r="K110" s="32">
        <f>VLOOKUP(D110,'[1]NEW PRICE LIST'!$C$4:$H$1917,3,FALSE)</f>
        <v>215</v>
      </c>
      <c r="L110" s="13">
        <v>100</v>
      </c>
      <c r="M110" s="13">
        <v>0</v>
      </c>
      <c r="N110" s="13">
        <v>0</v>
      </c>
    </row>
    <row r="111" spans="1:14" x14ac:dyDescent="0.25">
      <c r="A111" s="14" t="str">
        <f t="shared" si="5"/>
        <v>AVT0000110</v>
      </c>
      <c r="B111" s="13" t="str">
        <f>VLOOKUP(D111,'SUPPLIER_ITEMS (1st Tools)'!C125:D1852,2,FALSE)</f>
        <v>1ST-358-124</v>
      </c>
      <c r="C111" s="14" t="s">
        <v>266</v>
      </c>
      <c r="D111" s="18" t="s">
        <v>660</v>
      </c>
      <c r="E111" s="30" t="str">
        <f t="shared" si="3"/>
        <v>PL22182-02 POLONET ABS BIDET SET</v>
      </c>
      <c r="F111" s="30" t="str">
        <f t="shared" si="4"/>
        <v>AV22182-02 POLONET ABS BIDET SET</v>
      </c>
      <c r="I111" s="31" t="str">
        <f>VLOOKUP(D111,'[1]NEW PRICE LIST'!$C$4:$D$1917,2,FALSE)</f>
        <v>60SET/CTN</v>
      </c>
      <c r="J111" s="13" t="s">
        <v>3622</v>
      </c>
      <c r="K111" s="32">
        <f>VLOOKUP(D111,'[1]NEW PRICE LIST'!$C$4:$H$1917,3,FALSE)</f>
        <v>260</v>
      </c>
      <c r="L111" s="13">
        <v>100</v>
      </c>
      <c r="M111" s="13">
        <v>0</v>
      </c>
      <c r="N111" s="13">
        <v>0</v>
      </c>
    </row>
    <row r="112" spans="1:14" x14ac:dyDescent="0.25">
      <c r="A112" s="14" t="str">
        <f t="shared" si="5"/>
        <v>AVT0000111</v>
      </c>
      <c r="B112" s="13" t="str">
        <f>VLOOKUP(D112,'SUPPLIER_ITEMS (1st Tools)'!C126:D1853,2,FALSE)</f>
        <v>1ST-358-125</v>
      </c>
      <c r="C112" s="14" t="s">
        <v>266</v>
      </c>
      <c r="D112" s="18" t="s">
        <v>3643</v>
      </c>
      <c r="E112" s="30" t="str">
        <f t="shared" si="3"/>
        <v>PL22182-03 POLONET 304 STAINLESS BIDET SET</v>
      </c>
      <c r="F112" s="30" t="str">
        <f t="shared" si="4"/>
        <v>AV22182-03 POLONET 304 STAINLESS BIDET SET</v>
      </c>
      <c r="I112" s="31" t="str">
        <f>VLOOKUP(D112,'[1]NEW PRICE LIST'!$C$4:$D$1917,2,FALSE)</f>
        <v>60SET/CTN</v>
      </c>
      <c r="J112" s="13" t="s">
        <v>3622</v>
      </c>
      <c r="K112" s="32">
        <f>VLOOKUP(D112,'[1]NEW PRICE LIST'!$C$4:$H$1917,3,FALSE)</f>
        <v>350</v>
      </c>
      <c r="L112" s="13">
        <v>100</v>
      </c>
      <c r="M112" s="13">
        <v>0</v>
      </c>
      <c r="N112" s="13">
        <v>0</v>
      </c>
    </row>
    <row r="113" spans="1:15" x14ac:dyDescent="0.25">
      <c r="A113" s="14" t="str">
        <f t="shared" si="5"/>
        <v>AVT0000112</v>
      </c>
      <c r="B113" s="13" t="str">
        <f>VLOOKUP(D113,'SUPPLIER_ITEMS (1st Tools)'!C127:D1854,2,FALSE)</f>
        <v>1ST-358-126</v>
      </c>
      <c r="C113" s="14" t="s">
        <v>265</v>
      </c>
      <c r="D113" s="18" t="s">
        <v>3617</v>
      </c>
      <c r="E113" s="30" t="str">
        <f t="shared" si="3"/>
        <v>PL22183-01 POLONET GOOSENECK FAUCET WALL TYPE 270G</v>
      </c>
      <c r="F113" s="30" t="str">
        <f t="shared" si="4"/>
        <v>AV22183-01 POLONET GOOSENECK FAUCET WALL TYPE 270G</v>
      </c>
      <c r="I113" s="31" t="str">
        <f>VLOOKUP(D113,'[1]NEW PRICE LIST'!$C$4:$D$1917,2,FALSE)</f>
        <v>30PCS/CTN</v>
      </c>
      <c r="J113" s="13" t="s">
        <v>3623</v>
      </c>
      <c r="K113" s="32">
        <f>VLOOKUP(D113,'[1]NEW PRICE LIST'!$C$4:$H$1917,3,FALSE)</f>
        <v>265</v>
      </c>
      <c r="L113" s="13">
        <v>100</v>
      </c>
      <c r="M113" s="13">
        <v>0</v>
      </c>
      <c r="N113" s="13">
        <v>0</v>
      </c>
    </row>
    <row r="114" spans="1:15" x14ac:dyDescent="0.25">
      <c r="A114" s="14" t="str">
        <f t="shared" si="5"/>
        <v>AVT0000113</v>
      </c>
      <c r="B114" s="13" t="str">
        <f>VLOOKUP(D114,'SUPPLIER_ITEMS (1st Tools)'!C128:D1855,2,FALSE)</f>
        <v>1ST-358-127</v>
      </c>
      <c r="C114" s="14" t="s">
        <v>265</v>
      </c>
      <c r="D114" s="18" t="s">
        <v>3644</v>
      </c>
      <c r="E114" s="30" t="str">
        <f t="shared" si="3"/>
        <v>PL22183-02 POLONET GOOSENECK FAUCET WALL TYPE 235G</v>
      </c>
      <c r="F114" s="30" t="str">
        <f t="shared" si="4"/>
        <v>AV22183-02 POLONET GOOSENECK FAUCET WALL TYPE 235G</v>
      </c>
      <c r="I114" s="31" t="str">
        <f>VLOOKUP(D114,'[1]NEW PRICE LIST'!$C$4:$D$1917,2,FALSE)</f>
        <v>50PCS/CTN</v>
      </c>
      <c r="J114" s="13" t="s">
        <v>3623</v>
      </c>
      <c r="K114" s="32">
        <f>VLOOKUP(D114,'[1]NEW PRICE LIST'!$C$4:$H$1917,3,FALSE)</f>
        <v>240</v>
      </c>
      <c r="L114" s="13">
        <v>100</v>
      </c>
      <c r="M114" s="13">
        <v>0</v>
      </c>
      <c r="N114" s="13">
        <v>0</v>
      </c>
    </row>
    <row r="115" spans="1:15" x14ac:dyDescent="0.25">
      <c r="A115" s="14" t="str">
        <f t="shared" si="5"/>
        <v>AVT0000114</v>
      </c>
      <c r="B115" s="13" t="str">
        <f>VLOOKUP(D115,'SUPPLIER_ITEMS (1st Tools)'!C150:D1877,2,FALSE)</f>
        <v>1ST-358-149</v>
      </c>
      <c r="C115" s="14" t="s">
        <v>262</v>
      </c>
      <c r="D115" s="18" t="s">
        <v>677</v>
      </c>
      <c r="E115" s="30" t="str">
        <f t="shared" ref="E115:E127" si="6">TRIM(SUBSTITUTE(SUBSTITUTE(D115,CHAR(10)," "),CHAR(13)," "))</f>
        <v>PL22184-01 POLONET LAVATORY FAUCET 248G</v>
      </c>
      <c r="F115" s="30" t="str">
        <f t="shared" ref="F115:F127" si="7">"AV"&amp;RIGHT(D115,LEN(D115)-2)</f>
        <v>AV22184-01 POLONET LAVATORY FAUCET 248G</v>
      </c>
      <c r="I115" s="31" t="str">
        <f>VLOOKUP(D115,'[1]NEW PRICE LIST'!$C$4:$D$1917,2,FALSE)</f>
        <v>60PCS/CTN</v>
      </c>
      <c r="J115" s="13" t="s">
        <v>300</v>
      </c>
      <c r="K115" s="32">
        <f>VLOOKUP(D115,'[1]NEW PRICE LIST'!$C$4:$H$1917,3,FALSE)</f>
        <v>250</v>
      </c>
      <c r="L115" s="13">
        <v>100</v>
      </c>
      <c r="M115" s="13">
        <v>0</v>
      </c>
      <c r="N115" s="13">
        <v>0</v>
      </c>
    </row>
    <row r="116" spans="1:15" x14ac:dyDescent="0.25">
      <c r="A116" s="14" t="str">
        <f t="shared" si="5"/>
        <v>AVT0000115</v>
      </c>
      <c r="B116" s="13" t="str">
        <f>VLOOKUP(D116,'SUPPLIER_ITEMS (1st Tools)'!C152:D1879,2,FALSE)</f>
        <v>1ST-358-151</v>
      </c>
      <c r="C116" s="14" t="s">
        <v>262</v>
      </c>
      <c r="D116" s="18" t="s">
        <v>680</v>
      </c>
      <c r="E116" s="30" t="str">
        <f t="shared" si="6"/>
        <v>PL22184-03 POLONET LAVATORY FAUCET 308G</v>
      </c>
      <c r="F116" s="30" t="str">
        <f t="shared" si="7"/>
        <v>AV22184-03 POLONET LAVATORY FAUCET 308G</v>
      </c>
      <c r="I116" s="31" t="str">
        <f>VLOOKUP(D116,'[1]NEW PRICE LIST'!$C$4:$D$1917,2,FALSE)</f>
        <v>60PCS/CTN</v>
      </c>
      <c r="J116" s="13" t="s">
        <v>300</v>
      </c>
      <c r="K116" s="32">
        <f>VLOOKUP(D116,'[1]NEW PRICE LIST'!$C$4:$H$1917,3,FALSE)</f>
        <v>280</v>
      </c>
      <c r="L116" s="13">
        <v>100</v>
      </c>
      <c r="M116" s="13">
        <v>0</v>
      </c>
      <c r="N116" s="13">
        <v>0</v>
      </c>
    </row>
    <row r="117" spans="1:15" x14ac:dyDescent="0.25">
      <c r="A117" s="14" t="str">
        <f t="shared" si="5"/>
        <v>AVT0000116</v>
      </c>
      <c r="B117" s="13" t="str">
        <f>VLOOKUP(D117,'SUPPLIER_ITEMS (1st Tools)'!C153:D1880,2,FALSE)</f>
        <v>1ST-358-152</v>
      </c>
      <c r="C117" s="14" t="s">
        <v>262</v>
      </c>
      <c r="D117" s="19" t="s">
        <v>682</v>
      </c>
      <c r="E117" s="30" t="str">
        <f t="shared" si="6"/>
        <v>PL22184-04 POLONET LAVATORY FAUCET 285G</v>
      </c>
      <c r="F117" s="30" t="str">
        <f t="shared" si="7"/>
        <v>AV22184-04 POLONET LAVATORY FAUCET 285G</v>
      </c>
      <c r="I117" s="31" t="str">
        <f>VLOOKUP(D117,'[1]NEW PRICE LIST'!$C$4:$D$1917,2,FALSE)</f>
        <v>60PCS/CTN</v>
      </c>
      <c r="J117" s="13" t="s">
        <v>300</v>
      </c>
      <c r="K117" s="32">
        <f>VLOOKUP(D117,'[1]NEW PRICE LIST'!$C$4:$H$1917,3,FALSE)</f>
        <v>280</v>
      </c>
      <c r="L117" s="13">
        <v>100</v>
      </c>
      <c r="M117" s="13">
        <v>0</v>
      </c>
      <c r="N117" s="13">
        <v>0</v>
      </c>
    </row>
    <row r="118" spans="1:15" ht="26.4" x14ac:dyDescent="0.25">
      <c r="A118" s="14" t="str">
        <f t="shared" si="5"/>
        <v>AVT0000117</v>
      </c>
      <c r="B118" s="13" t="str">
        <f>VLOOKUP(D118,'SUPPLIER_ITEMS (1st Tools)'!C158:D1885,2,FALSE)</f>
        <v>1ST-358-157</v>
      </c>
      <c r="C118" s="14" t="s">
        <v>259</v>
      </c>
      <c r="D118" s="18" t="s">
        <v>3658</v>
      </c>
      <c r="E118" s="30" t="str">
        <f t="shared" si="6"/>
        <v>PL22185-01 POLONET FAUCET WALL TYPE 1/2''*2'' SINGLE HANDLE</v>
      </c>
      <c r="F118" s="30" t="str">
        <f t="shared" si="7"/>
        <v>AV22185-01 POLONET FAUCET WALL TYPE 1/2''*2'' SINGLE HANDLE</v>
      </c>
      <c r="I118" s="31" t="str">
        <f>VLOOKUP(D118,'[1]NEW PRICE LIST'!$C$4:$D$1917,2,FALSE)</f>
        <v>60PCS/CTN</v>
      </c>
      <c r="J118" s="13" t="s">
        <v>300</v>
      </c>
      <c r="K118" s="32">
        <f>VLOOKUP(D118,'[1]NEW PRICE LIST'!$C$4:$H$1917,3,FALSE)</f>
        <v>90</v>
      </c>
      <c r="L118" s="13">
        <v>100</v>
      </c>
      <c r="M118" s="13">
        <v>0</v>
      </c>
      <c r="N118" s="13">
        <v>0</v>
      </c>
    </row>
    <row r="119" spans="1:15" ht="26.4" x14ac:dyDescent="0.25">
      <c r="A119" s="14" t="str">
        <f t="shared" si="5"/>
        <v>AVT0000118</v>
      </c>
      <c r="B119" s="13" t="str">
        <f>VLOOKUP(D119,'SUPPLIER_ITEMS (1st Tools)'!C159:D1886,2,FALSE)</f>
        <v>1ST-358-158</v>
      </c>
      <c r="C119" s="14" t="s">
        <v>259</v>
      </c>
      <c r="D119" s="18" t="s">
        <v>3659</v>
      </c>
      <c r="E119" s="30" t="str">
        <f t="shared" si="6"/>
        <v>PL22185-02 POLONET FAUCET WALL TYPE 1/2''*4'' SINGLE HANDLE</v>
      </c>
      <c r="F119" s="30" t="str">
        <f t="shared" si="7"/>
        <v>AV22185-02 POLONET FAUCET WALL TYPE 1/2''*4'' SINGLE HANDLE</v>
      </c>
      <c r="I119" s="31" t="str">
        <f>VLOOKUP(D119,'[1]NEW PRICE LIST'!$C$4:$D$1917,2,FALSE)</f>
        <v>60PCS/CTN</v>
      </c>
      <c r="J119" s="13" t="s">
        <v>300</v>
      </c>
      <c r="K119" s="32">
        <f>VLOOKUP(D119,'[1]NEW PRICE LIST'!$C$4:$H$1917,3,FALSE)</f>
        <v>110</v>
      </c>
      <c r="L119" s="13">
        <v>100</v>
      </c>
      <c r="M119" s="13">
        <v>0</v>
      </c>
      <c r="N119" s="13">
        <v>0</v>
      </c>
    </row>
    <row r="120" spans="1:15" ht="26.4" x14ac:dyDescent="0.25">
      <c r="A120" s="14" t="str">
        <f t="shared" si="5"/>
        <v>AVT0000119</v>
      </c>
      <c r="B120" s="13" t="str">
        <f>VLOOKUP(D120,'SUPPLIER_ITEMS (1st Tools)'!C160:D1887,2,FALSE)</f>
        <v>1ST-358-159</v>
      </c>
      <c r="C120" s="14" t="s">
        <v>259</v>
      </c>
      <c r="D120" s="18" t="s">
        <v>3660</v>
      </c>
      <c r="E120" s="30" t="str">
        <f t="shared" si="6"/>
        <v>PL22185-03 POLONET FAUCET WALL TYPE 1/2''*6'' SINGLE HANDLE</v>
      </c>
      <c r="F120" s="30" t="str">
        <f t="shared" si="7"/>
        <v>AV22185-03 POLONET FAUCET WALL TYPE 1/2''*6'' SINGLE HANDLE</v>
      </c>
      <c r="I120" s="31" t="str">
        <f>VLOOKUP(D120,'[1]NEW PRICE LIST'!$C$4:$D$1917,2,FALSE)</f>
        <v>60PCS/CTN</v>
      </c>
      <c r="J120" s="13" t="s">
        <v>300</v>
      </c>
      <c r="K120" s="32">
        <f>VLOOKUP(D120,'[1]NEW PRICE LIST'!$C$4:$H$1917,3,FALSE)</f>
        <v>120</v>
      </c>
      <c r="L120" s="13">
        <v>100</v>
      </c>
      <c r="M120" s="13">
        <v>0</v>
      </c>
      <c r="N120" s="13">
        <v>0</v>
      </c>
    </row>
    <row r="121" spans="1:15" ht="26.4" x14ac:dyDescent="0.25">
      <c r="A121" s="14" t="str">
        <f t="shared" si="5"/>
        <v>AVT0000120</v>
      </c>
      <c r="B121" s="13" t="str">
        <f>VLOOKUP(D121,'SUPPLIER_ITEMS (1st Tools)'!C161:D1888,2,FALSE)</f>
        <v>1ST-358-160</v>
      </c>
      <c r="C121" s="14" t="s">
        <v>259</v>
      </c>
      <c r="D121" s="18" t="s">
        <v>3661</v>
      </c>
      <c r="E121" s="30" t="str">
        <f t="shared" si="6"/>
        <v>PL22185-04 POLONET FAUCET WALL TYPE 1/2''*2''(57MM) CROSS HANDLE</v>
      </c>
      <c r="F121" s="30" t="str">
        <f t="shared" si="7"/>
        <v>AV22185-04 POLONET FAUCET WALL TYPE 1/2''*2''(57MM) CROSS HANDLE</v>
      </c>
      <c r="I121" s="31" t="str">
        <f>VLOOKUP(D121,'[1]NEW PRICE LIST'!$C$4:$D$1917,2,FALSE)</f>
        <v>60PCS/CTN</v>
      </c>
      <c r="J121" s="13" t="s">
        <v>300</v>
      </c>
      <c r="K121" s="32">
        <f>VLOOKUP(D121,'[1]NEW PRICE LIST'!$C$4:$H$1917,3,FALSE)</f>
        <v>125</v>
      </c>
      <c r="L121" s="13">
        <v>100</v>
      </c>
      <c r="M121" s="13">
        <v>0</v>
      </c>
      <c r="N121" s="13">
        <v>0</v>
      </c>
    </row>
    <row r="122" spans="1:15" ht="26.4" x14ac:dyDescent="0.25">
      <c r="A122" s="14" t="str">
        <f t="shared" si="5"/>
        <v>AVT0000121</v>
      </c>
      <c r="B122" s="13" t="str">
        <f>VLOOKUP(D122,'SUPPLIER_ITEMS (1st Tools)'!C162:D1889,2,FALSE)</f>
        <v>1ST-358-161</v>
      </c>
      <c r="C122" s="14" t="s">
        <v>259</v>
      </c>
      <c r="D122" s="18" t="s">
        <v>3662</v>
      </c>
      <c r="E122" s="30" t="str">
        <f t="shared" si="6"/>
        <v>PL22185-05POLONET FAUCET WALL TYPE 1/2''*4''(84MM) CROSS HANDLE</v>
      </c>
      <c r="F122" s="30" t="str">
        <f t="shared" si="7"/>
        <v>AV22185-05POLONET FAUCET WALL TYPE 1/2''*4''(84MM) CROSS HANDLE</v>
      </c>
      <c r="I122" s="31" t="str">
        <f>VLOOKUP(D122,'[1]NEW PRICE LIST'!$C$4:$D$1917,2,FALSE)</f>
        <v>60PCS/CTN</v>
      </c>
      <c r="J122" s="13" t="s">
        <v>300</v>
      </c>
      <c r="K122" s="32">
        <f>VLOOKUP(D122,'[1]NEW PRICE LIST'!$C$4:$H$1917,3,FALSE)</f>
        <v>140</v>
      </c>
      <c r="L122" s="13">
        <v>100</v>
      </c>
      <c r="M122" s="13">
        <v>0</v>
      </c>
      <c r="N122" s="13">
        <v>0</v>
      </c>
    </row>
    <row r="123" spans="1:15" ht="26.4" x14ac:dyDescent="0.25">
      <c r="A123" s="14" t="str">
        <f t="shared" si="5"/>
        <v>AVT0000122</v>
      </c>
      <c r="B123" s="13" t="str">
        <f>VLOOKUP(D123,'SUPPLIER_ITEMS (1st Tools)'!C163:D1890,2,FALSE)</f>
        <v>1ST-358-162</v>
      </c>
      <c r="C123" s="14" t="s">
        <v>259</v>
      </c>
      <c r="D123" s="18" t="s">
        <v>3663</v>
      </c>
      <c r="E123" s="30" t="str">
        <f t="shared" si="6"/>
        <v>PL22185-06 POLONET FAUCET WALL TYPE 1/2''*6''(130MM) CROSS HANDLE</v>
      </c>
      <c r="F123" s="30" t="str">
        <f t="shared" si="7"/>
        <v>AV22185-06 POLONET FAUCET WALL TYPE 1/2''*6''(130MM) CROSS HANDLE</v>
      </c>
      <c r="I123" s="31" t="str">
        <f>VLOOKUP(D123,'[1]NEW PRICE LIST'!$C$4:$D$1917,2,FALSE)</f>
        <v>60PCS/CTN</v>
      </c>
      <c r="J123" s="13" t="s">
        <v>300</v>
      </c>
      <c r="K123" s="32">
        <f>VLOOKUP(D123,'[1]NEW PRICE LIST'!$C$4:$H$1917,3,FALSE)</f>
        <v>190</v>
      </c>
      <c r="L123" s="13">
        <v>100</v>
      </c>
      <c r="M123" s="13">
        <v>0</v>
      </c>
      <c r="N123" s="13">
        <v>0</v>
      </c>
    </row>
    <row r="124" spans="1:15" ht="26.4" x14ac:dyDescent="0.25">
      <c r="A124" s="14" t="str">
        <f t="shared" si="5"/>
        <v>AVT0000123</v>
      </c>
      <c r="B124" s="13" t="str">
        <f>VLOOKUP(D124,'SUPPLIER_ITEMS (1st Tools)'!C172:D1899,2,FALSE)</f>
        <v>1ST-358-171</v>
      </c>
      <c r="C124" s="14" t="s">
        <v>256</v>
      </c>
      <c r="D124" s="18" t="s">
        <v>3664</v>
      </c>
      <c r="E124" s="30" t="str">
        <f t="shared" si="6"/>
        <v>PL22186-01 POLONET TWO WAY FAUCET 290G (CIRCLE HANDLE)</v>
      </c>
      <c r="F124" s="30" t="str">
        <f t="shared" si="7"/>
        <v>AV22186-01 POLONET TWO WAY FAUCET 290G (CIRCLE HANDLE)</v>
      </c>
      <c r="I124" s="31" t="str">
        <f>VLOOKUP(D124,'[1]NEW PRICE LIST'!$C$4:$D$1917,2,FALSE)</f>
        <v>50PCS/CTN</v>
      </c>
      <c r="J124" s="13" t="s">
        <v>300</v>
      </c>
      <c r="K124" s="32">
        <f>VLOOKUP(D124,'[1]NEW PRICE LIST'!$C$4:$H$1917,3,FALSE)</f>
        <v>250</v>
      </c>
      <c r="L124" s="13">
        <v>100</v>
      </c>
      <c r="M124" s="13">
        <v>0</v>
      </c>
      <c r="N124" s="13">
        <v>0</v>
      </c>
    </row>
    <row r="125" spans="1:15" ht="26.4" x14ac:dyDescent="0.25">
      <c r="A125" s="14" t="str">
        <f t="shared" si="5"/>
        <v>AVT0000124</v>
      </c>
      <c r="B125" s="13" t="str">
        <f>VLOOKUP(D125,'SUPPLIER_ITEMS (1st Tools)'!C173:D1900,2,FALSE)</f>
        <v>1ST-358-172</v>
      </c>
      <c r="C125" s="14" t="s">
        <v>256</v>
      </c>
      <c r="D125" s="18" t="s">
        <v>704</v>
      </c>
      <c r="E125" s="30" t="str">
        <f t="shared" si="6"/>
        <v>PL22186-02 POLONET TWO WAY FAUCIT 263G (CROSS HANDLE)</v>
      </c>
      <c r="F125" s="30" t="str">
        <f t="shared" si="7"/>
        <v>AV22186-02 POLONET TWO WAY FAUCIT 263G (CROSS HANDLE)</v>
      </c>
      <c r="I125" s="31" t="str">
        <f>VLOOKUP(D125,'[1]NEW PRICE LIST'!$C$4:$D$1917,2,FALSE)</f>
        <v>50PCS/CTN</v>
      </c>
      <c r="J125" s="13" t="s">
        <v>300</v>
      </c>
      <c r="K125" s="32">
        <f>VLOOKUP(D125,'[1]NEW PRICE LIST'!$C$4:$H$1917,3,FALSE)</f>
        <v>250</v>
      </c>
      <c r="L125" s="13">
        <v>100</v>
      </c>
      <c r="M125" s="13">
        <v>0</v>
      </c>
      <c r="N125" s="13">
        <v>0</v>
      </c>
    </row>
    <row r="126" spans="1:15" x14ac:dyDescent="0.25">
      <c r="A126" s="14" t="str">
        <f t="shared" si="5"/>
        <v>AVT0000125</v>
      </c>
      <c r="B126" s="13" t="str">
        <f>VLOOKUP(D126,'SUPPLIER_ITEMS (1st Tools)'!C176:D1903,2,FALSE)</f>
        <v>1ST-358-175</v>
      </c>
      <c r="C126" s="14" t="s">
        <v>253</v>
      </c>
      <c r="D126" s="18" t="s">
        <v>705</v>
      </c>
      <c r="E126" s="30" t="str">
        <f t="shared" si="6"/>
        <v>PL22187-01 ANGLE VALVE 1/2"*1/2"</v>
      </c>
      <c r="F126" s="30" t="str">
        <f t="shared" si="7"/>
        <v>AV22187-01 ANGLE VALVE 1/2"*1/2"</v>
      </c>
      <c r="I126" s="31" t="str">
        <f>VLOOKUP(D126,'[1]NEW PRICE LIST'!$C$4:$D$1917,2,FALSE)</f>
        <v>60PCS/CTN</v>
      </c>
      <c r="J126" s="13" t="s">
        <v>300</v>
      </c>
      <c r="K126" s="32">
        <f>VLOOKUP(D126,'[1]NEW PRICE LIST'!$C$4:$H$1917,3,FALSE)</f>
        <v>110</v>
      </c>
      <c r="L126" s="13">
        <v>100</v>
      </c>
      <c r="M126" s="13">
        <v>0</v>
      </c>
      <c r="N126" s="13">
        <v>0</v>
      </c>
    </row>
    <row r="127" spans="1:15" x14ac:dyDescent="0.25">
      <c r="A127" s="14" t="str">
        <f t="shared" si="5"/>
        <v>AVT0000126</v>
      </c>
      <c r="B127" s="13" t="str">
        <f>VLOOKUP(D127,'SUPPLIER_ITEMS (1st Tools)'!C177:D1904,2,FALSE)</f>
        <v>1ST-358-176</v>
      </c>
      <c r="C127" s="14" t="s">
        <v>253</v>
      </c>
      <c r="D127" s="18" t="s">
        <v>706</v>
      </c>
      <c r="E127" s="30" t="str">
        <f t="shared" si="6"/>
        <v>PL22187-02 ANGLE VALVE 1/2"*1/2"*1/2"</v>
      </c>
      <c r="F127" s="30" t="str">
        <f t="shared" si="7"/>
        <v>AV22187-02 ANGLE VALVE 1/2"*1/2"*1/2"</v>
      </c>
      <c r="I127" s="31" t="str">
        <f>VLOOKUP(D127,'[1]NEW PRICE LIST'!$C$4:$D$1917,2,FALSE)</f>
        <v>60PCS/CTN</v>
      </c>
      <c r="J127" s="13" t="s">
        <v>300</v>
      </c>
      <c r="K127" s="32">
        <f>VLOOKUP(D127,'[1]NEW PRICE LIST'!$C$4:$H$1917,3,FALSE)</f>
        <v>160</v>
      </c>
      <c r="L127" s="13">
        <v>100</v>
      </c>
      <c r="M127" s="13">
        <v>0</v>
      </c>
      <c r="N127" s="13">
        <v>0</v>
      </c>
    </row>
    <row r="128" spans="1:15" x14ac:dyDescent="0.25">
      <c r="A128" s="14" t="str">
        <f t="shared" si="5"/>
        <v>AVT0000127</v>
      </c>
      <c r="B128" s="13" t="str">
        <f>VLOOKUP(D128,'SUPPLIER_ITEMS (1st Tools)'!C227:D1954,2,FALSE)</f>
        <v>1ST-358-226</v>
      </c>
      <c r="C128" s="14" t="s">
        <v>240</v>
      </c>
      <c r="D128" s="18" t="s">
        <v>3676</v>
      </c>
      <c r="E128" s="30" t="str">
        <f t="shared" ref="E128:E158" si="8">TRIM(SUBSTITUTE(SUBSTITUTE(D128,CHAR(10)," "),CHAR(13)," "))</f>
        <v>PL220800-00 1/2 PVC ELBOW</v>
      </c>
      <c r="F128" s="30" t="str">
        <f t="shared" ref="F128:F159" si="9">"AV"&amp;RIGHT(D128,LEN(D128)-2)</f>
        <v>AV220800-00 1/2 PVC ELBOW</v>
      </c>
      <c r="I128" s="31" t="str">
        <f>VLOOKUP(D128,'[1]NEW PRICE LIST'!$C$4:$D$1917,2,FALSE)</f>
        <v>1400PCS/CTN</v>
      </c>
      <c r="J128" s="13" t="s">
        <v>300</v>
      </c>
      <c r="K128" s="32">
        <f>VLOOKUP(D128,'[1]NEW PRICE LIST'!$C$4:$H$1917,3,FALSE)</f>
        <v>5.9</v>
      </c>
      <c r="L128" s="13">
        <v>100</v>
      </c>
      <c r="M128" s="13">
        <v>0</v>
      </c>
      <c r="N128" s="13">
        <v>25</v>
      </c>
      <c r="O128" s="13" t="s">
        <v>3960</v>
      </c>
    </row>
    <row r="129" spans="1:15" x14ac:dyDescent="0.25">
      <c r="A129" s="14" t="str">
        <f t="shared" si="5"/>
        <v>AVT0000128</v>
      </c>
      <c r="B129" s="13" t="str">
        <f>VLOOKUP(D129,'SUPPLIER_ITEMS (1st Tools)'!C228:D1955,2,FALSE)</f>
        <v>1ST-358-227</v>
      </c>
      <c r="C129" s="14" t="s">
        <v>240</v>
      </c>
      <c r="D129" s="18" t="s">
        <v>899</v>
      </c>
      <c r="E129" s="30" t="str">
        <f t="shared" si="8"/>
        <v>PL220800-01 3/4 PVC ELBOW</v>
      </c>
      <c r="F129" s="30" t="str">
        <f t="shared" si="9"/>
        <v>AV220800-01 3/4 PVC ELBOW</v>
      </c>
      <c r="I129" s="31" t="str">
        <f>VLOOKUP(D129,'[1]NEW PRICE LIST'!$C$4:$D$1917,2,FALSE)</f>
        <v>800PCS/CTN</v>
      </c>
      <c r="J129" s="13" t="s">
        <v>300</v>
      </c>
      <c r="K129" s="32">
        <f>VLOOKUP(D129,'[1]NEW PRICE LIST'!$C$4:$H$1917,3,FALSE)</f>
        <v>9</v>
      </c>
      <c r="L129" s="13">
        <v>100</v>
      </c>
      <c r="M129" s="13">
        <v>0</v>
      </c>
      <c r="N129" s="13">
        <v>25</v>
      </c>
      <c r="O129" s="13" t="s">
        <v>3960</v>
      </c>
    </row>
    <row r="130" spans="1:15" x14ac:dyDescent="0.25">
      <c r="A130" s="14" t="str">
        <f t="shared" si="5"/>
        <v>AVT0000129</v>
      </c>
      <c r="B130" s="13" t="str">
        <f>VLOOKUP(D130,'SUPPLIER_ITEMS (1st Tools)'!C229:D1956,2,FALSE)</f>
        <v>1ST-358-228</v>
      </c>
      <c r="C130" s="14" t="s">
        <v>240</v>
      </c>
      <c r="D130" s="18" t="s">
        <v>3677</v>
      </c>
      <c r="E130" s="30" t="str">
        <f t="shared" si="8"/>
        <v>PL220800-02 1" PVC ELBOW</v>
      </c>
      <c r="F130" s="30" t="str">
        <f t="shared" si="9"/>
        <v>AV220800-02 1" PVC ELBOW</v>
      </c>
      <c r="I130" s="31" t="str">
        <f>VLOOKUP(D130,'[1]NEW PRICE LIST'!$C$4:$D$1917,2,FALSE)</f>
        <v>550PCS/CTN</v>
      </c>
      <c r="J130" s="13" t="s">
        <v>300</v>
      </c>
      <c r="K130" s="32">
        <f>VLOOKUP(D130,'[1]NEW PRICE LIST'!$C$4:$H$1917,3,FALSE)</f>
        <v>13</v>
      </c>
      <c r="L130" s="13">
        <v>100</v>
      </c>
      <c r="M130" s="13">
        <v>0</v>
      </c>
      <c r="N130" s="13">
        <v>25</v>
      </c>
      <c r="O130" s="13" t="s">
        <v>3960</v>
      </c>
    </row>
    <row r="131" spans="1:15" x14ac:dyDescent="0.25">
      <c r="A131" s="14" t="str">
        <f t="shared" si="5"/>
        <v>AVT0000130</v>
      </c>
      <c r="B131" s="13" t="str">
        <f>VLOOKUP(D131,'SUPPLIER_ITEMS (1st Tools)'!C230:D1957,2,FALSE)</f>
        <v>1ST-358-229</v>
      </c>
      <c r="C131" s="14" t="s">
        <v>240</v>
      </c>
      <c r="D131" s="18" t="s">
        <v>3678</v>
      </c>
      <c r="E131" s="30" t="str">
        <f t="shared" si="8"/>
        <v>PL220800-03 1-1/4" PVC ELBOW</v>
      </c>
      <c r="F131" s="30" t="str">
        <f t="shared" si="9"/>
        <v>AV220800-03 1-1/4" PVC ELBOW</v>
      </c>
      <c r="I131" s="31" t="str">
        <f>VLOOKUP(D131,'[1]NEW PRICE LIST'!$C$4:$D$1917,2,FALSE)</f>
        <v>230PCS/CTN</v>
      </c>
      <c r="J131" s="13" t="s">
        <v>300</v>
      </c>
      <c r="K131" s="32">
        <f>VLOOKUP(D131,'[1]NEW PRICE LIST'!$C$4:$H$1917,3,FALSE)</f>
        <v>21</v>
      </c>
      <c r="L131" s="13">
        <v>100</v>
      </c>
      <c r="M131" s="13">
        <v>0</v>
      </c>
      <c r="N131" s="13">
        <v>25</v>
      </c>
      <c r="O131" s="13" t="s">
        <v>3960</v>
      </c>
    </row>
    <row r="132" spans="1:15" x14ac:dyDescent="0.25">
      <c r="A132" s="14" t="str">
        <f t="shared" ref="A132:A195" si="10">"AVT"&amp;TEXT(RIGHT(A131,LEN(A131)-3)+1,"0000000")</f>
        <v>AVT0000131</v>
      </c>
      <c r="B132" s="13" t="str">
        <f>VLOOKUP(D132,'SUPPLIER_ITEMS (1st Tools)'!C231:D1958,2,FALSE)</f>
        <v>1ST-358-230</v>
      </c>
      <c r="C132" s="14" t="s">
        <v>240</v>
      </c>
      <c r="D132" s="18" t="s">
        <v>903</v>
      </c>
      <c r="E132" s="30" t="str">
        <f t="shared" si="8"/>
        <v>PL220800-04 1-1/2" PVC ELBOW</v>
      </c>
      <c r="F132" s="30" t="str">
        <f t="shared" si="9"/>
        <v>AV220800-04 1-1/2" PVC ELBOW</v>
      </c>
      <c r="I132" s="31" t="str">
        <f>VLOOKUP(D132,'[1]NEW PRICE LIST'!$C$4:$D$1917,2,FALSE)</f>
        <v>200PCS/CTN</v>
      </c>
      <c r="J132" s="13" t="s">
        <v>300</v>
      </c>
      <c r="K132" s="32">
        <f>VLOOKUP(D132,'[1]NEW PRICE LIST'!$C$4:$H$1917,3,FALSE)</f>
        <v>33</v>
      </c>
      <c r="L132" s="13">
        <v>100</v>
      </c>
      <c r="M132" s="13">
        <v>0</v>
      </c>
      <c r="N132" s="13">
        <v>25</v>
      </c>
      <c r="O132" s="13" t="s">
        <v>3960</v>
      </c>
    </row>
    <row r="133" spans="1:15" x14ac:dyDescent="0.25">
      <c r="A133" s="14" t="str">
        <f t="shared" si="10"/>
        <v>AVT0000132</v>
      </c>
      <c r="B133" s="13" t="str">
        <f>VLOOKUP(D133,'SUPPLIER_ITEMS (1st Tools)'!C232:D1959,2,FALSE)</f>
        <v>1ST-358-231</v>
      </c>
      <c r="C133" s="14" t="s">
        <v>240</v>
      </c>
      <c r="D133" s="18" t="s">
        <v>3679</v>
      </c>
      <c r="E133" s="30" t="str">
        <f t="shared" si="8"/>
        <v>PL220800-05 2" PVC ELBOW</v>
      </c>
      <c r="F133" s="30" t="str">
        <f t="shared" si="9"/>
        <v>AV220800-05 2" PVC ELBOW</v>
      </c>
      <c r="I133" s="31" t="str">
        <f>VLOOKUP(D133,'[1]NEW PRICE LIST'!$C$4:$D$1917,2,FALSE)</f>
        <v>110PCS/CTN</v>
      </c>
      <c r="J133" s="13" t="s">
        <v>300</v>
      </c>
      <c r="K133" s="32">
        <f>VLOOKUP(D133,'[1]NEW PRICE LIST'!$C$4:$H$1917,3,FALSE)</f>
        <v>50</v>
      </c>
      <c r="L133" s="13">
        <v>100</v>
      </c>
      <c r="M133" s="13">
        <v>0</v>
      </c>
      <c r="N133" s="13">
        <v>25</v>
      </c>
      <c r="O133" s="13" t="s">
        <v>3960</v>
      </c>
    </row>
    <row r="134" spans="1:15" x14ac:dyDescent="0.25">
      <c r="A134" s="14" t="str">
        <f t="shared" si="10"/>
        <v>AVT0000133</v>
      </c>
      <c r="B134" s="13" t="str">
        <f>VLOOKUP(D134,'SUPPLIER_ITEMS (1st Tools)'!C233:D1960,2,FALSE)</f>
        <v>1ST-358-232</v>
      </c>
      <c r="C134" s="14" t="s">
        <v>241</v>
      </c>
      <c r="D134" s="18" t="s">
        <v>906</v>
      </c>
      <c r="E134" s="30" t="str">
        <f t="shared" si="8"/>
        <v>PL220801-00 3/4*1/2 PVC ELBOW REDUCER</v>
      </c>
      <c r="F134" s="30" t="str">
        <f t="shared" si="9"/>
        <v>AV220801-00 3/4*1/2 PVC ELBOW REDUCER</v>
      </c>
      <c r="I134" s="31" t="str">
        <f>VLOOKUP(D134,'[1]NEW PRICE LIST'!$C$4:$D$1917,2,FALSE)</f>
        <v>1000PCS/CTN</v>
      </c>
      <c r="J134" s="13" t="s">
        <v>300</v>
      </c>
      <c r="K134" s="32">
        <f>VLOOKUP(D134,'[1]NEW PRICE LIST'!$C$4:$H$1917,3,FALSE)</f>
        <v>10.55</v>
      </c>
      <c r="L134" s="13">
        <v>100</v>
      </c>
      <c r="M134" s="13">
        <v>0</v>
      </c>
      <c r="N134" s="13">
        <v>25</v>
      </c>
      <c r="O134" s="13" t="s">
        <v>3960</v>
      </c>
    </row>
    <row r="135" spans="1:15" x14ac:dyDescent="0.25">
      <c r="A135" s="14" t="str">
        <f t="shared" si="10"/>
        <v>AVT0000134</v>
      </c>
      <c r="B135" s="13" t="str">
        <f>VLOOKUP(D135,'SUPPLIER_ITEMS (1st Tools)'!C234:D1961,2,FALSE)</f>
        <v>1ST-358-233</v>
      </c>
      <c r="C135" s="14" t="s">
        <v>241</v>
      </c>
      <c r="D135" s="18" t="s">
        <v>908</v>
      </c>
      <c r="E135" s="30" t="str">
        <f t="shared" si="8"/>
        <v>PL220801-01 1*1/2 PVC ELBOW REDUCER</v>
      </c>
      <c r="F135" s="30" t="str">
        <f t="shared" si="9"/>
        <v>AV220801-01 1*1/2 PVC ELBOW REDUCER</v>
      </c>
      <c r="I135" s="31" t="str">
        <f>VLOOKUP(D135,'[1]NEW PRICE LIST'!$C$4:$D$1917,2,FALSE)</f>
        <v>700PCS/CTN</v>
      </c>
      <c r="J135" s="13" t="s">
        <v>300</v>
      </c>
      <c r="K135" s="32">
        <f>VLOOKUP(D135,'[1]NEW PRICE LIST'!$C$4:$H$1917,3,FALSE)</f>
        <v>20.7</v>
      </c>
      <c r="L135" s="13">
        <v>100</v>
      </c>
      <c r="M135" s="13">
        <v>0</v>
      </c>
      <c r="N135" s="13">
        <v>25</v>
      </c>
      <c r="O135" s="13" t="s">
        <v>3960</v>
      </c>
    </row>
    <row r="136" spans="1:15" x14ac:dyDescent="0.25">
      <c r="A136" s="14" t="str">
        <f t="shared" si="10"/>
        <v>AVT0000135</v>
      </c>
      <c r="B136" s="13" t="str">
        <f>VLOOKUP(D136,'SUPPLIER_ITEMS (1st Tools)'!C235:D1962,2,FALSE)</f>
        <v>1ST-358-234</v>
      </c>
      <c r="C136" s="14" t="s">
        <v>241</v>
      </c>
      <c r="D136" s="18" t="s">
        <v>910</v>
      </c>
      <c r="E136" s="30" t="str">
        <f t="shared" si="8"/>
        <v>PL220801-02 1*3/4 PVC ELBOW REDUCER</v>
      </c>
      <c r="F136" s="30" t="str">
        <f t="shared" si="9"/>
        <v>AV220801-02 1*3/4 PVC ELBOW REDUCER</v>
      </c>
      <c r="I136" s="31" t="str">
        <f>VLOOKUP(D136,'[1]NEW PRICE LIST'!$C$4:$D$1917,2,FALSE)</f>
        <v>550PCS/CTN</v>
      </c>
      <c r="J136" s="13" t="s">
        <v>300</v>
      </c>
      <c r="K136" s="32">
        <f>VLOOKUP(D136,'[1]NEW PRICE LIST'!$C$4:$H$1917,3,FALSE)</f>
        <v>18.75</v>
      </c>
      <c r="L136" s="13">
        <v>100</v>
      </c>
      <c r="M136" s="13">
        <v>0</v>
      </c>
      <c r="N136" s="13">
        <v>25</v>
      </c>
      <c r="O136" s="13" t="s">
        <v>3960</v>
      </c>
    </row>
    <row r="137" spans="1:15" x14ac:dyDescent="0.25">
      <c r="A137" s="14" t="str">
        <f t="shared" si="10"/>
        <v>AVT0000136</v>
      </c>
      <c r="B137" s="13" t="str">
        <f>VLOOKUP(D137,'SUPPLIER_ITEMS (1st Tools)'!C236:D1963,2,FALSE)</f>
        <v>1ST-358-235</v>
      </c>
      <c r="C137" s="14" t="s">
        <v>242</v>
      </c>
      <c r="D137" s="18" t="s">
        <v>3680</v>
      </c>
      <c r="E137" s="30" t="str">
        <f t="shared" si="8"/>
        <v>PL220802-00 1/2 PVC TEE</v>
      </c>
      <c r="F137" s="30" t="str">
        <f t="shared" si="9"/>
        <v>AV220802-00 1/2 PVC TEE</v>
      </c>
      <c r="I137" s="31" t="str">
        <f>VLOOKUP(D137,'[1]NEW PRICE LIST'!$C$4:$D$1917,2,FALSE)</f>
        <v>900PCS/CTN</v>
      </c>
      <c r="J137" s="13" t="s">
        <v>300</v>
      </c>
      <c r="K137" s="32">
        <f>VLOOKUP(D137,'[1]NEW PRICE LIST'!$C$4:$H$1917,3,FALSE)</f>
        <v>9</v>
      </c>
      <c r="L137" s="13">
        <v>100</v>
      </c>
      <c r="M137" s="13">
        <v>0</v>
      </c>
      <c r="N137" s="13">
        <v>25</v>
      </c>
      <c r="O137" s="13" t="s">
        <v>3960</v>
      </c>
    </row>
    <row r="138" spans="1:15" x14ac:dyDescent="0.25">
      <c r="A138" s="14" t="str">
        <f t="shared" si="10"/>
        <v>AVT0000137</v>
      </c>
      <c r="B138" s="13" t="str">
        <f>VLOOKUP(D138,'SUPPLIER_ITEMS (1st Tools)'!C237:D1964,2,FALSE)</f>
        <v>1ST-358-236</v>
      </c>
      <c r="C138" s="14" t="s">
        <v>242</v>
      </c>
      <c r="D138" s="18" t="s">
        <v>912</v>
      </c>
      <c r="E138" s="30" t="str">
        <f t="shared" si="8"/>
        <v>PL220802-01 (LTSN007-8) 3/4 PVC TEE</v>
      </c>
      <c r="F138" s="30" t="str">
        <f t="shared" si="9"/>
        <v>AV220802-01 (LTSN007-8) 3/4 PVC TEE</v>
      </c>
      <c r="I138" s="31" t="str">
        <f>VLOOKUP(D138,'[1]NEW PRICE LIST'!$C$4:$D$1917,2,FALSE)</f>
        <v>500PCS/CTN</v>
      </c>
      <c r="J138" s="13" t="s">
        <v>300</v>
      </c>
      <c r="K138" s="32">
        <f>VLOOKUP(D138,'[1]NEW PRICE LIST'!$C$4:$H$1917,3,FALSE)</f>
        <v>12.5</v>
      </c>
      <c r="L138" s="13">
        <v>100</v>
      </c>
      <c r="M138" s="13">
        <v>0</v>
      </c>
      <c r="N138" s="13">
        <v>25</v>
      </c>
      <c r="O138" s="13" t="s">
        <v>3960</v>
      </c>
    </row>
    <row r="139" spans="1:15" x14ac:dyDescent="0.25">
      <c r="A139" s="14" t="str">
        <f t="shared" si="10"/>
        <v>AVT0000138</v>
      </c>
      <c r="B139" s="13" t="str">
        <f>VLOOKUP(D139,'SUPPLIER_ITEMS (1st Tools)'!C238:D1965,2,FALSE)</f>
        <v>1ST-358-237</v>
      </c>
      <c r="C139" s="14" t="s">
        <v>242</v>
      </c>
      <c r="D139" s="18" t="s">
        <v>3681</v>
      </c>
      <c r="E139" s="30" t="str">
        <f t="shared" si="8"/>
        <v>PL220802-02 1" PVC TEE</v>
      </c>
      <c r="F139" s="30" t="str">
        <f t="shared" si="9"/>
        <v>AV220802-02 1" PVC TEE</v>
      </c>
      <c r="I139" s="31" t="str">
        <f>VLOOKUP(D139,'[1]NEW PRICE LIST'!$C$4:$D$1917,2,FALSE)</f>
        <v>300PCS/CTN</v>
      </c>
      <c r="J139" s="13" t="s">
        <v>300</v>
      </c>
      <c r="K139" s="32">
        <f>VLOOKUP(D139,'[1]NEW PRICE LIST'!$C$4:$H$1917,3,FALSE)</f>
        <v>22.5</v>
      </c>
      <c r="L139" s="13">
        <v>100</v>
      </c>
      <c r="M139" s="13">
        <v>0</v>
      </c>
      <c r="N139" s="13">
        <v>25</v>
      </c>
      <c r="O139" s="13" t="s">
        <v>3960</v>
      </c>
    </row>
    <row r="140" spans="1:15" x14ac:dyDescent="0.25">
      <c r="A140" s="14" t="str">
        <f t="shared" si="10"/>
        <v>AVT0000139</v>
      </c>
      <c r="B140" s="13" t="str">
        <f>VLOOKUP(D140,'SUPPLIER_ITEMS (1st Tools)'!C239:D1966,2,FALSE)</f>
        <v>1ST-358-238</v>
      </c>
      <c r="C140" s="14" t="s">
        <v>242</v>
      </c>
      <c r="D140" s="18" t="s">
        <v>915</v>
      </c>
      <c r="E140" s="30" t="str">
        <f t="shared" si="8"/>
        <v>PL220802-03 1-1/4" PVC TEE</v>
      </c>
      <c r="F140" s="30" t="str">
        <f t="shared" si="9"/>
        <v>AV220802-03 1-1/4" PVC TEE</v>
      </c>
      <c r="I140" s="31" t="str">
        <f>VLOOKUP(D140,'[1]NEW PRICE LIST'!$C$4:$D$1917,2,FALSE)</f>
        <v>160PCS/CTN</v>
      </c>
      <c r="J140" s="13" t="s">
        <v>300</v>
      </c>
      <c r="K140" s="32">
        <f>VLOOKUP(D140,'[1]NEW PRICE LIST'!$C$4:$H$1917,3,FALSE)</f>
        <v>32.5</v>
      </c>
      <c r="L140" s="13">
        <v>100</v>
      </c>
      <c r="M140" s="13">
        <v>0</v>
      </c>
      <c r="N140" s="13">
        <v>25</v>
      </c>
      <c r="O140" s="13" t="s">
        <v>3960</v>
      </c>
    </row>
    <row r="141" spans="1:15" x14ac:dyDescent="0.25">
      <c r="A141" s="14" t="str">
        <f t="shared" si="10"/>
        <v>AVT0000140</v>
      </c>
      <c r="B141" s="13" t="str">
        <f>VLOOKUP(D141,'SUPPLIER_ITEMS (1st Tools)'!C240:D1967,2,FALSE)</f>
        <v>1ST-358-239</v>
      </c>
      <c r="C141" s="14" t="s">
        <v>242</v>
      </c>
      <c r="D141" s="18" t="s">
        <v>917</v>
      </c>
      <c r="E141" s="30" t="str">
        <f t="shared" si="8"/>
        <v>PL220802-04 1-1/2" PVC TEE</v>
      </c>
      <c r="F141" s="30" t="str">
        <f t="shared" si="9"/>
        <v>AV220802-04 1-1/2" PVC TEE</v>
      </c>
      <c r="I141" s="31" t="str">
        <f>VLOOKUP(D141,'[1]NEW PRICE LIST'!$C$4:$D$1917,2,FALSE)</f>
        <v>100PCS/CTN</v>
      </c>
      <c r="J141" s="13" t="s">
        <v>300</v>
      </c>
      <c r="K141" s="32">
        <f>VLOOKUP(D141,'[1]NEW PRICE LIST'!$C$4:$H$1917,3,FALSE)</f>
        <v>47.5</v>
      </c>
      <c r="L141" s="13">
        <v>100</v>
      </c>
      <c r="M141" s="13">
        <v>0</v>
      </c>
      <c r="N141" s="13">
        <v>25</v>
      </c>
      <c r="O141" s="13" t="s">
        <v>3960</v>
      </c>
    </row>
    <row r="142" spans="1:15" x14ac:dyDescent="0.25">
      <c r="A142" s="14" t="str">
        <f t="shared" si="10"/>
        <v>AVT0000141</v>
      </c>
      <c r="B142" s="13" t="str">
        <f>VLOOKUP(D142,'SUPPLIER_ITEMS (1st Tools)'!C241:D1968,2,FALSE)</f>
        <v>1ST-358-240</v>
      </c>
      <c r="C142" s="14" t="s">
        <v>242</v>
      </c>
      <c r="D142" s="18" t="s">
        <v>919</v>
      </c>
      <c r="E142" s="30" t="str">
        <f t="shared" si="8"/>
        <v>PL220802-05 2" PVC TEE</v>
      </c>
      <c r="F142" s="30" t="str">
        <f t="shared" si="9"/>
        <v>AV220802-05 2" PVC TEE</v>
      </c>
      <c r="I142" s="31" t="str">
        <f>VLOOKUP(D142,'[1]NEW PRICE LIST'!$C$4:$D$1917,2,FALSE)</f>
        <v>80PCS/CTN</v>
      </c>
      <c r="J142" s="13" t="s">
        <v>300</v>
      </c>
      <c r="K142" s="32">
        <f>VLOOKUP(D142,'[1]NEW PRICE LIST'!$C$4:$H$1917,3,FALSE)</f>
        <v>82.5</v>
      </c>
      <c r="L142" s="13">
        <v>100</v>
      </c>
      <c r="M142" s="13">
        <v>0</v>
      </c>
      <c r="N142" s="13">
        <v>25</v>
      </c>
      <c r="O142" s="13" t="s">
        <v>3960</v>
      </c>
    </row>
    <row r="143" spans="1:15" x14ac:dyDescent="0.25">
      <c r="A143" s="14" t="str">
        <f t="shared" si="10"/>
        <v>AVT0000142</v>
      </c>
      <c r="B143" s="13" t="str">
        <f>VLOOKUP(D143,'SUPPLIER_ITEMS (1st Tools)'!C242:D1969,2,FALSE)</f>
        <v>1ST-358-241</v>
      </c>
      <c r="C143" s="14" t="s">
        <v>243</v>
      </c>
      <c r="D143" s="18" t="s">
        <v>921</v>
      </c>
      <c r="E143" s="30" t="str">
        <f t="shared" si="8"/>
        <v>PL220803-00 (LTSN007-8) 3/4x1/2 PVC TEE REDUCER</v>
      </c>
      <c r="F143" s="30" t="str">
        <f t="shared" si="9"/>
        <v>AV220803-00 (LTSN007-8) 3/4x1/2 PVC TEE REDUCER</v>
      </c>
      <c r="I143" s="31" t="str">
        <f>VLOOKUP(D143,'[1]NEW PRICE LIST'!$C$4:$D$1917,2,FALSE)</f>
        <v>650PCS/CTN</v>
      </c>
      <c r="J143" s="13" t="s">
        <v>300</v>
      </c>
      <c r="K143" s="32">
        <f>VLOOKUP(D143,'[1]NEW PRICE LIST'!$C$4:$H$1917,3,FALSE)</f>
        <v>17</v>
      </c>
      <c r="L143" s="13">
        <v>100</v>
      </c>
      <c r="M143" s="13">
        <v>0</v>
      </c>
      <c r="N143" s="13">
        <v>25</v>
      </c>
      <c r="O143" s="13" t="s">
        <v>3960</v>
      </c>
    </row>
    <row r="144" spans="1:15" x14ac:dyDescent="0.25">
      <c r="A144" s="14" t="str">
        <f t="shared" si="10"/>
        <v>AVT0000143</v>
      </c>
      <c r="B144" s="13" t="str">
        <f>VLOOKUP(D144,'SUPPLIER_ITEMS (1st Tools)'!C243:D1970,2,FALSE)</f>
        <v>1ST-358-242</v>
      </c>
      <c r="C144" s="14" t="s">
        <v>243</v>
      </c>
      <c r="D144" s="18" t="s">
        <v>923</v>
      </c>
      <c r="E144" s="30" t="str">
        <f t="shared" si="8"/>
        <v>PL220803-01 1x1/2 PVC TEE REDUCER</v>
      </c>
      <c r="F144" s="30" t="str">
        <f t="shared" si="9"/>
        <v>AV220803-01 1x1/2 PVC TEE REDUCER</v>
      </c>
      <c r="I144" s="31" t="str">
        <f>VLOOKUP(D144,'[1]NEW PRICE LIST'!$C$4:$D$1917,2,FALSE)</f>
        <v>450PCS/CTN</v>
      </c>
      <c r="J144" s="13" t="s">
        <v>300</v>
      </c>
      <c r="K144" s="32">
        <f>VLOOKUP(D144,'[1]NEW PRICE LIST'!$C$4:$H$1917,3,FALSE)</f>
        <v>25.9</v>
      </c>
      <c r="L144" s="13">
        <v>100</v>
      </c>
      <c r="M144" s="13">
        <v>0</v>
      </c>
      <c r="N144" s="13">
        <v>25</v>
      </c>
      <c r="O144" s="13" t="s">
        <v>3960</v>
      </c>
    </row>
    <row r="145" spans="1:15" x14ac:dyDescent="0.25">
      <c r="A145" s="14" t="str">
        <f t="shared" si="10"/>
        <v>AVT0000144</v>
      </c>
      <c r="B145" s="13" t="str">
        <f>VLOOKUP(D145,'SUPPLIER_ITEMS (1st Tools)'!C244:D1971,2,FALSE)</f>
        <v>1ST-358-243</v>
      </c>
      <c r="C145" s="14" t="s">
        <v>243</v>
      </c>
      <c r="D145" s="18" t="s">
        <v>3682</v>
      </c>
      <c r="E145" s="30" t="str">
        <f t="shared" si="8"/>
        <v>PL220803-02 1x3/4 PVC TEE REDUCER</v>
      </c>
      <c r="F145" s="30" t="str">
        <f t="shared" si="9"/>
        <v>AV220803-02 1x3/4 PVC TEE REDUCER</v>
      </c>
      <c r="I145" s="31" t="str">
        <f>VLOOKUP(D145,'[1]NEW PRICE LIST'!$C$4:$D$1917,2,FALSE)</f>
        <v>400PCS/CTN</v>
      </c>
      <c r="J145" s="13" t="s">
        <v>300</v>
      </c>
      <c r="K145" s="32">
        <f>VLOOKUP(D145,'[1]NEW PRICE LIST'!$C$4:$H$1917,3,FALSE)</f>
        <v>25.9</v>
      </c>
      <c r="L145" s="13">
        <v>100</v>
      </c>
      <c r="M145" s="13">
        <v>0</v>
      </c>
      <c r="N145" s="13">
        <v>25</v>
      </c>
      <c r="O145" s="13" t="s">
        <v>3960</v>
      </c>
    </row>
    <row r="146" spans="1:15" x14ac:dyDescent="0.25">
      <c r="A146" s="14" t="str">
        <f t="shared" si="10"/>
        <v>AVT0000145</v>
      </c>
      <c r="B146" s="13" t="str">
        <f>VLOOKUP(D146,'SUPPLIER_ITEMS (1st Tools)'!C245:D1972,2,FALSE)</f>
        <v>1ST-358-244</v>
      </c>
      <c r="C146" s="14" t="s">
        <v>237</v>
      </c>
      <c r="D146" s="18" t="s">
        <v>3683</v>
      </c>
      <c r="E146" s="30" t="str">
        <f t="shared" si="8"/>
        <v>PL220804-00 1/2 PVC COUPLING</v>
      </c>
      <c r="F146" s="30" t="str">
        <f t="shared" si="9"/>
        <v>AV220804-00 1/2 PVC COUPLING</v>
      </c>
      <c r="I146" s="31" t="str">
        <f>VLOOKUP(D146,'[1]NEW PRICE LIST'!$C$4:$D$1917,2,FALSE)</f>
        <v>2000PCS/CTN</v>
      </c>
      <c r="J146" s="13" t="s">
        <v>300</v>
      </c>
      <c r="K146" s="32">
        <f>VLOOKUP(D146,'[1]NEW PRICE LIST'!$C$4:$H$1917,3,FALSE)</f>
        <v>4</v>
      </c>
      <c r="L146" s="13">
        <v>100</v>
      </c>
      <c r="M146" s="13">
        <v>0</v>
      </c>
      <c r="N146" s="13">
        <v>25</v>
      </c>
      <c r="O146" s="13" t="s">
        <v>3960</v>
      </c>
    </row>
    <row r="147" spans="1:15" x14ac:dyDescent="0.25">
      <c r="A147" s="14" t="str">
        <f t="shared" si="10"/>
        <v>AVT0000146</v>
      </c>
      <c r="B147" s="13" t="str">
        <f>VLOOKUP(D147,'SUPPLIER_ITEMS (1st Tools)'!C246:D1973,2,FALSE)</f>
        <v>1ST-358-245</v>
      </c>
      <c r="C147" s="14" t="s">
        <v>237</v>
      </c>
      <c r="D147" s="18" t="s">
        <v>926</v>
      </c>
      <c r="E147" s="30" t="str">
        <f t="shared" si="8"/>
        <v>PL220804-01 3/4 PVC COUPLING</v>
      </c>
      <c r="F147" s="30" t="str">
        <f t="shared" si="9"/>
        <v>AV220804-01 3/4 PVC COUPLING</v>
      </c>
      <c r="I147" s="31" t="str">
        <f>VLOOKUP(D147,'[1]NEW PRICE LIST'!$C$4:$D$1917,2,FALSE)</f>
        <v>1100PCS/CTN</v>
      </c>
      <c r="J147" s="13" t="s">
        <v>300</v>
      </c>
      <c r="K147" s="32">
        <f>VLOOKUP(D147,'[1]NEW PRICE LIST'!$C$4:$H$1917,3,FALSE)</f>
        <v>6</v>
      </c>
      <c r="L147" s="13">
        <v>100</v>
      </c>
      <c r="M147" s="13">
        <v>0</v>
      </c>
      <c r="N147" s="13">
        <v>25</v>
      </c>
      <c r="O147" s="13" t="s">
        <v>3960</v>
      </c>
    </row>
    <row r="148" spans="1:15" x14ac:dyDescent="0.25">
      <c r="A148" s="14" t="str">
        <f t="shared" si="10"/>
        <v>AVT0000147</v>
      </c>
      <c r="B148" s="13" t="str">
        <f>VLOOKUP(D148,'SUPPLIER_ITEMS (1st Tools)'!C247:D1974,2,FALSE)</f>
        <v>1ST-358-246</v>
      </c>
      <c r="C148" s="14" t="s">
        <v>237</v>
      </c>
      <c r="D148" s="18" t="s">
        <v>928</v>
      </c>
      <c r="E148" s="30" t="str">
        <f t="shared" si="8"/>
        <v>PL220804-02 1" PVC COUPLING</v>
      </c>
      <c r="F148" s="30" t="str">
        <f t="shared" si="9"/>
        <v>AV220804-02 1" PVC COUPLING</v>
      </c>
      <c r="I148" s="31" t="str">
        <f>VLOOKUP(D148,'[1]NEW PRICE LIST'!$C$4:$D$1917,2,FALSE)</f>
        <v>650PCS/CTN</v>
      </c>
      <c r="J148" s="13" t="s">
        <v>300</v>
      </c>
      <c r="K148" s="32">
        <f>VLOOKUP(D148,'[1]NEW PRICE LIST'!$C$4:$H$1917,3,FALSE)</f>
        <v>8</v>
      </c>
      <c r="L148" s="13">
        <v>100</v>
      </c>
      <c r="M148" s="13">
        <v>0</v>
      </c>
      <c r="N148" s="13">
        <v>25</v>
      </c>
      <c r="O148" s="13" t="s">
        <v>3960</v>
      </c>
    </row>
    <row r="149" spans="1:15" x14ac:dyDescent="0.25">
      <c r="A149" s="14" t="str">
        <f t="shared" si="10"/>
        <v>AVT0000148</v>
      </c>
      <c r="B149" s="13" t="str">
        <f>VLOOKUP(D149,'SUPPLIER_ITEMS (1st Tools)'!C248:D1975,2,FALSE)</f>
        <v>1ST-358-247</v>
      </c>
      <c r="C149" s="14" t="s">
        <v>237</v>
      </c>
      <c r="D149" s="18" t="s">
        <v>930</v>
      </c>
      <c r="E149" s="30" t="str">
        <f t="shared" si="8"/>
        <v>PL220804-03 1-1/4" PVC COUPLING</v>
      </c>
      <c r="F149" s="30" t="str">
        <f t="shared" si="9"/>
        <v>AV220804-03 1-1/4" PVC COUPLING</v>
      </c>
      <c r="I149" s="31" t="str">
        <f>VLOOKUP(D149,'[1]NEW PRICE LIST'!$C$4:$D$1917,2,FALSE)</f>
        <v>400PCS/CTN</v>
      </c>
      <c r="J149" s="13" t="s">
        <v>300</v>
      </c>
      <c r="K149" s="32">
        <f>VLOOKUP(D149,'[1]NEW PRICE LIST'!$C$4:$H$1917,3,FALSE)</f>
        <v>12</v>
      </c>
      <c r="L149" s="13">
        <v>100</v>
      </c>
      <c r="M149" s="13">
        <v>0</v>
      </c>
      <c r="N149" s="13">
        <v>25</v>
      </c>
      <c r="O149" s="13" t="s">
        <v>3960</v>
      </c>
    </row>
    <row r="150" spans="1:15" x14ac:dyDescent="0.25">
      <c r="A150" s="14" t="str">
        <f t="shared" si="10"/>
        <v>AVT0000149</v>
      </c>
      <c r="B150" s="13" t="str">
        <f>VLOOKUP(D150,'SUPPLIER_ITEMS (1st Tools)'!C249:D1976,2,FALSE)</f>
        <v>1ST-358-248</v>
      </c>
      <c r="C150" s="14" t="s">
        <v>237</v>
      </c>
      <c r="D150" s="18" t="s">
        <v>931</v>
      </c>
      <c r="E150" s="30" t="str">
        <f t="shared" si="8"/>
        <v>PL220804-04 1-1/2" PVC COUPLING</v>
      </c>
      <c r="F150" s="30" t="str">
        <f t="shared" si="9"/>
        <v>AV220804-04 1-1/2" PVC COUPLING</v>
      </c>
      <c r="I150" s="31" t="str">
        <f>VLOOKUP(D150,'[1]NEW PRICE LIST'!$C$4:$D$1917,2,FALSE)</f>
        <v>270PCS/CTN</v>
      </c>
      <c r="J150" s="13" t="s">
        <v>300</v>
      </c>
      <c r="K150" s="32">
        <f>VLOOKUP(D150,'[1]NEW PRICE LIST'!$C$4:$H$1917,3,FALSE)</f>
        <v>18</v>
      </c>
      <c r="L150" s="13">
        <v>100</v>
      </c>
      <c r="M150" s="13">
        <v>0</v>
      </c>
      <c r="N150" s="13">
        <v>25</v>
      </c>
      <c r="O150" s="13" t="s">
        <v>3960</v>
      </c>
    </row>
    <row r="151" spans="1:15" x14ac:dyDescent="0.25">
      <c r="A151" s="14" t="str">
        <f t="shared" si="10"/>
        <v>AVT0000150</v>
      </c>
      <c r="B151" s="13" t="str">
        <f>VLOOKUP(D151,'SUPPLIER_ITEMS (1st Tools)'!C250:D1977,2,FALSE)</f>
        <v>1ST-358-249</v>
      </c>
      <c r="C151" s="14" t="s">
        <v>237</v>
      </c>
      <c r="D151" s="18" t="s">
        <v>932</v>
      </c>
      <c r="E151" s="30" t="str">
        <f t="shared" si="8"/>
        <v>PL220804-05 2" PVC COUPLING</v>
      </c>
      <c r="F151" s="30" t="str">
        <f t="shared" si="9"/>
        <v>AV220804-05 2" PVC COUPLING</v>
      </c>
      <c r="I151" s="31" t="str">
        <f>VLOOKUP(D151,'[1]NEW PRICE LIST'!$C$4:$D$1917,2,FALSE)</f>
        <v>210PCS/CTN</v>
      </c>
      <c r="J151" s="13" t="s">
        <v>300</v>
      </c>
      <c r="K151" s="32">
        <f>VLOOKUP(D151,'[1]NEW PRICE LIST'!$C$4:$H$1917,3,FALSE)</f>
        <v>30</v>
      </c>
      <c r="L151" s="13">
        <v>100</v>
      </c>
      <c r="M151" s="13">
        <v>0</v>
      </c>
      <c r="N151" s="13">
        <v>25</v>
      </c>
      <c r="O151" s="13" t="s">
        <v>3960</v>
      </c>
    </row>
    <row r="152" spans="1:15" x14ac:dyDescent="0.25">
      <c r="A152" s="14" t="str">
        <f t="shared" si="10"/>
        <v>AVT0000151</v>
      </c>
      <c r="B152" s="13" t="str">
        <f>VLOOKUP(D152,'SUPPLIER_ITEMS (1st Tools)'!C251:D1978,2,FALSE)</f>
        <v>1ST-358-250</v>
      </c>
      <c r="C152" s="14" t="s">
        <v>238</v>
      </c>
      <c r="D152" s="18" t="s">
        <v>3684</v>
      </c>
      <c r="E152" s="30" t="str">
        <f t="shared" si="8"/>
        <v>PL220805-00 3/4*1/2 PVC COUPLING REDUCER</v>
      </c>
      <c r="F152" s="30" t="str">
        <f t="shared" si="9"/>
        <v>AV220805-00 3/4*1/2 PVC COUPLING REDUCER</v>
      </c>
      <c r="I152" s="31" t="str">
        <f>VLOOKUP(D152,'[1]NEW PRICE LIST'!$C$4:$D$1917,2,FALSE)</f>
        <v>1500PCS/CTN</v>
      </c>
      <c r="J152" s="13" t="s">
        <v>300</v>
      </c>
      <c r="K152" s="32">
        <f>VLOOKUP(D152,'[1]NEW PRICE LIST'!$C$4:$H$1917,3,FALSE)</f>
        <v>7.1</v>
      </c>
      <c r="L152" s="13">
        <v>100</v>
      </c>
      <c r="M152" s="13">
        <v>0</v>
      </c>
      <c r="N152" s="13">
        <v>25</v>
      </c>
      <c r="O152" s="13" t="s">
        <v>3960</v>
      </c>
    </row>
    <row r="153" spans="1:15" x14ac:dyDescent="0.25">
      <c r="A153" s="14" t="str">
        <f t="shared" si="10"/>
        <v>AVT0000152</v>
      </c>
      <c r="B153" s="13" t="str">
        <f>VLOOKUP(D153,'SUPPLIER_ITEMS (1st Tools)'!C252:D1979,2,FALSE)</f>
        <v>1ST-358-251</v>
      </c>
      <c r="C153" s="14" t="s">
        <v>238</v>
      </c>
      <c r="D153" s="18" t="s">
        <v>3685</v>
      </c>
      <c r="E153" s="30" t="str">
        <f t="shared" si="8"/>
        <v>PL220805-01 (LTSN007-17) 1*1/2 PVC COUPLING REDUCER</v>
      </c>
      <c r="F153" s="30" t="str">
        <f t="shared" si="9"/>
        <v>AV220805-01 (LTSN007-17) 1*1/2 PVC COUPLING REDUCER</v>
      </c>
      <c r="I153" s="31" t="str">
        <f>VLOOKUP(D153,'[1]NEW PRICE LIST'!$C$4:$D$1917,2,FALSE)</f>
        <v>1000PCS/CTN</v>
      </c>
      <c r="J153" s="13" t="s">
        <v>300</v>
      </c>
      <c r="K153" s="32">
        <f>VLOOKUP(D153,'[1]NEW PRICE LIST'!$C$4:$H$1917,3,FALSE)</f>
        <v>10.6</v>
      </c>
      <c r="L153" s="13">
        <v>100</v>
      </c>
      <c r="M153" s="13">
        <v>0</v>
      </c>
      <c r="N153" s="13">
        <v>25</v>
      </c>
      <c r="O153" s="13" t="s">
        <v>3960</v>
      </c>
    </row>
    <row r="154" spans="1:15" x14ac:dyDescent="0.25">
      <c r="A154" s="14" t="str">
        <f t="shared" si="10"/>
        <v>AVT0000153</v>
      </c>
      <c r="B154" s="13" t="str">
        <f>VLOOKUP(D154,'SUPPLIER_ITEMS (1st Tools)'!C253:D1980,2,FALSE)</f>
        <v>1ST-358-252</v>
      </c>
      <c r="C154" s="14" t="s">
        <v>238</v>
      </c>
      <c r="D154" s="18" t="s">
        <v>936</v>
      </c>
      <c r="E154" s="30" t="str">
        <f t="shared" si="8"/>
        <v>PL220805-02 1*3/4 PVC COUPLING REDUCER</v>
      </c>
      <c r="F154" s="30" t="str">
        <f t="shared" si="9"/>
        <v>AV220805-02 1*3/4 PVC COUPLING REDUCER</v>
      </c>
      <c r="I154" s="31" t="str">
        <f>VLOOKUP(D154,'[1]NEW PRICE LIST'!$C$4:$D$1917,2,FALSE)</f>
        <v>800PCS/CTN</v>
      </c>
      <c r="J154" s="13" t="s">
        <v>300</v>
      </c>
      <c r="K154" s="32">
        <f>VLOOKUP(D154,'[1]NEW PRICE LIST'!$C$4:$H$1917,3,FALSE)</f>
        <v>11.5</v>
      </c>
      <c r="L154" s="13">
        <v>100</v>
      </c>
      <c r="M154" s="13">
        <v>0</v>
      </c>
      <c r="N154" s="13">
        <v>25</v>
      </c>
      <c r="O154" s="13" t="s">
        <v>3960</v>
      </c>
    </row>
    <row r="155" spans="1:15" x14ac:dyDescent="0.25">
      <c r="A155" s="14" t="str">
        <f t="shared" si="10"/>
        <v>AVT0000154</v>
      </c>
      <c r="B155" s="13" t="str">
        <f>VLOOKUP(D155,'SUPPLIER_ITEMS (1st Tools)'!C254:D1981,2,FALSE)</f>
        <v>1ST-358-253</v>
      </c>
      <c r="C155" s="14" t="s">
        <v>239</v>
      </c>
      <c r="D155" s="18" t="s">
        <v>3686</v>
      </c>
      <c r="E155" s="30" t="str">
        <f t="shared" si="8"/>
        <v>PL220806-00 1/2 PVC FEMALE ADAPTER</v>
      </c>
      <c r="F155" s="30" t="str">
        <f t="shared" si="9"/>
        <v>AV220806-00 1/2 PVC FEMALE ADAPTER</v>
      </c>
      <c r="I155" s="31" t="str">
        <f>VLOOKUP(D155,'[1]NEW PRICE LIST'!$C$4:$D$1917,2,FALSE)</f>
        <v>2000PCS/CTN</v>
      </c>
      <c r="J155" s="13" t="s">
        <v>300</v>
      </c>
      <c r="K155" s="32">
        <f>VLOOKUP(D155,'[1]NEW PRICE LIST'!$C$4:$H$1917,3,FALSE)</f>
        <v>7.1</v>
      </c>
      <c r="L155" s="13">
        <v>100</v>
      </c>
      <c r="M155" s="13">
        <v>0</v>
      </c>
      <c r="N155" s="13">
        <v>25</v>
      </c>
      <c r="O155" s="13" t="s">
        <v>3960</v>
      </c>
    </row>
    <row r="156" spans="1:15" x14ac:dyDescent="0.25">
      <c r="A156" s="14" t="str">
        <f t="shared" si="10"/>
        <v>AVT0000155</v>
      </c>
      <c r="B156" s="13" t="str">
        <f>VLOOKUP(D156,'SUPPLIER_ITEMS (1st Tools)'!C255:D1982,2,FALSE)</f>
        <v>1ST-358-254</v>
      </c>
      <c r="C156" s="14" t="s">
        <v>239</v>
      </c>
      <c r="D156" s="18" t="s">
        <v>938</v>
      </c>
      <c r="E156" s="30" t="str">
        <f t="shared" si="8"/>
        <v>PL220806-01 3/4 PVC FEMALE ADAPTER</v>
      </c>
      <c r="F156" s="30" t="str">
        <f t="shared" si="9"/>
        <v>AV220806-01 3/4 PVC FEMALE ADAPTER</v>
      </c>
      <c r="I156" s="31" t="str">
        <f>VLOOKUP(D156,'[1]NEW PRICE LIST'!$C$4:$D$1917,2,FALSE)</f>
        <v>1200PCS/CTN</v>
      </c>
      <c r="J156" s="13" t="s">
        <v>300</v>
      </c>
      <c r="K156" s="32">
        <f>VLOOKUP(D156,'[1]NEW PRICE LIST'!$C$4:$H$1917,3,FALSE)</f>
        <v>8.1999999999999993</v>
      </c>
      <c r="L156" s="13">
        <v>100</v>
      </c>
      <c r="M156" s="13">
        <v>0</v>
      </c>
      <c r="N156" s="13">
        <v>25</v>
      </c>
      <c r="O156" s="13" t="s">
        <v>3960</v>
      </c>
    </row>
    <row r="157" spans="1:15" x14ac:dyDescent="0.25">
      <c r="A157" s="14" t="str">
        <f t="shared" si="10"/>
        <v>AVT0000156</v>
      </c>
      <c r="B157" s="13" t="str">
        <f>VLOOKUP(D157,'SUPPLIER_ITEMS (1st Tools)'!C256:D1983,2,FALSE)</f>
        <v>1ST-358-255</v>
      </c>
      <c r="C157" s="14" t="s">
        <v>239</v>
      </c>
      <c r="D157" s="18" t="s">
        <v>3687</v>
      </c>
      <c r="E157" s="30" t="str">
        <f t="shared" si="8"/>
        <v>PL220806-02 1" PVC FEMALE ADAPTER</v>
      </c>
      <c r="F157" s="30" t="str">
        <f t="shared" si="9"/>
        <v>AV220806-02 1" PVC FEMALE ADAPTER</v>
      </c>
      <c r="I157" s="31" t="str">
        <f>VLOOKUP(D157,'[1]NEW PRICE LIST'!$C$4:$D$1917,2,FALSE)</f>
        <v>700PCS/CTN</v>
      </c>
      <c r="J157" s="13" t="s">
        <v>300</v>
      </c>
      <c r="K157" s="32">
        <f>VLOOKUP(D157,'[1]NEW PRICE LIST'!$C$4:$H$1917,3,FALSE)</f>
        <v>13</v>
      </c>
      <c r="L157" s="13">
        <v>100</v>
      </c>
      <c r="M157" s="13">
        <v>0</v>
      </c>
      <c r="N157" s="13">
        <v>25</v>
      </c>
      <c r="O157" s="13" t="s">
        <v>3960</v>
      </c>
    </row>
    <row r="158" spans="1:15" x14ac:dyDescent="0.25">
      <c r="A158" s="14" t="str">
        <f t="shared" si="10"/>
        <v>AVT0000157</v>
      </c>
      <c r="B158" s="13" t="str">
        <f>VLOOKUP(D158,'SUPPLIER_ITEMS (1st Tools)'!C257:D1984,2,FALSE)</f>
        <v>1ST-358-256</v>
      </c>
      <c r="C158" s="14" t="s">
        <v>239</v>
      </c>
      <c r="D158" s="18" t="s">
        <v>3688</v>
      </c>
      <c r="E158" s="30" t="str">
        <f t="shared" si="8"/>
        <v>PL220806-03 1-1/4" PVC FEMALE ADAPTER</v>
      </c>
      <c r="F158" s="30" t="str">
        <f t="shared" si="9"/>
        <v>AV220806-03 1-1/4" PVC FEMALE ADAPTER</v>
      </c>
      <c r="I158" s="31" t="str">
        <f>VLOOKUP(D158,'[1]NEW PRICE LIST'!$C$4:$D$1917,2,FALSE)</f>
        <v>2000PCS/CTN</v>
      </c>
      <c r="J158" s="13" t="s">
        <v>300</v>
      </c>
      <c r="K158" s="32">
        <f>VLOOKUP(D158,'[1]NEW PRICE LIST'!$C$4:$H$1917,3,FALSE)</f>
        <v>18.8</v>
      </c>
      <c r="L158" s="13">
        <v>100</v>
      </c>
      <c r="M158" s="13">
        <v>0</v>
      </c>
      <c r="N158" s="13">
        <v>25</v>
      </c>
      <c r="O158" s="13" t="s">
        <v>3960</v>
      </c>
    </row>
    <row r="159" spans="1:15" x14ac:dyDescent="0.25">
      <c r="A159" s="14" t="str">
        <f t="shared" si="10"/>
        <v>AVT0000158</v>
      </c>
      <c r="B159" s="13" t="str">
        <f>VLOOKUP(D159,'SUPPLIER_ITEMS (1st Tools)'!C258:D1985,2,FALSE)</f>
        <v>1ST-358-257</v>
      </c>
      <c r="C159" s="14" t="s">
        <v>239</v>
      </c>
      <c r="D159" s="18" t="s">
        <v>942</v>
      </c>
      <c r="F159" s="30" t="str">
        <f t="shared" si="9"/>
        <v>AV220806-04 1-1/2" PVC FEMALE ADAPTER</v>
      </c>
      <c r="I159" s="31" t="str">
        <f>VLOOKUP(D159,'[1]NEW PRICE LIST'!$C$4:$D$1917,2,FALSE)</f>
        <v>1200PCS/CTN</v>
      </c>
      <c r="J159" s="13" t="s">
        <v>300</v>
      </c>
      <c r="K159" s="32">
        <f>VLOOKUP(D159,'[1]NEW PRICE LIST'!$C$4:$H$1917,3,FALSE)</f>
        <v>27</v>
      </c>
      <c r="L159" s="13">
        <v>100</v>
      </c>
      <c r="M159" s="13">
        <v>0</v>
      </c>
      <c r="N159" s="13">
        <v>25</v>
      </c>
      <c r="O159" s="13" t="s">
        <v>3960</v>
      </c>
    </row>
    <row r="160" spans="1:15" x14ac:dyDescent="0.25">
      <c r="A160" s="14" t="str">
        <f t="shared" si="10"/>
        <v>AVT0000159</v>
      </c>
      <c r="B160" s="13" t="str">
        <f>VLOOKUP(D160,'SUPPLIER_ITEMS (1st Tools)'!C259:D1986,2,FALSE)</f>
        <v>1ST-358-258</v>
      </c>
      <c r="C160" s="14" t="s">
        <v>239</v>
      </c>
      <c r="D160" s="18" t="s">
        <v>944</v>
      </c>
      <c r="F160" s="30" t="str">
        <f t="shared" ref="F160:F221" si="11">"AV"&amp;RIGHT(D160,LEN(D160)-2)</f>
        <v>AV220806-05 2" PVC FEMALE ADAPTER</v>
      </c>
      <c r="I160" s="31" t="str">
        <f>VLOOKUP(D160,'[1]NEW PRICE LIST'!$C$4:$D$1917,2,FALSE)</f>
        <v>700PCS/CTN</v>
      </c>
      <c r="J160" s="13" t="s">
        <v>300</v>
      </c>
      <c r="K160" s="32">
        <f>VLOOKUP(D160,'[1]NEW PRICE LIST'!$C$4:$H$1917,3,FALSE)</f>
        <v>48.7</v>
      </c>
      <c r="L160" s="13">
        <v>100</v>
      </c>
      <c r="M160" s="13">
        <v>0</v>
      </c>
      <c r="N160" s="13">
        <v>25</v>
      </c>
      <c r="O160" s="13" t="s">
        <v>3960</v>
      </c>
    </row>
    <row r="161" spans="1:15" x14ac:dyDescent="0.25">
      <c r="A161" s="14" t="str">
        <f t="shared" si="10"/>
        <v>AVT0000160</v>
      </c>
      <c r="B161" s="13" t="str">
        <f>VLOOKUP(D161,'SUPPLIER_ITEMS (1st Tools)'!C260:D1987,2,FALSE)</f>
        <v>1ST-358-259</v>
      </c>
      <c r="C161" s="14" t="s">
        <v>234</v>
      </c>
      <c r="D161" s="19" t="s">
        <v>946</v>
      </c>
      <c r="F161" s="30" t="str">
        <f t="shared" si="11"/>
        <v>AV220807-00 (LTSN007-22) 1/2 PVC MALE ADAPTER</v>
      </c>
      <c r="I161" s="31" t="str">
        <f>VLOOKUP(D161,'[1]NEW PRICE LIST'!$C$4:$D$1917,2,FALSE)</f>
        <v>2100PCS/CTN</v>
      </c>
      <c r="J161" s="13" t="s">
        <v>300</v>
      </c>
      <c r="K161" s="32">
        <f>VLOOKUP(D161,'[1]NEW PRICE LIST'!$C$4:$H$1917,3,FALSE)</f>
        <v>7.1</v>
      </c>
      <c r="L161" s="13">
        <v>100</v>
      </c>
      <c r="M161" s="13">
        <v>0</v>
      </c>
      <c r="N161" s="13">
        <v>25</v>
      </c>
      <c r="O161" s="13" t="s">
        <v>3960</v>
      </c>
    </row>
    <row r="162" spans="1:15" x14ac:dyDescent="0.25">
      <c r="A162" s="14" t="str">
        <f t="shared" si="10"/>
        <v>AVT0000161</v>
      </c>
      <c r="B162" s="13" t="str">
        <f>VLOOKUP(D162,'SUPPLIER_ITEMS (1st Tools)'!C261:D1988,2,FALSE)</f>
        <v>1ST-358-260</v>
      </c>
      <c r="C162" s="14" t="s">
        <v>234</v>
      </c>
      <c r="D162" s="19" t="s">
        <v>947</v>
      </c>
      <c r="F162" s="30" t="str">
        <f t="shared" si="11"/>
        <v>AV220807-01 (LTSN007-23) 3/4 PVC MALE ADAPTER</v>
      </c>
      <c r="I162" s="31" t="str">
        <f>VLOOKUP(D162,'[1]NEW PRICE LIST'!$C$4:$D$1917,2,FALSE)</f>
        <v>1300PCS/CTN</v>
      </c>
      <c r="J162" s="13" t="s">
        <v>300</v>
      </c>
      <c r="K162" s="32">
        <f>VLOOKUP(D162,'[1]NEW PRICE LIST'!$C$4:$H$1917,3,FALSE)</f>
        <v>8.1999999999999993</v>
      </c>
      <c r="L162" s="13">
        <v>100</v>
      </c>
      <c r="M162" s="13">
        <v>0</v>
      </c>
      <c r="N162" s="13">
        <v>25</v>
      </c>
      <c r="O162" s="13" t="s">
        <v>3960</v>
      </c>
    </row>
    <row r="163" spans="1:15" x14ac:dyDescent="0.25">
      <c r="A163" s="14" t="str">
        <f t="shared" si="10"/>
        <v>AVT0000162</v>
      </c>
      <c r="B163" s="13" t="str">
        <f>VLOOKUP(D163,'SUPPLIER_ITEMS (1st Tools)'!C262:D1989,2,FALSE)</f>
        <v>1ST-358-261</v>
      </c>
      <c r="C163" s="14" t="s">
        <v>234</v>
      </c>
      <c r="D163" s="19" t="s">
        <v>3689</v>
      </c>
      <c r="F163" s="30" t="str">
        <f t="shared" si="11"/>
        <v>AV220807--02 1" PVC MALE ADAPTER</v>
      </c>
      <c r="I163" s="31" t="str">
        <f>VLOOKUP(D163,'[1]NEW PRICE LIST'!$C$4:$D$1917,2,FALSE)</f>
        <v>750PCS/CTN</v>
      </c>
      <c r="J163" s="13" t="s">
        <v>300</v>
      </c>
      <c r="K163" s="32">
        <f>VLOOKUP(D163,'[1]NEW PRICE LIST'!$C$4:$H$1917,3,FALSE)</f>
        <v>13</v>
      </c>
      <c r="L163" s="13">
        <v>100</v>
      </c>
      <c r="M163" s="13">
        <v>0</v>
      </c>
      <c r="N163" s="13">
        <v>25</v>
      </c>
      <c r="O163" s="13" t="s">
        <v>3960</v>
      </c>
    </row>
    <row r="164" spans="1:15" x14ac:dyDescent="0.25">
      <c r="A164" s="14" t="str">
        <f t="shared" si="10"/>
        <v>AVT0000163</v>
      </c>
      <c r="B164" s="13" t="str">
        <f>VLOOKUP(D164,'SUPPLIER_ITEMS (1st Tools)'!C263:D1990,2,FALSE)</f>
        <v>1ST-358-262</v>
      </c>
      <c r="C164" s="14" t="s">
        <v>234</v>
      </c>
      <c r="D164" s="19" t="s">
        <v>948</v>
      </c>
      <c r="F164" s="30" t="str">
        <f t="shared" si="11"/>
        <v>AV220807-03 1-1/4" PVC MALE ADAPTER</v>
      </c>
      <c r="I164" s="31" t="str">
        <f>VLOOKUP(D164,'[1]NEW PRICE LIST'!$C$4:$D$1917,2,FALSE)</f>
        <v>480PCS/CTN</v>
      </c>
      <c r="J164" s="13" t="s">
        <v>300</v>
      </c>
      <c r="K164" s="32">
        <f>VLOOKUP(D164,'[1]NEW PRICE LIST'!$C$4:$H$1917,3,FALSE)</f>
        <v>18.8</v>
      </c>
      <c r="L164" s="13">
        <v>100</v>
      </c>
      <c r="M164" s="13">
        <v>0</v>
      </c>
      <c r="N164" s="13">
        <v>25</v>
      </c>
      <c r="O164" s="13" t="s">
        <v>3960</v>
      </c>
    </row>
    <row r="165" spans="1:15" x14ac:dyDescent="0.25">
      <c r="A165" s="14" t="str">
        <f t="shared" si="10"/>
        <v>AVT0000164</v>
      </c>
      <c r="B165" s="13" t="str">
        <f>VLOOKUP(D165,'SUPPLIER_ITEMS (1st Tools)'!C264:D1991,2,FALSE)</f>
        <v>1ST-358-263</v>
      </c>
      <c r="C165" s="14" t="s">
        <v>234</v>
      </c>
      <c r="D165" s="19" t="s">
        <v>949</v>
      </c>
      <c r="F165" s="30" t="str">
        <f t="shared" si="11"/>
        <v>AV220807-04 1-1/2" PVC MALE ADAPTER</v>
      </c>
      <c r="I165" s="31" t="str">
        <f>VLOOKUP(D165,'[1]NEW PRICE LIST'!$C$4:$D$1917,2,FALSE)</f>
        <v>380PCS/CTN</v>
      </c>
      <c r="J165" s="13" t="s">
        <v>300</v>
      </c>
      <c r="K165" s="32">
        <f>VLOOKUP(D165,'[1]NEW PRICE LIST'!$C$4:$H$1917,3,FALSE)</f>
        <v>27</v>
      </c>
      <c r="L165" s="13">
        <v>100</v>
      </c>
      <c r="M165" s="13">
        <v>0</v>
      </c>
      <c r="N165" s="13">
        <v>25</v>
      </c>
      <c r="O165" s="13" t="s">
        <v>3960</v>
      </c>
    </row>
    <row r="166" spans="1:15" x14ac:dyDescent="0.25">
      <c r="A166" s="14" t="str">
        <f t="shared" si="10"/>
        <v>AVT0000165</v>
      </c>
      <c r="B166" s="13" t="str">
        <f>VLOOKUP(D166,'SUPPLIER_ITEMS (1st Tools)'!C265:D1992,2,FALSE)</f>
        <v>1ST-358-264</v>
      </c>
      <c r="C166" s="14" t="s">
        <v>234</v>
      </c>
      <c r="D166" s="19" t="s">
        <v>950</v>
      </c>
      <c r="F166" s="30" t="str">
        <f t="shared" si="11"/>
        <v>AV220807--05 2" PVC MALE ADAPTER</v>
      </c>
      <c r="I166" s="31" t="str">
        <f>VLOOKUP(D166,'[1]NEW PRICE LIST'!$C$4:$D$1917,2,FALSE)</f>
        <v>210PCS/CTN</v>
      </c>
      <c r="J166" s="13" t="s">
        <v>300</v>
      </c>
      <c r="K166" s="32">
        <f>VLOOKUP(D166,'[1]NEW PRICE LIST'!$C$4:$H$1917,3,FALSE)</f>
        <v>48.7</v>
      </c>
      <c r="L166" s="13">
        <v>100</v>
      </c>
      <c r="M166" s="13">
        <v>0</v>
      </c>
      <c r="N166" s="13">
        <v>25</v>
      </c>
      <c r="O166" s="13" t="s">
        <v>3960</v>
      </c>
    </row>
    <row r="167" spans="1:15" x14ac:dyDescent="0.25">
      <c r="A167" s="14" t="str">
        <f t="shared" si="10"/>
        <v>AVT0000166</v>
      </c>
      <c r="B167" s="13" t="str">
        <f>VLOOKUP(D167,'SUPPLIER_ITEMS (1st Tools)'!C266:D1993,2,FALSE)</f>
        <v>1ST-358-265</v>
      </c>
      <c r="C167" s="14" t="s">
        <v>235</v>
      </c>
      <c r="D167" s="18" t="s">
        <v>951</v>
      </c>
      <c r="F167" s="30" t="str">
        <f t="shared" si="11"/>
        <v>AV220808-00 1/2 PVC FEMALE THREAD ELBOW</v>
      </c>
      <c r="I167" s="31" t="str">
        <f>VLOOKUP(D167,'[1]NEW PRICE LIST'!$C$4:$D$1917,2,FALSE)</f>
        <v>1200PCS/CTN</v>
      </c>
      <c r="J167" s="13" t="s">
        <v>300</v>
      </c>
      <c r="K167" s="32">
        <f>VLOOKUP(D167,'[1]NEW PRICE LIST'!$C$4:$H$1917,3,FALSE)</f>
        <v>9.6</v>
      </c>
      <c r="L167" s="13">
        <v>100</v>
      </c>
      <c r="M167" s="13">
        <v>0</v>
      </c>
      <c r="N167" s="13">
        <v>25</v>
      </c>
      <c r="O167" s="13" t="s">
        <v>3960</v>
      </c>
    </row>
    <row r="168" spans="1:15" x14ac:dyDescent="0.25">
      <c r="A168" s="14" t="str">
        <f t="shared" si="10"/>
        <v>AVT0000167</v>
      </c>
      <c r="B168" s="13" t="str">
        <f>VLOOKUP(D168,'SUPPLIER_ITEMS (1st Tools)'!C268:D1995,2,FALSE)</f>
        <v>1ST-358-267</v>
      </c>
      <c r="C168" s="14" t="s">
        <v>235</v>
      </c>
      <c r="D168" s="18" t="s">
        <v>3690</v>
      </c>
      <c r="F168" s="30" t="str">
        <f t="shared" si="11"/>
        <v>AV220808-02 1" PVC FEMALE THREAD ELBOW</v>
      </c>
      <c r="I168" s="31" t="str">
        <f>VLOOKUP(D168,'[1]NEW PRICE LIST'!$C$4:$D$1917,2,FALSE)</f>
        <v>400PCS/CTN</v>
      </c>
      <c r="J168" s="13" t="s">
        <v>300</v>
      </c>
      <c r="K168" s="32">
        <f>VLOOKUP(D168,'[1]NEW PRICE LIST'!$C$4:$H$1917,3,FALSE)</f>
        <v>15.3</v>
      </c>
      <c r="L168" s="13">
        <v>100</v>
      </c>
      <c r="M168" s="13">
        <v>0</v>
      </c>
      <c r="N168" s="13">
        <v>25</v>
      </c>
      <c r="O168" s="13" t="s">
        <v>3960</v>
      </c>
    </row>
    <row r="169" spans="1:15" x14ac:dyDescent="0.25">
      <c r="A169" s="14" t="str">
        <f t="shared" si="10"/>
        <v>AVT0000168</v>
      </c>
      <c r="B169" s="13" t="str">
        <f>VLOOKUP(D169,'SUPPLIER_ITEMS (1st Tools)'!C269:D1996,2,FALSE)</f>
        <v>1ST-358-268</v>
      </c>
      <c r="C169" s="14" t="s">
        <v>236</v>
      </c>
      <c r="D169" s="18" t="s">
        <v>956</v>
      </c>
      <c r="F169" s="30" t="str">
        <f t="shared" si="11"/>
        <v>AV220809-00 1/2 PVC FEMALE THREAD TEE</v>
      </c>
      <c r="I169" s="31" t="str">
        <f>VLOOKUP(D169,'[1]NEW PRICE LIST'!$C$4:$D$1917,2,FALSE)</f>
        <v>800PCS/CTN</v>
      </c>
      <c r="J169" s="13" t="s">
        <v>300</v>
      </c>
      <c r="K169" s="32">
        <f>VLOOKUP(D169,'[1]NEW PRICE LIST'!$C$4:$H$1917,3,FALSE)</f>
        <v>9.9</v>
      </c>
      <c r="L169" s="13">
        <v>100</v>
      </c>
      <c r="M169" s="13">
        <v>0</v>
      </c>
      <c r="N169" s="13">
        <v>25</v>
      </c>
      <c r="O169" s="13" t="s">
        <v>3960</v>
      </c>
    </row>
    <row r="170" spans="1:15" x14ac:dyDescent="0.25">
      <c r="A170" s="14" t="str">
        <f t="shared" si="10"/>
        <v>AVT0000169</v>
      </c>
      <c r="B170" s="13" t="str">
        <f>VLOOKUP(D170,'SUPPLIER_ITEMS (1st Tools)'!C270:D1997,2,FALSE)</f>
        <v>1ST-358-269</v>
      </c>
      <c r="C170" s="14" t="s">
        <v>236</v>
      </c>
      <c r="D170" s="18" t="s">
        <v>958</v>
      </c>
      <c r="F170" s="30" t="str">
        <f t="shared" si="11"/>
        <v>AV220809-01 3/4 PVC FEMALE THREAD TEE</v>
      </c>
      <c r="I170" s="31" t="str">
        <f>VLOOKUP(D170,'[1]NEW PRICE LIST'!$C$4:$D$1917,2,FALSE)</f>
        <v>450PCS/CTN</v>
      </c>
      <c r="J170" s="13" t="s">
        <v>300</v>
      </c>
      <c r="K170" s="32">
        <f>VLOOKUP(D170,'[1]NEW PRICE LIST'!$C$4:$H$1917,3,FALSE)</f>
        <v>14.1</v>
      </c>
      <c r="L170" s="13">
        <v>100</v>
      </c>
      <c r="M170" s="13">
        <v>0</v>
      </c>
      <c r="N170" s="13">
        <v>25</v>
      </c>
      <c r="O170" s="13" t="s">
        <v>3960</v>
      </c>
    </row>
    <row r="171" spans="1:15" x14ac:dyDescent="0.25">
      <c r="A171" s="14" t="str">
        <f t="shared" si="10"/>
        <v>AVT0000170</v>
      </c>
      <c r="B171" s="13" t="str">
        <f>VLOOKUP(D171,'SUPPLIER_ITEMS (1st Tools)'!C271:D1998,2,FALSE)</f>
        <v>1ST-358-270</v>
      </c>
      <c r="C171" s="14" t="s">
        <v>236</v>
      </c>
      <c r="D171" s="18" t="s">
        <v>960</v>
      </c>
      <c r="F171" s="30" t="str">
        <f t="shared" si="11"/>
        <v>AV220809-02 (LTSN007-30) 1" PVC FEMALE THREAD TEE</v>
      </c>
      <c r="I171" s="31" t="str">
        <f>VLOOKUP(D171,'[1]NEW PRICE LIST'!$C$4:$D$1917,2,FALSE)</f>
        <v>300PCS/CTN</v>
      </c>
      <c r="J171" s="13" t="s">
        <v>300</v>
      </c>
      <c r="K171" s="32">
        <f>VLOOKUP(D171,'[1]NEW PRICE LIST'!$C$4:$H$1917,3,FALSE)</f>
        <v>25</v>
      </c>
      <c r="L171" s="13">
        <v>100</v>
      </c>
      <c r="M171" s="13">
        <v>0</v>
      </c>
      <c r="N171" s="13">
        <v>25</v>
      </c>
      <c r="O171" s="13" t="s">
        <v>3960</v>
      </c>
    </row>
    <row r="172" spans="1:15" x14ac:dyDescent="0.25">
      <c r="A172" s="14" t="str">
        <f t="shared" si="10"/>
        <v>AVT0000171</v>
      </c>
      <c r="B172" s="13" t="str">
        <f>VLOOKUP(D172,'SUPPLIER_ITEMS (1st Tools)'!C272:D1999,2,FALSE)</f>
        <v>1ST-358-271</v>
      </c>
      <c r="C172" s="14" t="s">
        <v>3624</v>
      </c>
      <c r="D172" s="18" t="s">
        <v>3691</v>
      </c>
      <c r="F172" s="30" t="str">
        <f t="shared" si="11"/>
        <v>AV220810-00 1/2 PVC PLUG</v>
      </c>
      <c r="I172" s="31" t="str">
        <f>VLOOKUP(D172,'[1]NEW PRICE LIST'!$C$4:$D$1917,2,FALSE)</f>
        <v>3800PCS/CTN</v>
      </c>
      <c r="J172" s="13" t="s">
        <v>300</v>
      </c>
      <c r="K172" s="32">
        <f>VLOOKUP(D172,'[1]NEW PRICE LIST'!$C$4:$H$1917,3,FALSE)</f>
        <v>8</v>
      </c>
      <c r="L172" s="13">
        <v>100</v>
      </c>
      <c r="M172" s="13">
        <v>0</v>
      </c>
      <c r="N172" s="13">
        <v>25</v>
      </c>
      <c r="O172" s="13" t="s">
        <v>3960</v>
      </c>
    </row>
    <row r="173" spans="1:15" x14ac:dyDescent="0.25">
      <c r="A173" s="14" t="str">
        <f t="shared" si="10"/>
        <v>AVT0000172</v>
      </c>
      <c r="B173" s="13" t="str">
        <f>VLOOKUP(D173,'SUPPLIER_ITEMS (1st Tools)'!C273:D2000,2,FALSE)</f>
        <v>1ST-358-272</v>
      </c>
      <c r="C173" s="14" t="s">
        <v>3624</v>
      </c>
      <c r="D173" s="18" t="s">
        <v>962</v>
      </c>
      <c r="F173" s="30" t="str">
        <f t="shared" si="11"/>
        <v>AV220810-01 (LTSN007-32) 3/4 PVC PLUG</v>
      </c>
      <c r="I173" s="31" t="str">
        <f>VLOOKUP(D173,'[1]NEW PRICE LIST'!$C$4:$D$1917,2,FALSE)</f>
        <v>2000PCS/CTN</v>
      </c>
      <c r="J173" s="13" t="s">
        <v>300</v>
      </c>
      <c r="K173" s="32">
        <f>VLOOKUP(D173,'[1]NEW PRICE LIST'!$C$4:$H$1917,3,FALSE)</f>
        <v>8.5</v>
      </c>
      <c r="L173" s="13">
        <v>100</v>
      </c>
      <c r="M173" s="13">
        <v>0</v>
      </c>
      <c r="N173" s="13">
        <v>25</v>
      </c>
      <c r="O173" s="13" t="s">
        <v>3960</v>
      </c>
    </row>
    <row r="174" spans="1:15" x14ac:dyDescent="0.25">
      <c r="A174" s="14" t="str">
        <f t="shared" si="10"/>
        <v>AVT0000173</v>
      </c>
      <c r="B174" s="13" t="str">
        <f>VLOOKUP(D174,'SUPPLIER_ITEMS (1st Tools)'!C274:D2001,2,FALSE)</f>
        <v>1ST-358-273</v>
      </c>
      <c r="C174" s="14" t="s">
        <v>3624</v>
      </c>
      <c r="D174" s="18" t="s">
        <v>964</v>
      </c>
      <c r="F174" s="30" t="str">
        <f t="shared" si="11"/>
        <v>AV220810-02 (LTSN007-33) 1" PVC PLUG</v>
      </c>
      <c r="I174" s="31" t="str">
        <f>VLOOKUP(D174,'[1]NEW PRICE LIST'!$C$4:$D$1917,2,FALSE)</f>
        <v>1500PCS/CTN</v>
      </c>
      <c r="J174" s="13" t="s">
        <v>300</v>
      </c>
      <c r="K174" s="32">
        <f>VLOOKUP(D174,'[1]NEW PRICE LIST'!$C$4:$H$1917,3,FALSE)</f>
        <v>15</v>
      </c>
      <c r="L174" s="13">
        <v>100</v>
      </c>
      <c r="M174" s="13">
        <v>0</v>
      </c>
      <c r="N174" s="13">
        <v>25</v>
      </c>
      <c r="O174" s="13" t="s">
        <v>3960</v>
      </c>
    </row>
    <row r="175" spans="1:15" x14ac:dyDescent="0.25">
      <c r="A175" s="14" t="str">
        <f t="shared" si="10"/>
        <v>AVT0000174</v>
      </c>
      <c r="B175" s="13" t="str">
        <f>VLOOKUP(D175,'SUPPLIER_ITEMS (1st Tools)'!C275:D2002,2,FALSE)</f>
        <v>1ST-358-274</v>
      </c>
      <c r="C175" s="14" t="s">
        <v>232</v>
      </c>
      <c r="D175" s="18" t="s">
        <v>3692</v>
      </c>
      <c r="F175" s="30" t="str">
        <f t="shared" si="11"/>
        <v>AV220811-00 1/2 PVC END CAP</v>
      </c>
      <c r="I175" s="31" t="str">
        <f>VLOOKUP(D175,'[1]NEW PRICE LIST'!$C$4:$D$1917,2,FALSE)</f>
        <v>4000PCS/CTN</v>
      </c>
      <c r="J175" s="13" t="s">
        <v>300</v>
      </c>
      <c r="K175" s="32">
        <f>VLOOKUP(D175,'[1]NEW PRICE LIST'!$C$4:$H$1917,3,FALSE)</f>
        <v>5</v>
      </c>
      <c r="L175" s="13">
        <v>100</v>
      </c>
      <c r="M175" s="13">
        <v>0</v>
      </c>
      <c r="N175" s="13">
        <v>25</v>
      </c>
      <c r="O175" s="13" t="s">
        <v>3960</v>
      </c>
    </row>
    <row r="176" spans="1:15" x14ac:dyDescent="0.25">
      <c r="A176" s="14" t="str">
        <f t="shared" si="10"/>
        <v>AVT0000175</v>
      </c>
      <c r="B176" s="13" t="str">
        <f>VLOOKUP(D176,'SUPPLIER_ITEMS (1st Tools)'!C276:D2003,2,FALSE)</f>
        <v>1ST-358-275</v>
      </c>
      <c r="C176" s="14" t="s">
        <v>232</v>
      </c>
      <c r="D176" s="18" t="s">
        <v>3693</v>
      </c>
      <c r="F176" s="30" t="str">
        <f t="shared" si="11"/>
        <v>AV220811-01 3/4 PVC END CAP</v>
      </c>
      <c r="I176" s="31" t="str">
        <f>VLOOKUP(D176,'[1]NEW PRICE LIST'!$C$4:$D$1917,2,FALSE)</f>
        <v>2000PCS/CTN</v>
      </c>
      <c r="J176" s="13" t="s">
        <v>300</v>
      </c>
      <c r="K176" s="32">
        <f>VLOOKUP(D176,'[1]NEW PRICE LIST'!$C$4:$H$1917,3,FALSE)</f>
        <v>7.5</v>
      </c>
      <c r="L176" s="13">
        <v>100</v>
      </c>
      <c r="M176" s="13">
        <v>0</v>
      </c>
      <c r="N176" s="13">
        <v>25</v>
      </c>
      <c r="O176" s="13" t="s">
        <v>3960</v>
      </c>
    </row>
    <row r="177" spans="1:16" x14ac:dyDescent="0.25">
      <c r="A177" s="14" t="str">
        <f t="shared" si="10"/>
        <v>AVT0000176</v>
      </c>
      <c r="B177" s="13" t="str">
        <f>VLOOKUP(D177,'SUPPLIER_ITEMS (1st Tools)'!C277:D2004,2,FALSE)</f>
        <v>1ST-358-276</v>
      </c>
      <c r="C177" s="14" t="s">
        <v>232</v>
      </c>
      <c r="D177" s="18" t="s">
        <v>968</v>
      </c>
      <c r="F177" s="30" t="str">
        <f t="shared" si="11"/>
        <v>AV220811-02 (LTSN007-36) 1" PVC END CAP</v>
      </c>
      <c r="I177" s="31" t="str">
        <f>VLOOKUP(D177,'[1]NEW PRICE LIST'!$C$4:$D$1917,2,FALSE)</f>
        <v>1200PCS/CTN</v>
      </c>
      <c r="J177" s="13" t="s">
        <v>300</v>
      </c>
      <c r="K177" s="32">
        <f>VLOOKUP(D177,'[1]NEW PRICE LIST'!$C$4:$H$1917,3,FALSE)</f>
        <v>11</v>
      </c>
      <c r="L177" s="13">
        <v>100</v>
      </c>
      <c r="M177" s="13">
        <v>0</v>
      </c>
      <c r="N177" s="13">
        <v>25</v>
      </c>
      <c r="O177" s="13" t="s">
        <v>3960</v>
      </c>
    </row>
    <row r="178" spans="1:16" x14ac:dyDescent="0.25">
      <c r="A178" s="14" t="str">
        <f t="shared" si="10"/>
        <v>AVT0000177</v>
      </c>
      <c r="B178" s="13" t="str">
        <f>VLOOKUP(D178,'SUPPLIER_ITEMS (1st Tools)'!C278:D2005,2,FALSE)</f>
        <v>1ST-358-277</v>
      </c>
      <c r="C178" s="14" t="s">
        <v>232</v>
      </c>
      <c r="D178" s="18" t="s">
        <v>970</v>
      </c>
      <c r="F178" s="30" t="str">
        <f t="shared" si="11"/>
        <v>AV220811-03 1-1/4" PVC END CAP</v>
      </c>
      <c r="I178" s="31" t="str">
        <f>VLOOKUP(D178,'[1]NEW PRICE LIST'!$C$4:$D$1917,2,FALSE)</f>
        <v>750PCS/CTN</v>
      </c>
      <c r="J178" s="13" t="s">
        <v>300</v>
      </c>
      <c r="K178" s="32">
        <f>VLOOKUP(D178,'[1]NEW PRICE LIST'!$C$4:$H$1917,3,FALSE)</f>
        <v>13.5</v>
      </c>
      <c r="L178" s="13">
        <v>100</v>
      </c>
      <c r="M178" s="13">
        <v>0</v>
      </c>
      <c r="N178" s="13">
        <v>25</v>
      </c>
      <c r="O178" s="13" t="s">
        <v>3960</v>
      </c>
    </row>
    <row r="179" spans="1:16" x14ac:dyDescent="0.25">
      <c r="A179" s="14" t="str">
        <f t="shared" si="10"/>
        <v>AVT0000178</v>
      </c>
      <c r="B179" s="13" t="str">
        <f>VLOOKUP(D179,'SUPPLIER_ITEMS (1st Tools)'!C279:D2006,2,FALSE)</f>
        <v>1ST-358-278</v>
      </c>
      <c r="C179" s="14" t="s">
        <v>232</v>
      </c>
      <c r="D179" s="18" t="s">
        <v>972</v>
      </c>
      <c r="F179" s="30" t="str">
        <f t="shared" si="11"/>
        <v>AV220811-04 1-1/2" PVC END CAP</v>
      </c>
      <c r="I179" s="31" t="str">
        <f>VLOOKUP(D179,'[1]NEW PRICE LIST'!$C$4:$D$1917,2,FALSE)</f>
        <v>440PCS/CTN</v>
      </c>
      <c r="J179" s="13" t="s">
        <v>300</v>
      </c>
      <c r="K179" s="32">
        <f>VLOOKUP(D179,'[1]NEW PRICE LIST'!$C$4:$H$1917,3,FALSE)</f>
        <v>16</v>
      </c>
      <c r="L179" s="13">
        <v>100</v>
      </c>
      <c r="M179" s="13">
        <v>0</v>
      </c>
      <c r="N179" s="13">
        <v>25</v>
      </c>
      <c r="O179" s="13" t="s">
        <v>3960</v>
      </c>
    </row>
    <row r="180" spans="1:16" x14ac:dyDescent="0.25">
      <c r="A180" s="14" t="str">
        <f t="shared" si="10"/>
        <v>AVT0000179</v>
      </c>
      <c r="B180" s="13" t="str">
        <f>VLOOKUP(D180,'SUPPLIER_ITEMS (1st Tools)'!C280:D2007,2,FALSE)</f>
        <v>1ST-358-279</v>
      </c>
      <c r="C180" s="14" t="s">
        <v>232</v>
      </c>
      <c r="D180" s="18" t="s">
        <v>974</v>
      </c>
      <c r="F180" s="30" t="str">
        <f t="shared" si="11"/>
        <v>AV220811-05 2" PVC END CAP</v>
      </c>
      <c r="I180" s="31" t="str">
        <f>VLOOKUP(D180,'[1]NEW PRICE LIST'!$C$4:$D$1917,2,FALSE)</f>
        <v>270PCS/CTN</v>
      </c>
      <c r="J180" s="13" t="s">
        <v>300</v>
      </c>
      <c r="K180" s="32">
        <f>VLOOKUP(D180,'[1]NEW PRICE LIST'!$C$4:$H$1917,3,FALSE)</f>
        <v>25</v>
      </c>
      <c r="L180" s="13">
        <v>100</v>
      </c>
      <c r="M180" s="13">
        <v>0</v>
      </c>
      <c r="N180" s="13">
        <v>25</v>
      </c>
      <c r="O180" s="13" t="s">
        <v>3960</v>
      </c>
    </row>
    <row r="181" spans="1:16" x14ac:dyDescent="0.25">
      <c r="A181" s="14" t="str">
        <f t="shared" si="10"/>
        <v>AVT0000180</v>
      </c>
      <c r="B181" s="13" t="str">
        <f>VLOOKUP(D181,'SUPPLIER_ITEMS (1st Tools)'!C281:D2008,2,FALSE)</f>
        <v>1ST-358-280</v>
      </c>
      <c r="C181" s="14" t="s">
        <v>233</v>
      </c>
      <c r="D181" s="19" t="s">
        <v>3694</v>
      </c>
      <c r="F181" s="30" t="str">
        <f t="shared" si="11"/>
        <v>AV220812-00 1/2 PVC UNION PATENTE</v>
      </c>
      <c r="I181" s="31" t="str">
        <f>VLOOKUP(D181,'[1]NEW PRICE LIST'!$C$4:$D$1917,2,FALSE)</f>
        <v>300PCS/CTN</v>
      </c>
      <c r="J181" s="13" t="s">
        <v>300</v>
      </c>
      <c r="K181" s="32">
        <f>VLOOKUP(D181,'[1]NEW PRICE LIST'!$C$4:$H$1917,3,FALSE)</f>
        <v>30</v>
      </c>
      <c r="L181" s="13">
        <v>100</v>
      </c>
      <c r="M181" s="13">
        <v>0</v>
      </c>
      <c r="N181" s="13">
        <v>25</v>
      </c>
      <c r="P181" s="13" t="s">
        <v>3960</v>
      </c>
    </row>
    <row r="182" spans="1:16" x14ac:dyDescent="0.25">
      <c r="A182" s="14" t="str">
        <f t="shared" si="10"/>
        <v>AVT0000181</v>
      </c>
      <c r="B182" s="13" t="str">
        <f>VLOOKUP(D182,'SUPPLIER_ITEMS (1st Tools)'!C282:D2009,2,FALSE)</f>
        <v>1ST-358-281</v>
      </c>
      <c r="C182" s="14" t="s">
        <v>233</v>
      </c>
      <c r="D182" s="19" t="s">
        <v>3695</v>
      </c>
      <c r="F182" s="30" t="str">
        <f t="shared" si="11"/>
        <v>AV220812-01 3/4 PVC UNION PATENTE</v>
      </c>
      <c r="I182" s="31" t="str">
        <f>VLOOKUP(D182,'[1]NEW PRICE LIST'!$C$4:$D$1917,2,FALSE)</f>
        <v>200PCS/CTN</v>
      </c>
      <c r="J182" s="13" t="s">
        <v>300</v>
      </c>
      <c r="K182" s="32">
        <f>VLOOKUP(D182,'[1]NEW PRICE LIST'!$C$4:$H$1917,3,FALSE)</f>
        <v>42</v>
      </c>
      <c r="L182" s="13">
        <v>100</v>
      </c>
      <c r="M182" s="13">
        <v>0</v>
      </c>
      <c r="N182" s="13">
        <v>25</v>
      </c>
      <c r="P182" s="13" t="s">
        <v>3960</v>
      </c>
    </row>
    <row r="183" spans="1:16" x14ac:dyDescent="0.25">
      <c r="A183" s="14" t="str">
        <f t="shared" si="10"/>
        <v>AVT0000182</v>
      </c>
      <c r="B183" s="13" t="str">
        <f>VLOOKUP(D183,'SUPPLIER_ITEMS (1st Tools)'!C283:D2010,2,FALSE)</f>
        <v>1ST-358-282</v>
      </c>
      <c r="C183" s="14" t="s">
        <v>233</v>
      </c>
      <c r="D183" s="19" t="s">
        <v>3696</v>
      </c>
      <c r="F183" s="30" t="str">
        <f t="shared" si="11"/>
        <v>AV220812-02 1" PVC UNION PATENTE</v>
      </c>
      <c r="I183" s="31" t="str">
        <f>VLOOKUP(D183,'[1]NEW PRICE LIST'!$C$4:$D$1917,2,FALSE)</f>
        <v>100PCS/CTN</v>
      </c>
      <c r="J183" s="13" t="s">
        <v>300</v>
      </c>
      <c r="K183" s="32">
        <f>VLOOKUP(D183,'[1]NEW PRICE LIST'!$C$4:$H$1917,3,FALSE)</f>
        <v>58</v>
      </c>
      <c r="L183" s="13">
        <v>100</v>
      </c>
      <c r="M183" s="13">
        <v>0</v>
      </c>
      <c r="N183" s="13">
        <v>25</v>
      </c>
      <c r="P183" s="13" t="s">
        <v>3960</v>
      </c>
    </row>
    <row r="184" spans="1:16" x14ac:dyDescent="0.25">
      <c r="A184" s="14" t="str">
        <f t="shared" si="10"/>
        <v>AVT0000183</v>
      </c>
      <c r="B184" s="13" t="str">
        <f>VLOOKUP(D184,'SUPPLIER_ITEMS (1st Tools)'!C284:D2011,2,FALSE)</f>
        <v>1ST-358-283</v>
      </c>
      <c r="C184" s="14" t="s">
        <v>233</v>
      </c>
      <c r="D184" s="19" t="s">
        <v>976</v>
      </c>
      <c r="F184" s="30" t="str">
        <f t="shared" si="11"/>
        <v>AV220812-03 1-1/4" PVC UNION PATENTE</v>
      </c>
      <c r="I184" s="31" t="str">
        <f>VLOOKUP(D184,'[1]NEW PRICE LIST'!$C$4:$D$1917,2,FALSE)</f>
        <v>170PCS/CTN</v>
      </c>
      <c r="J184" s="13" t="s">
        <v>300</v>
      </c>
      <c r="K184" s="32">
        <f>VLOOKUP(D184,'[1]NEW PRICE LIST'!$C$4:$H$1917,3,FALSE)</f>
        <v>100</v>
      </c>
      <c r="L184" s="13">
        <v>100</v>
      </c>
      <c r="M184" s="13">
        <v>0</v>
      </c>
      <c r="N184" s="13">
        <v>25</v>
      </c>
      <c r="P184" s="13" t="s">
        <v>3960</v>
      </c>
    </row>
    <row r="185" spans="1:16" x14ac:dyDescent="0.25">
      <c r="A185" s="14" t="str">
        <f t="shared" si="10"/>
        <v>AVT0000184</v>
      </c>
      <c r="B185" s="13" t="str">
        <f>VLOOKUP(D185,'SUPPLIER_ITEMS (1st Tools)'!C285:D2012,2,FALSE)</f>
        <v>1ST-358-284</v>
      </c>
      <c r="C185" s="14" t="s">
        <v>233</v>
      </c>
      <c r="D185" s="19" t="s">
        <v>978</v>
      </c>
      <c r="F185" s="30" t="str">
        <f t="shared" si="11"/>
        <v>AV220812-04 1-1/2" PVC UNION PATENTE</v>
      </c>
      <c r="I185" s="31" t="str">
        <f>VLOOKUP(D185,'[1]NEW PRICE LIST'!$C$4:$D$1917,2,FALSE)</f>
        <v>110PCS/CTN</v>
      </c>
      <c r="J185" s="13" t="s">
        <v>300</v>
      </c>
      <c r="K185" s="32">
        <f>VLOOKUP(D185,'[1]NEW PRICE LIST'!$C$4:$H$1917,3,FALSE)</f>
        <v>140</v>
      </c>
      <c r="L185" s="13">
        <v>100</v>
      </c>
      <c r="M185" s="13">
        <v>0</v>
      </c>
      <c r="N185" s="13">
        <v>25</v>
      </c>
      <c r="P185" s="13" t="s">
        <v>3960</v>
      </c>
    </row>
    <row r="186" spans="1:16" x14ac:dyDescent="0.25">
      <c r="A186" s="14" t="str">
        <f t="shared" si="10"/>
        <v>AVT0000185</v>
      </c>
      <c r="B186" s="13" t="str">
        <f>VLOOKUP(D186,'SUPPLIER_ITEMS (1st Tools)'!C286:D2013,2,FALSE)</f>
        <v>1ST-358-285</v>
      </c>
      <c r="C186" s="14" t="s">
        <v>233</v>
      </c>
      <c r="D186" s="19" t="s">
        <v>979</v>
      </c>
      <c r="F186" s="30" t="str">
        <f t="shared" si="11"/>
        <v>AV220812-05 2" PVC UNION PATENTE</v>
      </c>
      <c r="I186" s="31" t="str">
        <f>VLOOKUP(D186,'[1]NEW PRICE LIST'!$C$4:$D$1917,2,FALSE)</f>
        <v>100PCS/CTN</v>
      </c>
      <c r="J186" s="13" t="s">
        <v>300</v>
      </c>
      <c r="K186" s="32">
        <f>VLOOKUP(D186,'[1]NEW PRICE LIST'!$C$4:$H$1917,3,FALSE)</f>
        <v>250</v>
      </c>
      <c r="L186" s="13">
        <v>100</v>
      </c>
      <c r="M186" s="13">
        <v>0</v>
      </c>
      <c r="N186" s="13">
        <v>25</v>
      </c>
      <c r="P186" s="13" t="s">
        <v>3960</v>
      </c>
    </row>
    <row r="187" spans="1:16" x14ac:dyDescent="0.25">
      <c r="A187" s="14" t="str">
        <f t="shared" si="10"/>
        <v>AVT0000186</v>
      </c>
      <c r="B187" s="13" t="str">
        <f>VLOOKUP(D187,'SUPPLIER_ITEMS (1st Tools)'!C287:D2014,2,FALSE)</f>
        <v>1ST-358-286</v>
      </c>
      <c r="C187" s="14" t="s">
        <v>230</v>
      </c>
      <c r="D187" s="18" t="s">
        <v>980</v>
      </c>
      <c r="F187" s="30" t="str">
        <f t="shared" si="11"/>
        <v>AVPP201 PPR PIPE PN20 20×2.8 (1/2)</v>
      </c>
      <c r="I187" s="31" t="str">
        <f>VLOOKUP(D187,'[1]NEW PRICE LIST'!$C$4:$D$1917,2,FALSE)</f>
        <v>50PCS/SACK</v>
      </c>
      <c r="J187" s="13" t="s">
        <v>303</v>
      </c>
      <c r="K187" s="32">
        <f>VLOOKUP(D187,'[1]NEW PRICE LIST'!$C$4:$H$1917,3,FALSE)</f>
        <v>179</v>
      </c>
      <c r="L187" s="13">
        <v>100</v>
      </c>
      <c r="M187" s="13">
        <v>0</v>
      </c>
      <c r="N187" s="13">
        <v>20</v>
      </c>
      <c r="P187" s="13" t="s">
        <v>3629</v>
      </c>
    </row>
    <row r="188" spans="1:16" x14ac:dyDescent="0.25">
      <c r="A188" s="14" t="str">
        <f t="shared" si="10"/>
        <v>AVT0000187</v>
      </c>
      <c r="B188" s="13" t="str">
        <f>VLOOKUP(D188,'SUPPLIER_ITEMS (1st Tools)'!C288:D2015,2,FALSE)</f>
        <v>1ST-358-287</v>
      </c>
      <c r="C188" s="14" t="s">
        <v>230</v>
      </c>
      <c r="D188" s="18" t="s">
        <v>982</v>
      </c>
      <c r="F188" s="30" t="str">
        <f t="shared" si="11"/>
        <v>AVPP202 PPR PIPE PN20 25×3.5 (3/4)</v>
      </c>
      <c r="I188" s="31" t="str">
        <f>VLOOKUP(D188,'[1]NEW PRICE LIST'!$C$4:$D$1917,2,FALSE)</f>
        <v>35PCS/SACK</v>
      </c>
      <c r="J188" s="13" t="s">
        <v>303</v>
      </c>
      <c r="K188" s="32">
        <f>VLOOKUP(D188,'[1]NEW PRICE LIST'!$C$4:$H$1917,3,FALSE)</f>
        <v>268</v>
      </c>
      <c r="L188" s="13">
        <v>100</v>
      </c>
      <c r="M188" s="13">
        <v>0</v>
      </c>
      <c r="N188" s="13">
        <v>20</v>
      </c>
      <c r="P188" s="13" t="s">
        <v>3629</v>
      </c>
    </row>
    <row r="189" spans="1:16" x14ac:dyDescent="0.25">
      <c r="A189" s="14" t="str">
        <f t="shared" si="10"/>
        <v>AVT0000188</v>
      </c>
      <c r="B189" s="13" t="str">
        <f>VLOOKUP(D189,'SUPPLIER_ITEMS (1st Tools)'!C289:D2016,2,FALSE)</f>
        <v>1ST-358-288</v>
      </c>
      <c r="C189" s="14" t="s">
        <v>230</v>
      </c>
      <c r="D189" s="18" t="s">
        <v>984</v>
      </c>
      <c r="F189" s="30" t="str">
        <f t="shared" si="11"/>
        <v>AVPP203 PPR PIPE PN20 32×4.4 (1")</v>
      </c>
      <c r="I189" s="31" t="str">
        <f>VLOOKUP(D189,'[1]NEW PRICE LIST'!$C$4:$D$1917,2,FALSE)</f>
        <v>20PCS/SACK</v>
      </c>
      <c r="J189" s="13" t="s">
        <v>303</v>
      </c>
      <c r="K189" s="32">
        <f>VLOOKUP(D189,'[1]NEW PRICE LIST'!$C$4:$H$1917,3,FALSE)</f>
        <v>459</v>
      </c>
      <c r="L189" s="13">
        <v>100</v>
      </c>
      <c r="M189" s="13">
        <v>0</v>
      </c>
      <c r="N189" s="13">
        <v>20</v>
      </c>
      <c r="P189" s="13" t="s">
        <v>3629</v>
      </c>
    </row>
    <row r="190" spans="1:16" x14ac:dyDescent="0.25">
      <c r="A190" s="14" t="str">
        <f t="shared" si="10"/>
        <v>AVT0000189</v>
      </c>
      <c r="B190" s="13" t="str">
        <f>VLOOKUP(D190,'SUPPLIER_ITEMS (1st Tools)'!C290:D2017,2,FALSE)</f>
        <v>1ST-358-289</v>
      </c>
      <c r="C190" s="14" t="s">
        <v>230</v>
      </c>
      <c r="D190" s="19" t="s">
        <v>985</v>
      </c>
      <c r="F190" s="30" t="str">
        <f t="shared" si="11"/>
        <v>AVPP204 PPR PIPE PN20 40×5.5 (1"1/4)</v>
      </c>
      <c r="I190" s="31" t="str">
        <f>VLOOKUP(D190,'[1]NEW PRICE LIST'!$C$4:$D$1917,2,FALSE)</f>
        <v>15PCS/SACK</v>
      </c>
      <c r="J190" s="13" t="s">
        <v>303</v>
      </c>
      <c r="K190" s="32">
        <f>VLOOKUP(D190,'[1]NEW PRICE LIST'!$C$4:$H$1917,3,FALSE)</f>
        <v>660</v>
      </c>
      <c r="L190" s="13">
        <v>100</v>
      </c>
      <c r="M190" s="13">
        <v>0</v>
      </c>
      <c r="N190" s="13">
        <v>20</v>
      </c>
      <c r="P190" s="13" t="s">
        <v>3629</v>
      </c>
    </row>
    <row r="191" spans="1:16" x14ac:dyDescent="0.25">
      <c r="A191" s="14" t="str">
        <f t="shared" si="10"/>
        <v>AVT0000190</v>
      </c>
      <c r="B191" s="13" t="str">
        <f>VLOOKUP(D191,'SUPPLIER_ITEMS (1st Tools)'!C291:D2018,2,FALSE)</f>
        <v>1ST-358-290</v>
      </c>
      <c r="C191" s="14" t="s">
        <v>230</v>
      </c>
      <c r="D191" s="18" t="s">
        <v>987</v>
      </c>
      <c r="F191" s="30" t="str">
        <f t="shared" si="11"/>
        <v>AVPP205 PPR PIPE PN20 50×6.9 (1"1/2)</v>
      </c>
      <c r="I191" s="31" t="str">
        <f>VLOOKUP(D191,'[1]NEW PRICE LIST'!$C$4:$D$1917,2,FALSE)</f>
        <v>10PCS/SACK</v>
      </c>
      <c r="J191" s="13" t="s">
        <v>303</v>
      </c>
      <c r="K191" s="32">
        <f>VLOOKUP(D191,'[1]NEW PRICE LIST'!$C$4:$H$1917,3,FALSE)</f>
        <v>1036</v>
      </c>
      <c r="L191" s="13">
        <v>100</v>
      </c>
      <c r="M191" s="13">
        <v>0</v>
      </c>
      <c r="N191" s="13">
        <v>20</v>
      </c>
      <c r="P191" s="13" t="s">
        <v>3629</v>
      </c>
    </row>
    <row r="192" spans="1:16" x14ac:dyDescent="0.25">
      <c r="A192" s="14" t="str">
        <f t="shared" si="10"/>
        <v>AVT0000191</v>
      </c>
      <c r="B192" s="13" t="str">
        <f>VLOOKUP(D192,'SUPPLIER_ITEMS (1st Tools)'!C292:D2019,2,FALSE)</f>
        <v>1ST-358-291</v>
      </c>
      <c r="C192" s="14" t="s">
        <v>230</v>
      </c>
      <c r="D192" s="18" t="s">
        <v>989</v>
      </c>
      <c r="F192" s="30" t="str">
        <f t="shared" si="11"/>
        <v>AVPP206 PPR PIPE PN20 63×8.6 (2")</v>
      </c>
      <c r="I192" s="31" t="str">
        <f>VLOOKUP(D192,'[1]NEW PRICE LIST'!$C$4:$D$1917,2,FALSE)</f>
        <v>6PCS/SACK</v>
      </c>
      <c r="J192" s="13" t="s">
        <v>303</v>
      </c>
      <c r="K192" s="32">
        <f>VLOOKUP(D192,'[1]NEW PRICE LIST'!$C$4:$H$1917,3,FALSE)</f>
        <v>1635</v>
      </c>
      <c r="L192" s="13">
        <v>100</v>
      </c>
      <c r="M192" s="13">
        <v>0</v>
      </c>
      <c r="N192" s="13">
        <v>20</v>
      </c>
      <c r="P192" s="13" t="s">
        <v>3629</v>
      </c>
    </row>
    <row r="193" spans="1:16" x14ac:dyDescent="0.25">
      <c r="A193" s="14" t="str">
        <f t="shared" si="10"/>
        <v>AVT0000192</v>
      </c>
      <c r="B193" s="13" t="str">
        <f>VLOOKUP(D193,'SUPPLIER_ITEMS (1st Tools)'!C293:D2020,2,FALSE)</f>
        <v>1ST-358-292</v>
      </c>
      <c r="C193" s="14" t="s">
        <v>230</v>
      </c>
      <c r="D193" s="19" t="s">
        <v>991</v>
      </c>
      <c r="F193" s="30" t="str">
        <f t="shared" si="11"/>
        <v>AVPP301PPR PIPE PN 25 20×3.4 (1/2)</v>
      </c>
      <c r="I193" s="31" t="str">
        <f>VLOOKUP(D193,'[1]NEW PRICE LIST'!$C$4:$D$1917,2,FALSE)</f>
        <v>50PCS/SACK</v>
      </c>
      <c r="J193" s="13" t="s">
        <v>303</v>
      </c>
      <c r="K193" s="32">
        <f>VLOOKUP(D193,'[1]NEW PRICE LIST'!$C$4:$H$1917,3,FALSE)</f>
        <v>212</v>
      </c>
      <c r="L193" s="13">
        <v>100</v>
      </c>
      <c r="M193" s="13">
        <v>0</v>
      </c>
      <c r="N193" s="13">
        <v>20</v>
      </c>
      <c r="P193" s="13" t="s">
        <v>3629</v>
      </c>
    </row>
    <row r="194" spans="1:16" x14ac:dyDescent="0.25">
      <c r="A194" s="14" t="str">
        <f t="shared" si="10"/>
        <v>AVT0000193</v>
      </c>
      <c r="B194" s="13" t="str">
        <f>VLOOKUP(D194,'SUPPLIER_ITEMS (1st Tools)'!C294:D2021,2,FALSE)</f>
        <v>1ST-358-293</v>
      </c>
      <c r="C194" s="14" t="s">
        <v>230</v>
      </c>
      <c r="D194" s="18" t="s">
        <v>992</v>
      </c>
      <c r="F194" s="30" t="str">
        <f t="shared" si="11"/>
        <v>AVPP302 PPR PIPE PN 25 25×4.2 (3/4)</v>
      </c>
      <c r="I194" s="31" t="str">
        <f>VLOOKUP(D194,'[1]NEW PRICE LIST'!$C$4:$D$1917,2,FALSE)</f>
        <v>35PCS/SACK</v>
      </c>
      <c r="J194" s="13" t="s">
        <v>303</v>
      </c>
      <c r="K194" s="32">
        <f>VLOOKUP(D194,'[1]NEW PRICE LIST'!$C$4:$H$1917,3,FALSE)</f>
        <v>313</v>
      </c>
      <c r="L194" s="13">
        <v>100</v>
      </c>
      <c r="M194" s="13">
        <v>0</v>
      </c>
      <c r="N194" s="13">
        <v>20</v>
      </c>
      <c r="P194" s="13" t="s">
        <v>3629</v>
      </c>
    </row>
    <row r="195" spans="1:16" x14ac:dyDescent="0.25">
      <c r="A195" s="14" t="str">
        <f t="shared" si="10"/>
        <v>AVT0000194</v>
      </c>
      <c r="B195" s="13" t="str">
        <f>VLOOKUP(D195,'SUPPLIER_ITEMS (1st Tools)'!C295:D2022,2,FALSE)</f>
        <v>1ST-358-294</v>
      </c>
      <c r="C195" s="14" t="s">
        <v>230</v>
      </c>
      <c r="D195" s="18" t="s">
        <v>994</v>
      </c>
      <c r="F195" s="30" t="str">
        <f t="shared" si="11"/>
        <v>AVPP303 PPR PIPE PN 25 32×5.4 (1")</v>
      </c>
      <c r="I195" s="31" t="str">
        <f>VLOOKUP(D195,'[1]NEW PRICE LIST'!$C$4:$D$1917,2,FALSE)</f>
        <v>20PCS/SACK</v>
      </c>
      <c r="J195" s="13" t="s">
        <v>303</v>
      </c>
      <c r="K195" s="32">
        <f>VLOOKUP(D195,'[1]NEW PRICE LIST'!$C$4:$H$1917,3,FALSE)</f>
        <v>537</v>
      </c>
      <c r="L195" s="13">
        <v>100</v>
      </c>
      <c r="M195" s="13">
        <v>0</v>
      </c>
      <c r="N195" s="13">
        <v>20</v>
      </c>
      <c r="P195" s="13" t="s">
        <v>3629</v>
      </c>
    </row>
    <row r="196" spans="1:16" x14ac:dyDescent="0.25">
      <c r="A196" s="14" t="str">
        <f t="shared" ref="A196:A259" si="12">"AVT"&amp;TEXT(RIGHT(A195,LEN(A195)-3)+1,"0000000")</f>
        <v>AVT0000195</v>
      </c>
      <c r="B196" s="13" t="str">
        <f>VLOOKUP(D196,'SUPPLIER_ITEMS (1st Tools)'!C296:D2023,2,FALSE)</f>
        <v>1ST-358-295</v>
      </c>
      <c r="C196" s="14" t="s">
        <v>231</v>
      </c>
      <c r="D196" s="19" t="s">
        <v>996</v>
      </c>
      <c r="F196" s="30" t="str">
        <f t="shared" si="11"/>
        <v>AVPP401 PPR PIPES PN20 20*2.8 (30M)</v>
      </c>
      <c r="I196" s="31" t="str">
        <f>VLOOKUP(D196,'[1]NEW PRICE LIST'!$C$4:$D$1917,2,FALSE)</f>
        <v>30M/ROLL</v>
      </c>
      <c r="J196" s="13" t="s">
        <v>299</v>
      </c>
      <c r="K196" s="32">
        <f>VLOOKUP(D196,'[1]NEW PRICE LIST'!$C$4:$H$1917,3,FALSE)</f>
        <v>1360</v>
      </c>
      <c r="L196" s="13">
        <v>100</v>
      </c>
      <c r="M196" s="13">
        <v>0</v>
      </c>
      <c r="N196" s="13">
        <v>20</v>
      </c>
      <c r="P196" s="13" t="s">
        <v>3629</v>
      </c>
    </row>
    <row r="197" spans="1:16" x14ac:dyDescent="0.25">
      <c r="A197" s="14" t="str">
        <f t="shared" si="12"/>
        <v>AVT0000196</v>
      </c>
      <c r="B197" s="13" t="str">
        <f>VLOOKUP(D197,'SUPPLIER_ITEMS (1st Tools)'!C297:D2024,2,FALSE)</f>
        <v>1ST-358-296</v>
      </c>
      <c r="C197" s="14" t="s">
        <v>231</v>
      </c>
      <c r="D197" s="19" t="s">
        <v>998</v>
      </c>
      <c r="F197" s="30" t="str">
        <f t="shared" si="11"/>
        <v>AVPP402 PPR PIPES PN20 20*2.8 (50M)</v>
      </c>
      <c r="I197" s="31" t="str">
        <f>VLOOKUP(D197,'[1]NEW PRICE LIST'!$C$4:$D$1917,2,FALSE)</f>
        <v>50M/ROLL</v>
      </c>
      <c r="J197" s="13" t="s">
        <v>299</v>
      </c>
      <c r="K197" s="32">
        <f>VLOOKUP(D197,'[1]NEW PRICE LIST'!$C$4:$H$1917,3,FALSE)</f>
        <v>2237.5</v>
      </c>
      <c r="L197" s="13">
        <v>100</v>
      </c>
      <c r="M197" s="13">
        <v>0</v>
      </c>
      <c r="N197" s="13">
        <v>20</v>
      </c>
      <c r="P197" s="13" t="s">
        <v>3629</v>
      </c>
    </row>
    <row r="198" spans="1:16" x14ac:dyDescent="0.25">
      <c r="A198" s="14" t="str">
        <f t="shared" si="12"/>
        <v>AVT0000197</v>
      </c>
      <c r="B198" s="13" t="str">
        <f>VLOOKUP(D198,'SUPPLIER_ITEMS (1st Tools)'!C298:D2025,2,FALSE)</f>
        <v>1ST-358-297</v>
      </c>
      <c r="C198" s="14" t="s">
        <v>231</v>
      </c>
      <c r="D198" s="19" t="s">
        <v>999</v>
      </c>
      <c r="F198" s="30" t="str">
        <f t="shared" si="11"/>
        <v>AVPP403 PPR PIPES PN20 20*2.8 (100M)</v>
      </c>
      <c r="I198" s="31" t="str">
        <f>VLOOKUP(D198,'[1]NEW PRICE LIST'!$C$4:$D$1917,2,FALSE)</f>
        <v>100M/ROLL</v>
      </c>
      <c r="J198" s="13" t="s">
        <v>299</v>
      </c>
      <c r="K198" s="32">
        <f>VLOOKUP(D198,'[1]NEW PRICE LIST'!$C$4:$H$1917,3,FALSE)</f>
        <v>4475</v>
      </c>
      <c r="L198" s="13">
        <v>100</v>
      </c>
      <c r="M198" s="13">
        <v>0</v>
      </c>
      <c r="N198" s="13">
        <v>20</v>
      </c>
      <c r="P198" s="13" t="s">
        <v>3629</v>
      </c>
    </row>
    <row r="199" spans="1:16" x14ac:dyDescent="0.25">
      <c r="A199" s="14" t="str">
        <f t="shared" si="12"/>
        <v>AVT0000198</v>
      </c>
      <c r="B199" s="13" t="str">
        <f>VLOOKUP(D199,'SUPPLIER_ITEMS (1st Tools)'!C299:D2026,2,FALSE)</f>
        <v>1ST-358-298</v>
      </c>
      <c r="C199" s="14" t="s">
        <v>231</v>
      </c>
      <c r="D199" s="19" t="s">
        <v>1001</v>
      </c>
      <c r="F199" s="30" t="str">
        <f t="shared" si="11"/>
        <v>AVPP404 PPR PIPES PN20 25*3.5 (30M)</v>
      </c>
      <c r="I199" s="31" t="str">
        <f>VLOOKUP(D199,'[1]NEW PRICE LIST'!$C$4:$D$1917,2,FALSE)</f>
        <v>30M/ROLL</v>
      </c>
      <c r="J199" s="13" t="s">
        <v>299</v>
      </c>
      <c r="K199" s="32">
        <f>VLOOKUP(D199,'[1]NEW PRICE LIST'!$C$4:$H$1917,3,FALSE)</f>
        <v>1980</v>
      </c>
      <c r="L199" s="13">
        <v>100</v>
      </c>
      <c r="M199" s="13">
        <v>0</v>
      </c>
      <c r="N199" s="13">
        <v>20</v>
      </c>
      <c r="P199" s="13" t="s">
        <v>3629</v>
      </c>
    </row>
    <row r="200" spans="1:16" x14ac:dyDescent="0.25">
      <c r="A200" s="14" t="str">
        <f t="shared" si="12"/>
        <v>AVT0000199</v>
      </c>
      <c r="B200" s="13" t="str">
        <f>VLOOKUP(D200,'SUPPLIER_ITEMS (1st Tools)'!C300:D2027,2,FALSE)</f>
        <v>1ST-358-299</v>
      </c>
      <c r="C200" s="14" t="s">
        <v>231</v>
      </c>
      <c r="D200" s="19" t="s">
        <v>1003</v>
      </c>
      <c r="F200" s="30" t="str">
        <f t="shared" si="11"/>
        <v>AVPP405 PPR PIPES PN20 25*3.5 (50M)</v>
      </c>
      <c r="I200" s="31" t="str">
        <f>VLOOKUP(D200,'[1]NEW PRICE LIST'!$C$4:$D$1917,2,FALSE)</f>
        <v>50M/ROLL</v>
      </c>
      <c r="J200" s="13" t="s">
        <v>299</v>
      </c>
      <c r="K200" s="32">
        <f>VLOOKUP(D200,'[1]NEW PRICE LIST'!$C$4:$H$1917,3,FALSE)</f>
        <v>3350</v>
      </c>
      <c r="L200" s="13">
        <v>100</v>
      </c>
      <c r="M200" s="13">
        <v>0</v>
      </c>
      <c r="N200" s="13">
        <v>20</v>
      </c>
      <c r="P200" s="13" t="s">
        <v>3629</v>
      </c>
    </row>
    <row r="201" spans="1:16" x14ac:dyDescent="0.25">
      <c r="A201" s="14" t="str">
        <f t="shared" si="12"/>
        <v>AVT0000200</v>
      </c>
      <c r="B201" s="13" t="str">
        <f>VLOOKUP(D201,'SUPPLIER_ITEMS (1st Tools)'!C301:D2028,2,FALSE)</f>
        <v>1ST-358-300</v>
      </c>
      <c r="C201" s="14" t="s">
        <v>231</v>
      </c>
      <c r="D201" s="19" t="s">
        <v>1005</v>
      </c>
      <c r="F201" s="30" t="str">
        <f t="shared" si="11"/>
        <v>AVPP406 PPR PIPES PN20 25*3.5 (100M)</v>
      </c>
      <c r="I201" s="31" t="str">
        <f>VLOOKUP(D201,'[1]NEW PRICE LIST'!$C$4:$D$1917,2,FALSE)</f>
        <v>100M/ROLL</v>
      </c>
      <c r="J201" s="13" t="s">
        <v>299</v>
      </c>
      <c r="K201" s="32">
        <f>VLOOKUP(D201,'[1]NEW PRICE LIST'!$C$4:$H$1917,3,FALSE)</f>
        <v>6700</v>
      </c>
      <c r="L201" s="13">
        <v>100</v>
      </c>
      <c r="M201" s="13">
        <v>0</v>
      </c>
      <c r="N201" s="13">
        <v>20</v>
      </c>
      <c r="P201" s="13" t="s">
        <v>3629</v>
      </c>
    </row>
    <row r="202" spans="1:16" x14ac:dyDescent="0.25">
      <c r="A202" s="14" t="str">
        <f t="shared" si="12"/>
        <v>AVT0000201</v>
      </c>
      <c r="B202" s="13" t="str">
        <f>VLOOKUP(D202,'SUPPLIER_ITEMS (1st Tools)'!C302:D2029,2,FALSE)</f>
        <v>1ST-358-301</v>
      </c>
      <c r="C202" s="14" t="s">
        <v>227</v>
      </c>
      <c r="D202" s="18" t="s">
        <v>3697</v>
      </c>
      <c r="F202" s="30" t="str">
        <f t="shared" si="11"/>
        <v>AVC001 FEMALE THREAD SOCKET 1/2 X 1/2</v>
      </c>
      <c r="I202" s="31" t="str">
        <f>VLOOKUP(D202,'[1]NEW PRICE LIST'!$C$4:$D$1917,2,FALSE)</f>
        <v>400PCS/CTN</v>
      </c>
      <c r="J202" s="13" t="s">
        <v>300</v>
      </c>
      <c r="K202" s="32">
        <f>VLOOKUP(D202,'[1]NEW PRICE LIST'!$C$4:$H$1917,3,FALSE)</f>
        <v>51.5</v>
      </c>
      <c r="L202" s="13">
        <v>100</v>
      </c>
      <c r="M202" s="13">
        <v>0</v>
      </c>
      <c r="N202" s="13">
        <v>20</v>
      </c>
      <c r="P202" s="13" t="s">
        <v>3629</v>
      </c>
    </row>
    <row r="203" spans="1:16" x14ac:dyDescent="0.25">
      <c r="A203" s="14" t="str">
        <f t="shared" si="12"/>
        <v>AVT0000202</v>
      </c>
      <c r="B203" s="13" t="str">
        <f>VLOOKUP(D203,'SUPPLIER_ITEMS (1st Tools)'!C303:D2030,2,FALSE)</f>
        <v>1ST-358-302</v>
      </c>
      <c r="C203" s="14" t="s">
        <v>227</v>
      </c>
      <c r="D203" s="18" t="s">
        <v>3698</v>
      </c>
      <c r="F203" s="30" t="str">
        <f t="shared" si="11"/>
        <v>AVC002 FEMALE THREAD SOCKET 1/2 X 3/4</v>
      </c>
      <c r="I203" s="31" t="str">
        <f>VLOOKUP(D203,'[1]NEW PRICE LIST'!$C$4:$D$1917,2,FALSE)</f>
        <v>325PCS/CTN</v>
      </c>
      <c r="J203" s="13" t="s">
        <v>300</v>
      </c>
      <c r="K203" s="32">
        <f>VLOOKUP(D203,'[1]NEW PRICE LIST'!$C$4:$H$1917,3,FALSE)</f>
        <v>75.25</v>
      </c>
      <c r="L203" s="13">
        <v>100</v>
      </c>
      <c r="M203" s="13">
        <v>0</v>
      </c>
      <c r="N203" s="13">
        <v>20</v>
      </c>
      <c r="P203" s="13" t="s">
        <v>3629</v>
      </c>
    </row>
    <row r="204" spans="1:16" x14ac:dyDescent="0.25">
      <c r="A204" s="14" t="str">
        <f t="shared" si="12"/>
        <v>AVT0000203</v>
      </c>
      <c r="B204" s="13" t="str">
        <f>VLOOKUP(D204,'SUPPLIER_ITEMS (1st Tools)'!C304:D2031,2,FALSE)</f>
        <v>1ST-358-303</v>
      </c>
      <c r="C204" s="14" t="s">
        <v>227</v>
      </c>
      <c r="D204" s="18" t="s">
        <v>3699</v>
      </c>
      <c r="F204" s="30" t="str">
        <f t="shared" si="11"/>
        <v>AVC003 FEMALE THREAD SOCKET 3/4 X 1/2</v>
      </c>
      <c r="I204" s="31" t="str">
        <f>VLOOKUP(D204,'[1]NEW PRICE LIST'!$C$4:$D$1917,2,FALSE)</f>
        <v>325PCS/CTN</v>
      </c>
      <c r="J204" s="13" t="s">
        <v>300</v>
      </c>
      <c r="K204" s="32">
        <f>VLOOKUP(D204,'[1]NEW PRICE LIST'!$C$4:$H$1917,3,FALSE)</f>
        <v>67.25</v>
      </c>
      <c r="L204" s="13">
        <v>100</v>
      </c>
      <c r="M204" s="13">
        <v>0</v>
      </c>
      <c r="N204" s="13">
        <v>20</v>
      </c>
      <c r="P204" s="13" t="s">
        <v>3629</v>
      </c>
    </row>
    <row r="205" spans="1:16" x14ac:dyDescent="0.25">
      <c r="A205" s="14" t="str">
        <f t="shared" si="12"/>
        <v>AVT0000204</v>
      </c>
      <c r="B205" s="13" t="str">
        <f>VLOOKUP(D205,'SUPPLIER_ITEMS (1st Tools)'!C305:D2032,2,FALSE)</f>
        <v>1ST-358-304</v>
      </c>
      <c r="C205" s="14" t="s">
        <v>227</v>
      </c>
      <c r="D205" s="18" t="s">
        <v>3700</v>
      </c>
      <c r="F205" s="30" t="str">
        <f t="shared" si="11"/>
        <v>AVC004 FEMALE THREAD SOCKET 3/4 X3/4</v>
      </c>
      <c r="I205" s="31" t="str">
        <f>VLOOKUP(D205,'[1]NEW PRICE LIST'!$C$4:$D$1917,2,FALSE)</f>
        <v>250PCS/CTN</v>
      </c>
      <c r="J205" s="13" t="s">
        <v>300</v>
      </c>
      <c r="K205" s="32">
        <f>VLOOKUP(D205,'[1]NEW PRICE LIST'!$C$4:$H$1917,3,FALSE)</f>
        <v>78.5</v>
      </c>
      <c r="L205" s="13">
        <v>100</v>
      </c>
      <c r="M205" s="13">
        <v>0</v>
      </c>
      <c r="N205" s="13">
        <v>20</v>
      </c>
      <c r="P205" s="13" t="s">
        <v>3629</v>
      </c>
    </row>
    <row r="206" spans="1:16" x14ac:dyDescent="0.25">
      <c r="A206" s="14" t="str">
        <f t="shared" si="12"/>
        <v>AVT0000205</v>
      </c>
      <c r="B206" s="13" t="str">
        <f>VLOOKUP(D206,'SUPPLIER_ITEMS (1st Tools)'!C306:D2033,2,FALSE)</f>
        <v>1ST-358-305</v>
      </c>
      <c r="C206" s="14" t="s">
        <v>227</v>
      </c>
      <c r="D206" s="18" t="s">
        <v>3701</v>
      </c>
      <c r="F206" s="30" t="str">
        <f t="shared" si="11"/>
        <v>AVC005 FEMALE THREAD SOCKET 3/4 X 1"</v>
      </c>
      <c r="I206" s="31" t="str">
        <f>VLOOKUP(D206,'[1]NEW PRICE LIST'!$C$4:$D$1917,2,FALSE)</f>
        <v>140PCS/CTN</v>
      </c>
      <c r="J206" s="13" t="s">
        <v>300</v>
      </c>
      <c r="K206" s="32">
        <f>VLOOKUP(D206,'[1]NEW PRICE LIST'!$C$4:$H$1917,3,FALSE)</f>
        <v>76.25</v>
      </c>
      <c r="L206" s="13">
        <v>100</v>
      </c>
      <c r="M206" s="13">
        <v>0</v>
      </c>
      <c r="N206" s="13">
        <v>20</v>
      </c>
      <c r="P206" s="13" t="s">
        <v>3629</v>
      </c>
    </row>
    <row r="207" spans="1:16" x14ac:dyDescent="0.25">
      <c r="A207" s="14" t="str">
        <f t="shared" si="12"/>
        <v>AVT0000206</v>
      </c>
      <c r="B207" s="13" t="str">
        <f>VLOOKUP(D207,'SUPPLIER_ITEMS (1st Tools)'!C308:D2035,2,FALSE)</f>
        <v>1ST-358-307</v>
      </c>
      <c r="C207" s="14" t="s">
        <v>227</v>
      </c>
      <c r="D207" s="18" t="s">
        <v>1014</v>
      </c>
      <c r="F207" s="30" t="str">
        <f t="shared" si="11"/>
        <v>AVC008 FEMALE THREAD SOCKET S32 x 1"</v>
      </c>
      <c r="I207" s="31" t="str">
        <f>VLOOKUP(D207,'[1]NEW PRICE LIST'!$C$4:$D$1917,2,FALSE)</f>
        <v>150PCS/CTN</v>
      </c>
      <c r="J207" s="13" t="s">
        <v>300</v>
      </c>
      <c r="K207" s="34">
        <f>VLOOKUP(D207,'[1]NEW PRICE LIST'!$C$4:$H$1917,3,FALSE)</f>
        <v>200</v>
      </c>
      <c r="L207" s="13">
        <v>100</v>
      </c>
      <c r="M207" s="13">
        <v>0</v>
      </c>
      <c r="N207" s="13">
        <v>20</v>
      </c>
      <c r="P207" s="13" t="s">
        <v>3629</v>
      </c>
    </row>
    <row r="208" spans="1:16" x14ac:dyDescent="0.25">
      <c r="A208" s="14" t="str">
        <f t="shared" si="12"/>
        <v>AVT0000207</v>
      </c>
      <c r="B208" s="13" t="str">
        <f>VLOOKUP(D208,'SUPPLIER_ITEMS (1st Tools)'!C309:D2036,2,FALSE)</f>
        <v>1ST-358-308</v>
      </c>
      <c r="C208" s="14" t="s">
        <v>228</v>
      </c>
      <c r="D208" s="18" t="s">
        <v>3702</v>
      </c>
      <c r="F208" s="30" t="str">
        <f t="shared" si="11"/>
        <v>AVC101 MALE THREAD SOCKET 1/2</v>
      </c>
      <c r="I208" s="31" t="str">
        <f>VLOOKUP(D208,'[1]NEW PRICE LIST'!$C$4:$D$1917,2,FALSE)</f>
        <v>360PCS/CTN</v>
      </c>
      <c r="J208" s="13" t="s">
        <v>300</v>
      </c>
      <c r="K208" s="32">
        <f>VLOOKUP(D208,'[1]NEW PRICE LIST'!$C$4:$H$1917,3,FALSE)</f>
        <v>69.5</v>
      </c>
      <c r="L208" s="13">
        <v>100</v>
      </c>
      <c r="M208" s="13">
        <v>0</v>
      </c>
      <c r="N208" s="13">
        <v>20</v>
      </c>
      <c r="P208" s="13" t="s">
        <v>3629</v>
      </c>
    </row>
    <row r="209" spans="1:16" x14ac:dyDescent="0.25">
      <c r="A209" s="14" t="str">
        <f t="shared" si="12"/>
        <v>AVT0000208</v>
      </c>
      <c r="B209" s="13" t="str">
        <f>VLOOKUP(D209,'SUPPLIER_ITEMS (1st Tools)'!C310:D2037,2,FALSE)</f>
        <v>1ST-358-309</v>
      </c>
      <c r="C209" s="14" t="s">
        <v>228</v>
      </c>
      <c r="D209" s="18" t="s">
        <v>1017</v>
      </c>
      <c r="F209" s="30" t="str">
        <f t="shared" si="11"/>
        <v>AVC102 MALE THREAD SOCKET 1/2 X 3/4</v>
      </c>
      <c r="I209" s="31" t="str">
        <f>VLOOKUP(D209,'[1]NEW PRICE LIST'!$C$4:$D$1917,2,FALSE)</f>
        <v>250PCS/CTN</v>
      </c>
      <c r="J209" s="13" t="s">
        <v>300</v>
      </c>
      <c r="K209" s="32">
        <f>VLOOKUP(D209,'[1]NEW PRICE LIST'!$C$4:$H$1917,3,FALSE)</f>
        <v>75</v>
      </c>
      <c r="L209" s="13">
        <v>100</v>
      </c>
      <c r="M209" s="13">
        <v>0</v>
      </c>
      <c r="N209" s="13">
        <v>20</v>
      </c>
      <c r="P209" s="13" t="s">
        <v>3629</v>
      </c>
    </row>
    <row r="210" spans="1:16" x14ac:dyDescent="0.25">
      <c r="A210" s="14" t="str">
        <f t="shared" si="12"/>
        <v>AVT0000209</v>
      </c>
      <c r="B210" s="13" t="str">
        <f>VLOOKUP(D210,'SUPPLIER_ITEMS (1st Tools)'!C311:D2038,2,FALSE)</f>
        <v>1ST-358-310</v>
      </c>
      <c r="C210" s="14" t="s">
        <v>228</v>
      </c>
      <c r="D210" s="18" t="s">
        <v>3703</v>
      </c>
      <c r="F210" s="30" t="str">
        <f t="shared" si="11"/>
        <v>AVC103 MALE THREAD SOCKET 3/4 X 1/2</v>
      </c>
      <c r="I210" s="31" t="str">
        <f>VLOOKUP(D210,'[1]NEW PRICE LIST'!$C$4:$D$1917,2,FALSE)</f>
        <v>300PCS/CTN</v>
      </c>
      <c r="J210" s="13" t="s">
        <v>300</v>
      </c>
      <c r="K210" s="32">
        <f>VLOOKUP(D210,'[1]NEW PRICE LIST'!$C$4:$H$1917,3,FALSE)</f>
        <v>78.5</v>
      </c>
      <c r="L210" s="13">
        <v>100</v>
      </c>
      <c r="M210" s="13">
        <v>0</v>
      </c>
      <c r="N210" s="13">
        <v>20</v>
      </c>
      <c r="P210" s="13" t="s">
        <v>3629</v>
      </c>
    </row>
    <row r="211" spans="1:16" x14ac:dyDescent="0.25">
      <c r="A211" s="14" t="str">
        <f t="shared" si="12"/>
        <v>AVT0000210</v>
      </c>
      <c r="B211" s="13" t="str">
        <f>VLOOKUP(D211,'SUPPLIER_ITEMS (1st Tools)'!C312:D2039,2,FALSE)</f>
        <v>1ST-358-311</v>
      </c>
      <c r="C211" s="14" t="s">
        <v>228</v>
      </c>
      <c r="D211" s="18" t="s">
        <v>1018</v>
      </c>
      <c r="F211" s="30" t="str">
        <f t="shared" si="11"/>
        <v>AVC104 MALE THREAD SOCKET 3/4 X 3/4</v>
      </c>
      <c r="I211" s="31" t="str">
        <f>VLOOKUP(D211,'[1]NEW PRICE LIST'!$C$4:$D$1917,2,FALSE)</f>
        <v>180PCS/CTN</v>
      </c>
      <c r="J211" s="13" t="s">
        <v>300</v>
      </c>
      <c r="K211" s="32">
        <f>VLOOKUP(D211,'[1]NEW PRICE LIST'!$C$4:$H$1917,3,FALSE)</f>
        <v>96.25</v>
      </c>
      <c r="L211" s="13">
        <v>100</v>
      </c>
      <c r="M211" s="13">
        <v>0</v>
      </c>
      <c r="N211" s="13">
        <v>20</v>
      </c>
      <c r="P211" s="13" t="s">
        <v>3629</v>
      </c>
    </row>
    <row r="212" spans="1:16" x14ac:dyDescent="0.25">
      <c r="A212" s="14" t="str">
        <f t="shared" si="12"/>
        <v>AVT0000211</v>
      </c>
      <c r="B212" s="13" t="str">
        <f>VLOOKUP(D212,'SUPPLIER_ITEMS (1st Tools)'!C313:D2040,2,FALSE)</f>
        <v>1ST-358-312</v>
      </c>
      <c r="C212" s="14" t="s">
        <v>228</v>
      </c>
      <c r="D212" s="18" t="s">
        <v>3704</v>
      </c>
      <c r="F212" s="30" t="str">
        <f t="shared" si="11"/>
        <v>AVC106 MALE THREAD SOCKET 1" X 3/4</v>
      </c>
      <c r="I212" s="31" t="str">
        <f>VLOOKUP(D212,'[1]NEW PRICE LIST'!$C$4:$D$1917,2,FALSE)</f>
        <v>180PCS/CTN</v>
      </c>
      <c r="J212" s="13" t="s">
        <v>300</v>
      </c>
      <c r="K212" s="32">
        <f>VLOOKUP(D212,'[1]NEW PRICE LIST'!$C$4:$H$1917,3,FALSE)</f>
        <v>143</v>
      </c>
      <c r="L212" s="13">
        <v>100</v>
      </c>
      <c r="M212" s="13">
        <v>0</v>
      </c>
      <c r="N212" s="13">
        <v>20</v>
      </c>
      <c r="P212" s="13" t="s">
        <v>3629</v>
      </c>
    </row>
    <row r="213" spans="1:16" x14ac:dyDescent="0.25">
      <c r="A213" s="14" t="str">
        <f t="shared" si="12"/>
        <v>AVT0000212</v>
      </c>
      <c r="B213" s="13" t="str">
        <f>VLOOKUP(D213,'SUPPLIER_ITEMS (1st Tools)'!C314:D2041,2,FALSE)</f>
        <v>1ST-358-313</v>
      </c>
      <c r="C213" s="14" t="s">
        <v>228</v>
      </c>
      <c r="D213" s="18" t="s">
        <v>3705</v>
      </c>
      <c r="F213" s="30" t="str">
        <f t="shared" si="11"/>
        <v>AVC107 MALE THREAD SOCKET 1" X 1"</v>
      </c>
      <c r="I213" s="31" t="str">
        <f>VLOOKUP(D213,'[1]NEW PRICE LIST'!$C$4:$D$1917,2,FALSE)</f>
        <v>100PCS/CTN</v>
      </c>
      <c r="J213" s="13" t="s">
        <v>300</v>
      </c>
      <c r="K213" s="32">
        <f>VLOOKUP(D213,'[1]NEW PRICE LIST'!$C$4:$H$1917,3,FALSE)</f>
        <v>252</v>
      </c>
      <c r="L213" s="13">
        <v>100</v>
      </c>
      <c r="M213" s="13">
        <v>0</v>
      </c>
      <c r="N213" s="13">
        <v>20</v>
      </c>
      <c r="P213" s="13" t="s">
        <v>3629</v>
      </c>
    </row>
    <row r="214" spans="1:16" x14ac:dyDescent="0.25">
      <c r="A214" s="14" t="str">
        <f t="shared" si="12"/>
        <v>AVT0000213</v>
      </c>
      <c r="B214" s="13" t="str">
        <f>VLOOKUP(D214,'SUPPLIER_ITEMS (1st Tools)'!C315:D2042,2,FALSE)</f>
        <v>1ST-358-314</v>
      </c>
      <c r="C214" s="14" t="s">
        <v>228</v>
      </c>
      <c r="D214" s="18" t="s">
        <v>3706</v>
      </c>
      <c r="F214" s="30" t="str">
        <f t="shared" si="11"/>
        <v>AVC114 MALE SOCKET S25 x 1</v>
      </c>
      <c r="I214" s="31" t="str">
        <f>VLOOKUP(D214,'[1]NEW PRICE LIST'!$C$4:$D$1917,2,FALSE)</f>
        <v>120PCS/CTN</v>
      </c>
      <c r="J214" s="13" t="s">
        <v>300</v>
      </c>
      <c r="K214" s="32">
        <f>VLOOKUP(D214,'[1]NEW PRICE LIST'!$C$4:$H$1917,3,FALSE)</f>
        <v>175</v>
      </c>
      <c r="L214" s="13">
        <v>100</v>
      </c>
      <c r="M214" s="13">
        <v>0</v>
      </c>
      <c r="N214" s="13">
        <v>20</v>
      </c>
      <c r="P214" s="13" t="s">
        <v>3629</v>
      </c>
    </row>
    <row r="215" spans="1:16" x14ac:dyDescent="0.25">
      <c r="A215" s="14" t="str">
        <f t="shared" si="12"/>
        <v>AVT0000214</v>
      </c>
      <c r="B215" s="13" t="str">
        <f>VLOOKUP(D215,'SUPPLIER_ITEMS (1st Tools)'!C316:D2043,2,FALSE)</f>
        <v>1ST-358-315</v>
      </c>
      <c r="C215" s="14" t="s">
        <v>229</v>
      </c>
      <c r="D215" s="18" t="s">
        <v>1022</v>
      </c>
      <c r="F215" s="30" t="str">
        <f t="shared" si="11"/>
        <v>AVC201 COUPLING 1/2</v>
      </c>
      <c r="I215" s="31" t="str">
        <f>VLOOKUP(D215,'[1]NEW PRICE LIST'!$C$4:$D$1917,2,FALSE)</f>
        <v>1400PCS/CTN</v>
      </c>
      <c r="J215" s="13" t="s">
        <v>300</v>
      </c>
      <c r="K215" s="32">
        <f>VLOOKUP(D215,'[1]NEW PRICE LIST'!$C$4:$H$1917,3,FALSE)</f>
        <v>5.5</v>
      </c>
      <c r="L215" s="13">
        <v>100</v>
      </c>
      <c r="M215" s="13">
        <v>0</v>
      </c>
      <c r="N215" s="13">
        <v>20</v>
      </c>
      <c r="P215" s="13" t="s">
        <v>3629</v>
      </c>
    </row>
    <row r="216" spans="1:16" x14ac:dyDescent="0.25">
      <c r="A216" s="14" t="str">
        <f t="shared" si="12"/>
        <v>AVT0000215</v>
      </c>
      <c r="B216" s="13" t="str">
        <f>VLOOKUP(D216,'SUPPLIER_ITEMS (1st Tools)'!C317:D2044,2,FALSE)</f>
        <v>1ST-358-316</v>
      </c>
      <c r="C216" s="14" t="s">
        <v>229</v>
      </c>
      <c r="D216" s="18" t="s">
        <v>1024</v>
      </c>
      <c r="F216" s="30" t="str">
        <f t="shared" si="11"/>
        <v>AVC202 COUPLING 3/4</v>
      </c>
      <c r="I216" s="31" t="str">
        <f>VLOOKUP(D216,'[1]NEW PRICE LIST'!$C$4:$D$1917,2,FALSE)</f>
        <v>900PCS/CTN</v>
      </c>
      <c r="J216" s="13" t="s">
        <v>300</v>
      </c>
      <c r="K216" s="32">
        <f>VLOOKUP(D216,'[1]NEW PRICE LIST'!$C$4:$H$1917,3,FALSE)</f>
        <v>6.75</v>
      </c>
      <c r="L216" s="13">
        <v>100</v>
      </c>
      <c r="M216" s="13">
        <v>0</v>
      </c>
      <c r="N216" s="13">
        <v>20</v>
      </c>
      <c r="P216" s="13" t="s">
        <v>3629</v>
      </c>
    </row>
    <row r="217" spans="1:16" x14ac:dyDescent="0.25">
      <c r="A217" s="14" t="str">
        <f t="shared" si="12"/>
        <v>AVT0000216</v>
      </c>
      <c r="B217" s="13" t="str">
        <f>VLOOKUP(D217,'SUPPLIER_ITEMS (1st Tools)'!C318:D2045,2,FALSE)</f>
        <v>1ST-358-317</v>
      </c>
      <c r="C217" s="14" t="s">
        <v>229</v>
      </c>
      <c r="D217" s="18" t="s">
        <v>3707</v>
      </c>
      <c r="F217" s="30" t="str">
        <f t="shared" si="11"/>
        <v>AVC203 COUPLING 1"</v>
      </c>
      <c r="I217" s="31" t="str">
        <f>VLOOKUP(D217,'[1]NEW PRICE LIST'!$C$4:$D$1917,2,FALSE)</f>
        <v>500PCS/CTN</v>
      </c>
      <c r="J217" s="13" t="s">
        <v>300</v>
      </c>
      <c r="K217" s="32">
        <f>VLOOKUP(D217,'[1]NEW PRICE LIST'!$C$4:$H$1917,3,FALSE)</f>
        <v>10.75</v>
      </c>
      <c r="L217" s="13">
        <v>100</v>
      </c>
      <c r="M217" s="13">
        <v>0</v>
      </c>
      <c r="N217" s="13">
        <v>20</v>
      </c>
      <c r="P217" s="13" t="s">
        <v>3629</v>
      </c>
    </row>
    <row r="218" spans="1:16" x14ac:dyDescent="0.25">
      <c r="A218" s="14" t="str">
        <f t="shared" si="12"/>
        <v>AVT0000217</v>
      </c>
      <c r="B218" s="13" t="str">
        <f>VLOOKUP(D218,'SUPPLIER_ITEMS (1st Tools)'!C319:D2046,2,FALSE)</f>
        <v>1ST-358-318</v>
      </c>
      <c r="C218" s="14" t="s">
        <v>229</v>
      </c>
      <c r="D218" s="18" t="s">
        <v>3708</v>
      </c>
      <c r="F218" s="30" t="str">
        <f t="shared" si="11"/>
        <v>AVC204 COUPLING 1"1/4</v>
      </c>
      <c r="I218" s="31" t="str">
        <f>VLOOKUP(D218,'[1]NEW PRICE LIST'!$C$4:$D$1917,2,FALSE)</f>
        <v>300PCS/CTN</v>
      </c>
      <c r="J218" s="13" t="s">
        <v>300</v>
      </c>
      <c r="K218" s="32">
        <f>VLOOKUP(D218,'[1]NEW PRICE LIST'!$C$4:$H$1917,3,FALSE)</f>
        <v>20.25</v>
      </c>
      <c r="L218" s="13">
        <v>100</v>
      </c>
      <c r="M218" s="13">
        <v>0</v>
      </c>
      <c r="N218" s="13">
        <v>20</v>
      </c>
      <c r="P218" s="13" t="s">
        <v>3629</v>
      </c>
    </row>
    <row r="219" spans="1:16" x14ac:dyDescent="0.25">
      <c r="A219" s="14" t="str">
        <f t="shared" si="12"/>
        <v>AVT0000218</v>
      </c>
      <c r="B219" s="13" t="str">
        <f>VLOOKUP(D219,'SUPPLIER_ITEMS (1st Tools)'!C320:D2047,2,FALSE)</f>
        <v>1ST-358-319</v>
      </c>
      <c r="C219" s="14" t="s">
        <v>229</v>
      </c>
      <c r="D219" s="18" t="s">
        <v>3709</v>
      </c>
      <c r="F219" s="30" t="str">
        <f t="shared" si="11"/>
        <v>AVC205 COUPLING 1"1/2</v>
      </c>
      <c r="I219" s="31" t="str">
        <f>VLOOKUP(D219,'[1]NEW PRICE LIST'!$C$4:$D$1917,2,FALSE)</f>
        <v>180PCS/CTN</v>
      </c>
      <c r="J219" s="13" t="s">
        <v>300</v>
      </c>
      <c r="K219" s="32">
        <f>VLOOKUP(D219,'[1]NEW PRICE LIST'!$C$4:$H$1917,3,FALSE)</f>
        <v>34.35</v>
      </c>
      <c r="L219" s="13">
        <v>100</v>
      </c>
      <c r="M219" s="13">
        <v>0</v>
      </c>
      <c r="N219" s="13">
        <v>20</v>
      </c>
      <c r="P219" s="13" t="s">
        <v>3629</v>
      </c>
    </row>
    <row r="220" spans="1:16" x14ac:dyDescent="0.25">
      <c r="A220" s="14" t="str">
        <f t="shared" si="12"/>
        <v>AVT0000219</v>
      </c>
      <c r="B220" s="13" t="str">
        <f>VLOOKUP(D220,'SUPPLIER_ITEMS (1st Tools)'!C321:D2048,2,FALSE)</f>
        <v>1ST-358-320</v>
      </c>
      <c r="C220" s="14" t="s">
        <v>229</v>
      </c>
      <c r="D220" s="18" t="s">
        <v>3710</v>
      </c>
      <c r="F220" s="30" t="str">
        <f t="shared" si="11"/>
        <v>AVC206 COUPLING 2"</v>
      </c>
      <c r="I220" s="31" t="str">
        <f>VLOOKUP(D220,'[1]NEW PRICE LIST'!$C$4:$D$1917,2,FALSE)</f>
        <v>100PCS/CTN</v>
      </c>
      <c r="J220" s="13" t="s">
        <v>300</v>
      </c>
      <c r="K220" s="32">
        <f>VLOOKUP(D220,'[1]NEW PRICE LIST'!$C$4:$H$1917,3,FALSE)</f>
        <v>56</v>
      </c>
      <c r="L220" s="13">
        <v>100</v>
      </c>
      <c r="M220" s="13">
        <v>0</v>
      </c>
      <c r="N220" s="13">
        <v>20</v>
      </c>
      <c r="P220" s="13" t="s">
        <v>3629</v>
      </c>
    </row>
    <row r="221" spans="1:16" x14ac:dyDescent="0.25">
      <c r="A221" s="14" t="str">
        <f t="shared" si="12"/>
        <v>AVT0000220</v>
      </c>
      <c r="B221" s="13" t="str">
        <f>VLOOKUP(D221,'SUPPLIER_ITEMS (1st Tools)'!C322:D2049,2,FALSE)</f>
        <v>1ST-358-321</v>
      </c>
      <c r="C221" s="14" t="s">
        <v>223</v>
      </c>
      <c r="D221" s="18" t="s">
        <v>1030</v>
      </c>
      <c r="F221" s="30" t="str">
        <f t="shared" si="11"/>
        <v>AVC301 COUPLING REDUCER 3/4 X 1/2</v>
      </c>
      <c r="I221" s="31" t="str">
        <f>VLOOKUP(D221,'[1]NEW PRICE LIST'!$C$4:$D$1917,2,FALSE)</f>
        <v>1000PCS/CTN</v>
      </c>
      <c r="J221" s="13" t="s">
        <v>300</v>
      </c>
      <c r="K221" s="32">
        <f>VLOOKUP(D221,'[1]NEW PRICE LIST'!$C$4:$H$1917,3,FALSE)</f>
        <v>6.5</v>
      </c>
      <c r="L221" s="13">
        <v>100</v>
      </c>
      <c r="M221" s="13">
        <v>0</v>
      </c>
      <c r="N221" s="13">
        <v>20</v>
      </c>
      <c r="P221" s="13" t="s">
        <v>3629</v>
      </c>
    </row>
    <row r="222" spans="1:16" x14ac:dyDescent="0.25">
      <c r="A222" s="14" t="str">
        <f t="shared" si="12"/>
        <v>AVT0000221</v>
      </c>
      <c r="B222" s="13" t="str">
        <f>VLOOKUP(D222,'SUPPLIER_ITEMS (1st Tools)'!C323:D2050,2,FALSE)</f>
        <v>1ST-358-322</v>
      </c>
      <c r="C222" s="14" t="s">
        <v>223</v>
      </c>
      <c r="D222" s="18" t="s">
        <v>3711</v>
      </c>
      <c r="F222" s="30" t="str">
        <f t="shared" ref="F222:F285" si="13">"AV"&amp;RIGHT(D222,LEN(D222)-2)</f>
        <v>AVC302 COUPLING REDUCER 1 X 1/2</v>
      </c>
      <c r="I222" s="31" t="str">
        <f>VLOOKUP(D222,'[1]NEW PRICE LIST'!$C$4:$D$1917,2,FALSE)</f>
        <v>700PCS/CTN</v>
      </c>
      <c r="J222" s="13" t="s">
        <v>300</v>
      </c>
      <c r="K222" s="32">
        <f>VLOOKUP(D222,'[1]NEW PRICE LIST'!$C$4:$H$1917,3,FALSE)</f>
        <v>8.5</v>
      </c>
      <c r="L222" s="13">
        <v>100</v>
      </c>
      <c r="M222" s="13">
        <v>0</v>
      </c>
      <c r="N222" s="13">
        <v>20</v>
      </c>
      <c r="P222" s="13" t="s">
        <v>3629</v>
      </c>
    </row>
    <row r="223" spans="1:16" x14ac:dyDescent="0.25">
      <c r="A223" s="14" t="str">
        <f t="shared" si="12"/>
        <v>AVT0000222</v>
      </c>
      <c r="B223" s="13" t="str">
        <f>VLOOKUP(D223,'SUPPLIER_ITEMS (1st Tools)'!C324:D2051,2,FALSE)</f>
        <v>1ST-358-323</v>
      </c>
      <c r="C223" s="14" t="s">
        <v>223</v>
      </c>
      <c r="D223" s="18" t="s">
        <v>3712</v>
      </c>
      <c r="F223" s="30" t="str">
        <f t="shared" si="13"/>
        <v>AVC303 COUPLING REDUCER 1 X 3/4</v>
      </c>
      <c r="I223" s="31" t="str">
        <f>VLOOKUP(D223,'[1]NEW PRICE LIST'!$C$4:$D$1917,2,FALSE)</f>
        <v>600PCS/CTN</v>
      </c>
      <c r="J223" s="13" t="s">
        <v>300</v>
      </c>
      <c r="K223" s="32">
        <f>VLOOKUP(D223,'[1]NEW PRICE LIST'!$C$4:$H$1917,3,FALSE)</f>
        <v>9.75</v>
      </c>
      <c r="L223" s="13">
        <v>100</v>
      </c>
      <c r="M223" s="13">
        <v>0</v>
      </c>
      <c r="N223" s="13">
        <v>20</v>
      </c>
      <c r="P223" s="13" t="s">
        <v>3629</v>
      </c>
    </row>
    <row r="224" spans="1:16" x14ac:dyDescent="0.25">
      <c r="A224" s="14" t="str">
        <f t="shared" si="12"/>
        <v>AVT0000223</v>
      </c>
      <c r="B224" s="13" t="str">
        <f>VLOOKUP(D224,'SUPPLIER_ITEMS (1st Tools)'!C325:D2052,2,FALSE)</f>
        <v>1ST-358-324</v>
      </c>
      <c r="C224" s="14" t="s">
        <v>224</v>
      </c>
      <c r="D224" s="18" t="s">
        <v>1033</v>
      </c>
      <c r="F224" s="30" t="str">
        <f t="shared" si="13"/>
        <v>AVD001 END CAP 1/2</v>
      </c>
      <c r="I224" s="31" t="str">
        <f>VLOOKUP(D224,'[1]NEW PRICE LIST'!$C$4:$D$1917,2,FALSE)</f>
        <v>2500PCS/CTN</v>
      </c>
      <c r="J224" s="13" t="s">
        <v>300</v>
      </c>
      <c r="K224" s="32">
        <f>VLOOKUP(D224,'[1]NEW PRICE LIST'!$C$4:$H$1917,3,FALSE)</f>
        <v>4.25</v>
      </c>
      <c r="L224" s="13">
        <v>100</v>
      </c>
      <c r="M224" s="13">
        <v>0</v>
      </c>
      <c r="N224" s="13">
        <v>20</v>
      </c>
      <c r="P224" s="13" t="s">
        <v>3629</v>
      </c>
    </row>
    <row r="225" spans="1:16" x14ac:dyDescent="0.25">
      <c r="A225" s="14" t="str">
        <f t="shared" si="12"/>
        <v>AVT0000224</v>
      </c>
      <c r="B225" s="13" t="str">
        <f>VLOOKUP(D225,'SUPPLIER_ITEMS (1st Tools)'!C326:D2053,2,FALSE)</f>
        <v>1ST-358-325</v>
      </c>
      <c r="C225" s="14" t="s">
        <v>224</v>
      </c>
      <c r="D225" s="18" t="s">
        <v>1035</v>
      </c>
      <c r="F225" s="30" t="str">
        <f t="shared" si="13"/>
        <v>AVD002 END CAP 3/4</v>
      </c>
      <c r="I225" s="31" t="str">
        <f>VLOOKUP(D225,'[1]NEW PRICE LIST'!$C$4:$D$1917,2,FALSE)</f>
        <v>1400PCS/CTN</v>
      </c>
      <c r="J225" s="13" t="s">
        <v>300</v>
      </c>
      <c r="K225" s="32">
        <f>VLOOKUP(D225,'[1]NEW PRICE LIST'!$C$4:$H$1917,3,FALSE)</f>
        <v>5.5</v>
      </c>
      <c r="L225" s="13">
        <v>100</v>
      </c>
      <c r="M225" s="13">
        <v>0</v>
      </c>
      <c r="N225" s="13">
        <v>20</v>
      </c>
      <c r="P225" s="13" t="s">
        <v>3629</v>
      </c>
    </row>
    <row r="226" spans="1:16" x14ac:dyDescent="0.25">
      <c r="A226" s="14" t="str">
        <f t="shared" si="12"/>
        <v>AVT0000225</v>
      </c>
      <c r="B226" s="13" t="str">
        <f>VLOOKUP(D226,'SUPPLIER_ITEMS (1st Tools)'!C327:D2054,2,FALSE)</f>
        <v>1ST-358-326</v>
      </c>
      <c r="C226" s="14" t="s">
        <v>224</v>
      </c>
      <c r="D226" s="18" t="s">
        <v>1037</v>
      </c>
      <c r="F226" s="30" t="str">
        <f t="shared" si="13"/>
        <v>AVD003 END CAP 1"</v>
      </c>
      <c r="I226" s="31" t="str">
        <f>VLOOKUP(D226,'[1]NEW PRICE LIST'!$C$4:$D$1917,2,FALSE)</f>
        <v>1000PCS/CTN</v>
      </c>
      <c r="J226" s="13" t="s">
        <v>300</v>
      </c>
      <c r="K226" s="32">
        <f>VLOOKUP(D226,'[1]NEW PRICE LIST'!$C$4:$H$1917,3,FALSE)</f>
        <v>9.75</v>
      </c>
      <c r="L226" s="13">
        <v>100</v>
      </c>
      <c r="M226" s="13">
        <v>0</v>
      </c>
      <c r="N226" s="13">
        <v>20</v>
      </c>
      <c r="P226" s="13" t="s">
        <v>3629</v>
      </c>
    </row>
    <row r="227" spans="1:16" x14ac:dyDescent="0.25">
      <c r="A227" s="14" t="str">
        <f t="shared" si="12"/>
        <v>AVT0000226</v>
      </c>
      <c r="B227" s="13" t="str">
        <f>VLOOKUP(D227,'SUPPLIER_ITEMS (1st Tools)'!C328:D2055,2,FALSE)</f>
        <v>1ST-358-327</v>
      </c>
      <c r="C227" s="14" t="s">
        <v>225</v>
      </c>
      <c r="D227" s="18" t="s">
        <v>1038</v>
      </c>
      <c r="F227" s="30" t="str">
        <f t="shared" si="13"/>
        <v>AVD101 PIPE PLUG 1/2</v>
      </c>
      <c r="I227" s="31" t="str">
        <f>VLOOKUP(D227,'[1]NEW PRICE LIST'!$C$4:$D$1917,2,FALSE)</f>
        <v>3600PCS/CTN</v>
      </c>
      <c r="J227" s="13" t="s">
        <v>300</v>
      </c>
      <c r="K227" s="32">
        <f>VLOOKUP(D227,'[1]NEW PRICE LIST'!$C$4:$H$1917,3,FALSE)</f>
        <v>3</v>
      </c>
      <c r="L227" s="13">
        <v>100</v>
      </c>
      <c r="M227" s="13">
        <v>0</v>
      </c>
      <c r="N227" s="13">
        <v>20</v>
      </c>
      <c r="P227" s="13" t="s">
        <v>3629</v>
      </c>
    </row>
    <row r="228" spans="1:16" x14ac:dyDescent="0.25">
      <c r="A228" s="14" t="str">
        <f t="shared" si="12"/>
        <v>AVT0000227</v>
      </c>
      <c r="B228" s="13" t="str">
        <f>VLOOKUP(D228,'SUPPLIER_ITEMS (1st Tools)'!C329:D2056,2,FALSE)</f>
        <v>1ST-358-328</v>
      </c>
      <c r="C228" s="14" t="s">
        <v>225</v>
      </c>
      <c r="D228" s="18" t="s">
        <v>1040</v>
      </c>
      <c r="F228" s="30" t="str">
        <f t="shared" si="13"/>
        <v>AVD102 PIPE PLUG 3/4</v>
      </c>
      <c r="I228" s="31" t="str">
        <f>VLOOKUP(D228,'[1]NEW PRICE LIST'!$C$4:$D$1917,2,FALSE)</f>
        <v>2000PCS/CTN</v>
      </c>
      <c r="J228" s="13" t="s">
        <v>300</v>
      </c>
      <c r="K228" s="32">
        <f>VLOOKUP(D228,'[1]NEW PRICE LIST'!$C$4:$H$1917,3,FALSE)</f>
        <v>4</v>
      </c>
      <c r="L228" s="13">
        <v>100</v>
      </c>
      <c r="M228" s="13">
        <v>0</v>
      </c>
      <c r="N228" s="13">
        <v>20</v>
      </c>
      <c r="P228" s="13" t="s">
        <v>3629</v>
      </c>
    </row>
    <row r="229" spans="1:16" x14ac:dyDescent="0.25">
      <c r="A229" s="14" t="str">
        <f t="shared" si="12"/>
        <v>AVT0000228</v>
      </c>
      <c r="B229" s="13" t="str">
        <f>VLOOKUP(D229,'SUPPLIER_ITEMS (1st Tools)'!C330:D2057,2,FALSE)</f>
        <v>1ST-358-329</v>
      </c>
      <c r="C229" s="14" t="s">
        <v>225</v>
      </c>
      <c r="D229" s="18" t="s">
        <v>1041</v>
      </c>
      <c r="F229" s="30" t="str">
        <f t="shared" si="13"/>
        <v>AVD103 PIPE PLUG 1"</v>
      </c>
      <c r="I229" s="31" t="str">
        <f>VLOOKUP(D229,'[1]NEW PRICE LIST'!$C$4:$D$1917,2,FALSE)</f>
        <v>1500PCS/CTN</v>
      </c>
      <c r="J229" s="13" t="s">
        <v>300</v>
      </c>
      <c r="K229" s="32">
        <f>VLOOKUP(D229,'[1]NEW PRICE LIST'!$C$4:$H$1917,3,FALSE)</f>
        <v>6.5</v>
      </c>
      <c r="L229" s="13">
        <v>100</v>
      </c>
      <c r="M229" s="13">
        <v>0</v>
      </c>
      <c r="N229" s="13">
        <v>20</v>
      </c>
      <c r="P229" s="13" t="s">
        <v>3629</v>
      </c>
    </row>
    <row r="230" spans="1:16" x14ac:dyDescent="0.25">
      <c r="A230" s="14" t="str">
        <f t="shared" si="12"/>
        <v>AVT0000229</v>
      </c>
      <c r="B230" s="13" t="str">
        <f>VLOOKUP(D230,'SUPPLIER_ITEMS (1st Tools)'!C331:D2058,2,FALSE)</f>
        <v>1ST-358-330</v>
      </c>
      <c r="C230" s="14" t="s">
        <v>226</v>
      </c>
      <c r="D230" s="19" t="s">
        <v>3713</v>
      </c>
      <c r="F230" s="30" t="str">
        <f t="shared" si="13"/>
        <v>AVL001 FEMALE THREAD ELBOW 1/2 X 1/2</v>
      </c>
      <c r="I230" s="31" t="str">
        <f>VLOOKUP(D230,'[1]NEW PRICE LIST'!$C$4:$D$1917,2,FALSE)</f>
        <v>250PCS/CTN</v>
      </c>
      <c r="J230" s="13" t="s">
        <v>300</v>
      </c>
      <c r="K230" s="32">
        <f>VLOOKUP(D230,'[1]NEW PRICE LIST'!$C$4:$H$1917,3,FALSE)</f>
        <v>54.75</v>
      </c>
      <c r="L230" s="13">
        <v>100</v>
      </c>
      <c r="M230" s="13">
        <v>0</v>
      </c>
      <c r="N230" s="13">
        <v>20</v>
      </c>
      <c r="P230" s="13" t="s">
        <v>3629</v>
      </c>
    </row>
    <row r="231" spans="1:16" x14ac:dyDescent="0.25">
      <c r="A231" s="14" t="str">
        <f t="shared" si="12"/>
        <v>AVT0000230</v>
      </c>
      <c r="B231" s="13" t="str">
        <f>VLOOKUP(D231,'SUPPLIER_ITEMS (1st Tools)'!C332:D2059,2,FALSE)</f>
        <v>1ST-358-331</v>
      </c>
      <c r="C231" s="14" t="s">
        <v>226</v>
      </c>
      <c r="D231" s="19" t="s">
        <v>1044</v>
      </c>
      <c r="F231" s="30" t="str">
        <f t="shared" si="13"/>
        <v>AVL002 FEMALE THREAD ELBOW 1/2 X 3/4</v>
      </c>
      <c r="I231" s="31" t="str">
        <f>VLOOKUP(D231,'[1]NEW PRICE LIST'!$C$4:$D$1917,2,FALSE)</f>
        <v>200PCS/CTN</v>
      </c>
      <c r="J231" s="13" t="s">
        <v>300</v>
      </c>
      <c r="K231" s="32">
        <f>VLOOKUP(D231,'[1]NEW PRICE LIST'!$C$4:$H$1917,3,FALSE)</f>
        <v>69.5</v>
      </c>
      <c r="L231" s="13">
        <v>100</v>
      </c>
      <c r="M231" s="13">
        <v>0</v>
      </c>
      <c r="N231" s="13">
        <v>20</v>
      </c>
      <c r="P231" s="13" t="s">
        <v>3629</v>
      </c>
    </row>
    <row r="232" spans="1:16" x14ac:dyDescent="0.25">
      <c r="A232" s="14" t="str">
        <f t="shared" si="12"/>
        <v>AVT0000231</v>
      </c>
      <c r="B232" s="13" t="str">
        <f>VLOOKUP(D232,'SUPPLIER_ITEMS (1st Tools)'!C333:D2060,2,FALSE)</f>
        <v>1ST-358-332</v>
      </c>
      <c r="C232" s="14" t="s">
        <v>226</v>
      </c>
      <c r="D232" s="19" t="s">
        <v>3714</v>
      </c>
      <c r="F232" s="30" t="str">
        <f t="shared" si="13"/>
        <v>AVL003 FEMALE THREAD ELBOW 3/4 X 1/2</v>
      </c>
      <c r="I232" s="31" t="str">
        <f>VLOOKUP(D232,'[1]NEW PRICE LIST'!$C$4:$D$1917,2,FALSE)</f>
        <v>200PCS/CTN</v>
      </c>
      <c r="J232" s="13" t="s">
        <v>300</v>
      </c>
      <c r="K232" s="32">
        <f>VLOOKUP(D232,'[1]NEW PRICE LIST'!$C$4:$H$1917,3,FALSE)</f>
        <v>71.5</v>
      </c>
      <c r="L232" s="13">
        <v>100</v>
      </c>
      <c r="M232" s="13">
        <v>0</v>
      </c>
      <c r="N232" s="13">
        <v>20</v>
      </c>
      <c r="P232" s="13" t="s">
        <v>3629</v>
      </c>
    </row>
    <row r="233" spans="1:16" x14ac:dyDescent="0.25">
      <c r="A233" s="14" t="str">
        <f t="shared" si="12"/>
        <v>AVT0000232</v>
      </c>
      <c r="B233" s="13" t="str">
        <f>VLOOKUP(D233,'SUPPLIER_ITEMS (1st Tools)'!C334:D2061,2,FALSE)</f>
        <v>1ST-358-333</v>
      </c>
      <c r="C233" s="14" t="s">
        <v>226</v>
      </c>
      <c r="D233" s="19" t="s">
        <v>3715</v>
      </c>
      <c r="F233" s="30" t="str">
        <f t="shared" si="13"/>
        <v>AVL004 FEMALE THREAD ELBOW 3/4 X 3/4</v>
      </c>
      <c r="I233" s="31" t="str">
        <f>VLOOKUP(D233,'[1]NEW PRICE LIST'!$C$4:$D$1917,2,FALSE)</f>
        <v>160PCS/CTN</v>
      </c>
      <c r="J233" s="13" t="s">
        <v>300</v>
      </c>
      <c r="K233" s="32">
        <f>VLOOKUP(D233,'[1]NEW PRICE LIST'!$C$4:$H$1917,3,FALSE)</f>
        <v>84</v>
      </c>
      <c r="L233" s="13">
        <v>100</v>
      </c>
      <c r="M233" s="13">
        <v>0</v>
      </c>
      <c r="N233" s="13">
        <v>20</v>
      </c>
      <c r="P233" s="13" t="s">
        <v>3629</v>
      </c>
    </row>
    <row r="234" spans="1:16" x14ac:dyDescent="0.25">
      <c r="A234" s="14" t="str">
        <f t="shared" si="12"/>
        <v>AVT0000233</v>
      </c>
      <c r="B234" s="13" t="str">
        <f>VLOOKUP(D234,'SUPPLIER_ITEMS (1st Tools)'!C335:D2062,2,FALSE)</f>
        <v>1ST-358-334</v>
      </c>
      <c r="C234" s="14" t="s">
        <v>226</v>
      </c>
      <c r="D234" s="19" t="s">
        <v>1048</v>
      </c>
      <c r="F234" s="30" t="str">
        <f t="shared" si="13"/>
        <v>AVL005 FEMALE THREAD ELBOW 1" X 1/2</v>
      </c>
      <c r="I234" s="31" t="str">
        <f>VLOOKUP(D234,'[1]NEW PRICE LIST'!$C$4:$D$1917,2,FALSE)</f>
        <v>130PCS/CTN</v>
      </c>
      <c r="J234" s="13" t="s">
        <v>300</v>
      </c>
      <c r="K234" s="32">
        <f>VLOOKUP(D234,'[1]NEW PRICE LIST'!$C$4:$H$1917,3,FALSE)</f>
        <v>89.5</v>
      </c>
      <c r="L234" s="13">
        <v>100</v>
      </c>
      <c r="M234" s="13">
        <v>0</v>
      </c>
      <c r="N234" s="13">
        <v>20</v>
      </c>
      <c r="P234" s="13" t="s">
        <v>3629</v>
      </c>
    </row>
    <row r="235" spans="1:16" x14ac:dyDescent="0.25">
      <c r="A235" s="14" t="str">
        <f t="shared" si="12"/>
        <v>AVT0000234</v>
      </c>
      <c r="B235" s="13" t="str">
        <f>VLOOKUP(D235,'SUPPLIER_ITEMS (1st Tools)'!C336:D2063,2,FALSE)</f>
        <v>1ST-358-335</v>
      </c>
      <c r="C235" s="14" t="s">
        <v>226</v>
      </c>
      <c r="D235" s="19" t="s">
        <v>3716</v>
      </c>
      <c r="F235" s="30" t="str">
        <f t="shared" si="13"/>
        <v>AVL006 FEMALE THREAD ELBOW 1" X 3/4</v>
      </c>
      <c r="I235" s="31" t="str">
        <f>VLOOKUP(D235,'[1]NEW PRICE LIST'!$C$4:$D$1917,2,FALSE)</f>
        <v>120PCS/CTN</v>
      </c>
      <c r="J235" s="13" t="s">
        <v>300</v>
      </c>
      <c r="K235" s="32">
        <f>VLOOKUP(D235,'[1]NEW PRICE LIST'!$C$4:$H$1917,3,FALSE)</f>
        <v>143</v>
      </c>
      <c r="L235" s="13">
        <v>100</v>
      </c>
      <c r="M235" s="13">
        <v>0</v>
      </c>
      <c r="N235" s="13">
        <v>20</v>
      </c>
      <c r="P235" s="13" t="s">
        <v>3629</v>
      </c>
    </row>
    <row r="236" spans="1:16" x14ac:dyDescent="0.25">
      <c r="A236" s="14" t="str">
        <f t="shared" si="12"/>
        <v>AVT0000235</v>
      </c>
      <c r="B236" s="13" t="str">
        <f>VLOOKUP(D236,'SUPPLIER_ITEMS (1st Tools)'!C337:D2064,2,FALSE)</f>
        <v>1ST-358-336</v>
      </c>
      <c r="C236" s="14" t="s">
        <v>226</v>
      </c>
      <c r="D236" s="19" t="s">
        <v>1050</v>
      </c>
      <c r="F236" s="30" t="str">
        <f t="shared" si="13"/>
        <v>AVL007 FEMALE THREAD ELBOW 1"</v>
      </c>
      <c r="I236" s="31" t="str">
        <f>VLOOKUP(D236,'[1]NEW PRICE LIST'!$C$4:$D$1917,2,FALSE)</f>
        <v>80PCS/CTN</v>
      </c>
      <c r="J236" s="13" t="s">
        <v>300</v>
      </c>
      <c r="K236" s="32">
        <f>VLOOKUP(D236,'[1]NEW PRICE LIST'!$C$4:$H$1917,3,FALSE)</f>
        <v>196</v>
      </c>
      <c r="L236" s="13">
        <v>100</v>
      </c>
      <c r="M236" s="13">
        <v>0</v>
      </c>
      <c r="N236" s="13">
        <v>20</v>
      </c>
      <c r="P236" s="13" t="s">
        <v>3629</v>
      </c>
    </row>
    <row r="237" spans="1:16" x14ac:dyDescent="0.25">
      <c r="A237" s="14" t="str">
        <f t="shared" si="12"/>
        <v>AVT0000236</v>
      </c>
      <c r="B237" s="13" t="str">
        <f>VLOOKUP(D237,'SUPPLIER_ITEMS (1st Tools)'!C338:D2065,2,FALSE)</f>
        <v>1ST-358-337</v>
      </c>
      <c r="C237" s="14" t="s">
        <v>219</v>
      </c>
      <c r="D237" s="18" t="s">
        <v>1052</v>
      </c>
      <c r="F237" s="30" t="str">
        <f t="shared" si="13"/>
        <v>AVL101 MALE THEAD ELBOW 1/2 X 1/2</v>
      </c>
      <c r="I237" s="31" t="str">
        <f>VLOOKUP(D237,'[1]NEW PRICE LIST'!$C$4:$D$1917,2,FALSE)</f>
        <v>240PCS/CTN</v>
      </c>
      <c r="J237" s="13" t="s">
        <v>300</v>
      </c>
      <c r="K237" s="32">
        <f>VLOOKUP(D237,'[1]NEW PRICE LIST'!$C$4:$H$1917,3,FALSE)</f>
        <v>70.5</v>
      </c>
      <c r="L237" s="13">
        <v>100</v>
      </c>
      <c r="M237" s="13">
        <v>0</v>
      </c>
      <c r="N237" s="13">
        <v>20</v>
      </c>
      <c r="P237" s="13" t="s">
        <v>3629</v>
      </c>
    </row>
    <row r="238" spans="1:16" x14ac:dyDescent="0.25">
      <c r="A238" s="14" t="str">
        <f t="shared" si="12"/>
        <v>AVT0000237</v>
      </c>
      <c r="B238" s="13" t="str">
        <f>VLOOKUP(D238,'SUPPLIER_ITEMS (1st Tools)'!C339:D2066,2,FALSE)</f>
        <v>1ST-358-338</v>
      </c>
      <c r="C238" s="14" t="s">
        <v>219</v>
      </c>
      <c r="D238" s="18" t="s">
        <v>1054</v>
      </c>
      <c r="F238" s="30" t="str">
        <f t="shared" si="13"/>
        <v>AVL102 MALE THREAD ELBOW 1/2 X 3/4</v>
      </c>
      <c r="I238" s="31" t="str">
        <f>VLOOKUP(D238,'[1]NEW PRICE LIST'!$C$4:$D$1917,2,FALSE)</f>
        <v>200PCS/CTN</v>
      </c>
      <c r="J238" s="13" t="s">
        <v>300</v>
      </c>
      <c r="K238" s="32">
        <f>VLOOKUP(D238,'[1]NEW PRICE LIST'!$C$4:$H$1917,3,FALSE)</f>
        <v>95.25</v>
      </c>
      <c r="L238" s="13">
        <v>100</v>
      </c>
      <c r="M238" s="13">
        <v>0</v>
      </c>
      <c r="N238" s="13">
        <v>20</v>
      </c>
      <c r="P238" s="13" t="s">
        <v>3629</v>
      </c>
    </row>
    <row r="239" spans="1:16" x14ac:dyDescent="0.25">
      <c r="A239" s="14" t="str">
        <f t="shared" si="12"/>
        <v>AVT0000238</v>
      </c>
      <c r="B239" s="13" t="str">
        <f>VLOOKUP(D239,'SUPPLIER_ITEMS (1st Tools)'!C340:D2067,2,FALSE)</f>
        <v>1ST-358-339</v>
      </c>
      <c r="C239" s="14" t="s">
        <v>219</v>
      </c>
      <c r="D239" s="18" t="s">
        <v>1056</v>
      </c>
      <c r="F239" s="30" t="str">
        <f t="shared" si="13"/>
        <v>AVL103 MALE THREAD ELBOW 3/4 X 1/2</v>
      </c>
      <c r="I239" s="31" t="str">
        <f>VLOOKUP(D239,'[1]NEW PRICE LIST'!$C$4:$D$1917,2,FALSE)</f>
        <v>180PCS/CTN</v>
      </c>
      <c r="J239" s="13" t="s">
        <v>300</v>
      </c>
      <c r="K239" s="32">
        <f>VLOOKUP(D239,'[1]NEW PRICE LIST'!$C$4:$H$1917,3,FALSE)</f>
        <v>81.75</v>
      </c>
      <c r="L239" s="13">
        <v>100</v>
      </c>
      <c r="M239" s="13">
        <v>0</v>
      </c>
      <c r="N239" s="13">
        <v>20</v>
      </c>
      <c r="P239" s="13" t="s">
        <v>3629</v>
      </c>
    </row>
    <row r="240" spans="1:16" x14ac:dyDescent="0.25">
      <c r="A240" s="14" t="str">
        <f t="shared" si="12"/>
        <v>AVT0000239</v>
      </c>
      <c r="B240" s="13" t="str">
        <f>VLOOKUP(D240,'SUPPLIER_ITEMS (1st Tools)'!C341:D2068,2,FALSE)</f>
        <v>1ST-358-340</v>
      </c>
      <c r="C240" s="14" t="s">
        <v>219</v>
      </c>
      <c r="D240" s="18" t="s">
        <v>1058</v>
      </c>
      <c r="F240" s="30" t="str">
        <f t="shared" si="13"/>
        <v>AVL104 MALE THREAD ELBOW 3/4 X 3/4</v>
      </c>
      <c r="I240" s="31" t="str">
        <f>VLOOKUP(D240,'[1]NEW PRICE LIST'!$C$4:$D$1917,2,FALSE)</f>
        <v>140PCS/CTN</v>
      </c>
      <c r="J240" s="13" t="s">
        <v>300</v>
      </c>
      <c r="K240" s="32">
        <f>VLOOKUP(D240,'[1]NEW PRICE LIST'!$C$4:$H$1917,3,FALSE)</f>
        <v>104</v>
      </c>
      <c r="L240" s="13">
        <v>100</v>
      </c>
      <c r="M240" s="13">
        <v>0</v>
      </c>
      <c r="N240" s="13">
        <v>20</v>
      </c>
      <c r="P240" s="13" t="s">
        <v>3629</v>
      </c>
    </row>
    <row r="241" spans="1:16" x14ac:dyDescent="0.25">
      <c r="A241" s="14" t="str">
        <f t="shared" si="12"/>
        <v>AVT0000240</v>
      </c>
      <c r="B241" s="13" t="str">
        <f>VLOOKUP(D241,'SUPPLIER_ITEMS (1st Tools)'!C342:D2069,2,FALSE)</f>
        <v>1ST-358-341</v>
      </c>
      <c r="C241" s="14" t="s">
        <v>219</v>
      </c>
      <c r="D241" s="18" t="s">
        <v>1060</v>
      </c>
      <c r="F241" s="30" t="str">
        <f t="shared" si="13"/>
        <v>AVL105 MALE THREAD ELBOW 1" X 1/2</v>
      </c>
      <c r="I241" s="31" t="str">
        <f>VLOOKUP(D241,'[1]NEW PRICE LIST'!$C$4:$D$1917,2,FALSE)</f>
        <v>120PCS/CTN</v>
      </c>
      <c r="J241" s="13" t="s">
        <v>300</v>
      </c>
      <c r="K241" s="32">
        <f>VLOOKUP(D241,'[1]NEW PRICE LIST'!$C$4:$H$1917,3,FALSE)</f>
        <v>95</v>
      </c>
      <c r="L241" s="13">
        <v>100</v>
      </c>
      <c r="M241" s="13">
        <v>0</v>
      </c>
      <c r="N241" s="13">
        <v>20</v>
      </c>
      <c r="P241" s="13" t="s">
        <v>3629</v>
      </c>
    </row>
    <row r="242" spans="1:16" x14ac:dyDescent="0.25">
      <c r="A242" s="14" t="str">
        <f t="shared" si="12"/>
        <v>AVT0000241</v>
      </c>
      <c r="B242" s="13" t="str">
        <f>VLOOKUP(D242,'SUPPLIER_ITEMS (1st Tools)'!C343:D2070,2,FALSE)</f>
        <v>1ST-358-342</v>
      </c>
      <c r="C242" s="14" t="s">
        <v>219</v>
      </c>
      <c r="D242" s="18" t="s">
        <v>1061</v>
      </c>
      <c r="F242" s="30" t="str">
        <f t="shared" si="13"/>
        <v>AVL106 MALE THREAD ELBOW 1" X 3/4</v>
      </c>
      <c r="I242" s="31" t="str">
        <f>VLOOKUP(D242,'[1]NEW PRICE LIST'!$C$4:$D$1917,2,FALSE)</f>
        <v>100PCS/CTN</v>
      </c>
      <c r="J242" s="13" t="s">
        <v>300</v>
      </c>
      <c r="K242" s="32">
        <f>VLOOKUP(D242,'[1]NEW PRICE LIST'!$C$4:$H$1917,3,FALSE)</f>
        <v>162</v>
      </c>
      <c r="L242" s="13">
        <v>100</v>
      </c>
      <c r="M242" s="13">
        <v>0</v>
      </c>
      <c r="N242" s="13">
        <v>20</v>
      </c>
      <c r="P242" s="13" t="s">
        <v>3629</v>
      </c>
    </row>
    <row r="243" spans="1:16" ht="26.4" x14ac:dyDescent="0.25">
      <c r="A243" s="14" t="str">
        <f t="shared" si="12"/>
        <v>AVT0000242</v>
      </c>
      <c r="B243" s="13" t="str">
        <f>VLOOKUP(D243,'SUPPLIER_ITEMS (1st Tools)'!C344:D2071,2,FALSE)</f>
        <v>1ST-358-343</v>
      </c>
      <c r="C243" s="14" t="s">
        <v>219</v>
      </c>
      <c r="D243" s="18" t="s">
        <v>1062</v>
      </c>
      <c r="F243" s="30" t="str">
        <f t="shared" si="13"/>
        <v>AVL107 MALE THREAD ELBOW 1"</v>
      </c>
      <c r="I243" s="31" t="str">
        <f>VLOOKUP(D243,'[1]NEW PRICE LIST'!$C$4:$D$1917,2,FALSE)</f>
        <v>80PCS/CTN
90PCS/CTN</v>
      </c>
      <c r="J243" s="13" t="s">
        <v>300</v>
      </c>
      <c r="K243" s="32">
        <f>VLOOKUP(D243,'[1]NEW PRICE LIST'!$C$4:$H$1917,3,FALSE)</f>
        <v>246</v>
      </c>
      <c r="L243" s="13">
        <v>100</v>
      </c>
      <c r="M243" s="13">
        <v>0</v>
      </c>
      <c r="N243" s="13">
        <v>20</v>
      </c>
      <c r="P243" s="13" t="s">
        <v>3629</v>
      </c>
    </row>
    <row r="244" spans="1:16" x14ac:dyDescent="0.25">
      <c r="A244" s="14" t="str">
        <f t="shared" si="12"/>
        <v>AVT0000243</v>
      </c>
      <c r="B244" s="13" t="str">
        <f>VLOOKUP(D244,'SUPPLIER_ITEMS (1st Tools)'!C345:D2072,2,FALSE)</f>
        <v>1ST-358-344</v>
      </c>
      <c r="C244" s="14" t="s">
        <v>220</v>
      </c>
      <c r="D244" s="18" t="s">
        <v>1064</v>
      </c>
      <c r="F244" s="30" t="str">
        <f t="shared" si="13"/>
        <v>AVL401 POLOLOCK PPR ELBOW 90° 1/2</v>
      </c>
      <c r="I244" s="31" t="str">
        <f>VLOOKUP(D244,'[1]NEW PRICE LIST'!$C$4:$D$1917,2,FALSE)</f>
        <v>1100PCS/CTN</v>
      </c>
      <c r="J244" s="13" t="s">
        <v>300</v>
      </c>
      <c r="K244" s="32">
        <f>VLOOKUP(D244,'[1]NEW PRICE LIST'!$C$4:$H$1917,3,FALSE)</f>
        <v>7.25</v>
      </c>
      <c r="L244" s="13">
        <v>100</v>
      </c>
      <c r="M244" s="13">
        <v>0</v>
      </c>
      <c r="N244" s="13">
        <v>20</v>
      </c>
      <c r="P244" s="13" t="s">
        <v>3629</v>
      </c>
    </row>
    <row r="245" spans="1:16" x14ac:dyDescent="0.25">
      <c r="A245" s="14" t="str">
        <f t="shared" si="12"/>
        <v>AVT0000244</v>
      </c>
      <c r="B245" s="13" t="str">
        <f>VLOOKUP(D245,'SUPPLIER_ITEMS (1st Tools)'!C346:D2073,2,FALSE)</f>
        <v>1ST-358-345</v>
      </c>
      <c r="C245" s="14" t="s">
        <v>220</v>
      </c>
      <c r="D245" s="18" t="s">
        <v>1066</v>
      </c>
      <c r="F245" s="30" t="str">
        <f t="shared" si="13"/>
        <v>AVL402 POLOLOCK PPR ELBOW 90° 3/4</v>
      </c>
      <c r="I245" s="31" t="str">
        <f>VLOOKUP(D245,'[1]NEW PRICE LIST'!$C$4:$D$1917,2,FALSE)</f>
        <v>600PCS/CTN</v>
      </c>
      <c r="J245" s="13" t="s">
        <v>300</v>
      </c>
      <c r="K245" s="32">
        <f>VLOOKUP(D245,'[1]NEW PRICE LIST'!$C$4:$H$1917,3,FALSE)</f>
        <v>11.25</v>
      </c>
      <c r="L245" s="13">
        <v>100</v>
      </c>
      <c r="M245" s="13">
        <v>0</v>
      </c>
      <c r="N245" s="13">
        <v>20</v>
      </c>
      <c r="P245" s="13" t="s">
        <v>3629</v>
      </c>
    </row>
    <row r="246" spans="1:16" x14ac:dyDescent="0.25">
      <c r="A246" s="14" t="str">
        <f t="shared" si="12"/>
        <v>AVT0000245</v>
      </c>
      <c r="B246" s="13" t="str">
        <f>VLOOKUP(D246,'SUPPLIER_ITEMS (1st Tools)'!C347:D2074,2,FALSE)</f>
        <v>1ST-358-346</v>
      </c>
      <c r="C246" s="14" t="s">
        <v>220</v>
      </c>
      <c r="D246" s="18" t="s">
        <v>1068</v>
      </c>
      <c r="F246" s="30" t="str">
        <f t="shared" si="13"/>
        <v>AVL403 PPR ELBOW 90° 1"</v>
      </c>
      <c r="I246" s="31" t="str">
        <f>VLOOKUP(D246,'[1]NEW PRICE LIST'!$C$4:$D$1917,2,FALSE)</f>
        <v>320PCS/CTN</v>
      </c>
      <c r="J246" s="13" t="s">
        <v>300</v>
      </c>
      <c r="K246" s="32">
        <f>VLOOKUP(D246,'[1]NEW PRICE LIST'!$C$4:$H$1917,3,FALSE)</f>
        <v>20.75</v>
      </c>
      <c r="L246" s="13">
        <v>100</v>
      </c>
      <c r="M246" s="13">
        <v>0</v>
      </c>
      <c r="N246" s="13">
        <v>20</v>
      </c>
      <c r="P246" s="13" t="s">
        <v>3629</v>
      </c>
    </row>
    <row r="247" spans="1:16" x14ac:dyDescent="0.25">
      <c r="A247" s="14" t="str">
        <f t="shared" si="12"/>
        <v>AVT0000246</v>
      </c>
      <c r="B247" s="13" t="str">
        <f>VLOOKUP(D247,'SUPPLIER_ITEMS (1st Tools)'!C348:D2075,2,FALSE)</f>
        <v>1ST-358-347</v>
      </c>
      <c r="C247" s="14" t="s">
        <v>220</v>
      </c>
      <c r="D247" s="18" t="s">
        <v>1070</v>
      </c>
      <c r="F247" s="30" t="str">
        <f t="shared" si="13"/>
        <v>AVL404 POLOLOCK PPR ELBOW 90° 1"1/4</v>
      </c>
      <c r="I247" s="31" t="str">
        <f>VLOOKUP(D247,'[1]NEW PRICE LIST'!$C$4:$D$1917,2,FALSE)</f>
        <v>180PCS/CTN</v>
      </c>
      <c r="J247" s="13" t="s">
        <v>300</v>
      </c>
      <c r="K247" s="32">
        <f>VLOOKUP(D247,'[1]NEW PRICE LIST'!$C$4:$H$1917,3,FALSE)</f>
        <v>33</v>
      </c>
      <c r="L247" s="13">
        <v>100</v>
      </c>
      <c r="M247" s="13">
        <v>0</v>
      </c>
      <c r="N247" s="13">
        <v>20</v>
      </c>
      <c r="P247" s="13" t="s">
        <v>3629</v>
      </c>
    </row>
    <row r="248" spans="1:16" x14ac:dyDescent="0.25">
      <c r="A248" s="14" t="str">
        <f t="shared" si="12"/>
        <v>AVT0000247</v>
      </c>
      <c r="B248" s="13" t="str">
        <f>VLOOKUP(D248,'SUPPLIER_ITEMS (1st Tools)'!C349:D2076,2,FALSE)</f>
        <v>1ST-358-348</v>
      </c>
      <c r="C248" s="14" t="s">
        <v>220</v>
      </c>
      <c r="D248" s="18" t="s">
        <v>1071</v>
      </c>
      <c r="F248" s="30" t="str">
        <f t="shared" si="13"/>
        <v>AVL405 POLOLOCK PPR ELBOW 90° 1"1/2</v>
      </c>
      <c r="I248" s="31" t="str">
        <f>VLOOKUP(D248,'[1]NEW PRICE LIST'!$C$4:$D$1917,2,FALSE)</f>
        <v>100PCS/CTN</v>
      </c>
      <c r="J248" s="13" t="s">
        <v>300</v>
      </c>
      <c r="K248" s="32">
        <f>VLOOKUP(D248,'[1]NEW PRICE LIST'!$C$4:$H$1917,3,FALSE)</f>
        <v>61.5</v>
      </c>
      <c r="L248" s="13">
        <v>100</v>
      </c>
      <c r="M248" s="13">
        <v>0</v>
      </c>
      <c r="N248" s="13">
        <v>20</v>
      </c>
      <c r="P248" s="13" t="s">
        <v>3629</v>
      </c>
    </row>
    <row r="249" spans="1:16" x14ac:dyDescent="0.25">
      <c r="A249" s="14" t="str">
        <f t="shared" si="12"/>
        <v>AVT0000248</v>
      </c>
      <c r="B249" s="13" t="str">
        <f>VLOOKUP(D249,'SUPPLIER_ITEMS (1st Tools)'!C350:D2077,2,FALSE)</f>
        <v>1ST-358-349</v>
      </c>
      <c r="C249" s="14" t="s">
        <v>220</v>
      </c>
      <c r="D249" s="18" t="s">
        <v>1073</v>
      </c>
      <c r="F249" s="30" t="str">
        <f t="shared" si="13"/>
        <v>AVL406 POLOLOCK PPR ELBOW 90° 2"</v>
      </c>
      <c r="I249" s="31" t="str">
        <f>VLOOKUP(D249,'[1]NEW PRICE LIST'!$C$4:$D$1917,2,FALSE)</f>
        <v>60PCS/CTN</v>
      </c>
      <c r="J249" s="13" t="s">
        <v>300</v>
      </c>
      <c r="K249" s="32">
        <f>VLOOKUP(D249,'[1]NEW PRICE LIST'!$C$4:$H$1917,3,FALSE)</f>
        <v>116</v>
      </c>
      <c r="L249" s="13">
        <v>100</v>
      </c>
      <c r="M249" s="13">
        <v>0</v>
      </c>
      <c r="N249" s="13">
        <v>20</v>
      </c>
      <c r="P249" s="13" t="s">
        <v>3629</v>
      </c>
    </row>
    <row r="250" spans="1:16" x14ac:dyDescent="0.25">
      <c r="A250" s="14" t="str">
        <f t="shared" si="12"/>
        <v>AVT0000249</v>
      </c>
      <c r="B250" s="13" t="str">
        <f>VLOOKUP(D250,'SUPPLIER_ITEMS (1st Tools)'!C351:D2078,2,FALSE)</f>
        <v>1ST-358-350</v>
      </c>
      <c r="C250" s="14" t="s">
        <v>221</v>
      </c>
      <c r="D250" s="18" t="s">
        <v>3717</v>
      </c>
      <c r="F250" s="30" t="str">
        <f t="shared" si="13"/>
        <v>AVL601 ELBOW REDUCER 3/4X1/2</v>
      </c>
      <c r="I250" s="31" t="str">
        <f>VLOOKUP(D250,'[1]NEW PRICE LIST'!$C$4:$D$1917,2,FALSE)</f>
        <v>650PCS/CTN</v>
      </c>
      <c r="J250" s="13" t="s">
        <v>300</v>
      </c>
      <c r="K250" s="32">
        <f>VLOOKUP(D250,'[1]NEW PRICE LIST'!$C$4:$H$1917,3,FALSE)</f>
        <v>12.25</v>
      </c>
      <c r="L250" s="13">
        <v>100</v>
      </c>
      <c r="M250" s="13">
        <v>0</v>
      </c>
      <c r="N250" s="13">
        <v>20</v>
      </c>
      <c r="P250" s="13" t="s">
        <v>3629</v>
      </c>
    </row>
    <row r="251" spans="1:16" x14ac:dyDescent="0.25">
      <c r="A251" s="14" t="str">
        <f t="shared" si="12"/>
        <v>AVT0000250</v>
      </c>
      <c r="B251" s="13" t="str">
        <f>VLOOKUP(D251,'SUPPLIER_ITEMS (1st Tools)'!C352:D2079,2,FALSE)</f>
        <v>1ST-358-351</v>
      </c>
      <c r="C251" s="14" t="s">
        <v>221</v>
      </c>
      <c r="D251" s="18" t="s">
        <v>3718</v>
      </c>
      <c r="F251" s="30" t="str">
        <f t="shared" si="13"/>
        <v>AVL602 ELBOW REDUCER 1X1/2</v>
      </c>
      <c r="I251" s="31" t="str">
        <f>VLOOKUP(D251,'[1]NEW PRICE LIST'!$C$4:$D$1917,2,FALSE)</f>
        <v>450PCS/CTN</v>
      </c>
      <c r="J251" s="13" t="s">
        <v>300</v>
      </c>
      <c r="K251" s="32">
        <f>VLOOKUP(D251,'[1]NEW PRICE LIST'!$C$4:$H$1917,3,FALSE)</f>
        <v>15.75</v>
      </c>
      <c r="L251" s="13">
        <v>100</v>
      </c>
      <c r="M251" s="13">
        <v>0</v>
      </c>
      <c r="N251" s="13">
        <v>20</v>
      </c>
      <c r="P251" s="13" t="s">
        <v>3629</v>
      </c>
    </row>
    <row r="252" spans="1:16" x14ac:dyDescent="0.25">
      <c r="A252" s="14" t="str">
        <f t="shared" si="12"/>
        <v>AVT0000251</v>
      </c>
      <c r="B252" s="13" t="str">
        <f>VLOOKUP(D252,'SUPPLIER_ITEMS (1st Tools)'!C353:D2080,2,FALSE)</f>
        <v>1ST-358-352</v>
      </c>
      <c r="C252" s="14" t="s">
        <v>221</v>
      </c>
      <c r="D252" s="18" t="s">
        <v>3719</v>
      </c>
      <c r="F252" s="30" t="str">
        <f t="shared" si="13"/>
        <v>AVL603 ELBOW REDUCER 1X3/4</v>
      </c>
      <c r="I252" s="31" t="str">
        <f>VLOOKUP(D252,'[1]NEW PRICE LIST'!$C$4:$D$1917,2,FALSE)</f>
        <v>375PCS/CTN</v>
      </c>
      <c r="J252" s="13" t="s">
        <v>300</v>
      </c>
      <c r="K252" s="32">
        <f>VLOOKUP(D252,'[1]NEW PRICE LIST'!$C$4:$H$1917,3,FALSE)</f>
        <v>20.75</v>
      </c>
      <c r="L252" s="13">
        <v>100</v>
      </c>
      <c r="M252" s="13">
        <v>0</v>
      </c>
      <c r="N252" s="13">
        <v>20</v>
      </c>
      <c r="P252" s="13" t="s">
        <v>3629</v>
      </c>
    </row>
    <row r="253" spans="1:16" x14ac:dyDescent="0.25">
      <c r="A253" s="14" t="str">
        <f t="shared" si="12"/>
        <v>AVT0000252</v>
      </c>
      <c r="B253" s="13" t="str">
        <f>VLOOKUP(D253,'SUPPLIER_ITEMS (1st Tools)'!C354:D2081,2,FALSE)</f>
        <v>1ST-358-353</v>
      </c>
      <c r="C253" s="14" t="s">
        <v>222</v>
      </c>
      <c r="D253" s="18" t="s">
        <v>1077</v>
      </c>
      <c r="F253" s="30" t="str">
        <f t="shared" si="13"/>
        <v>AVP101 PIPE CLIP 1/2</v>
      </c>
      <c r="I253" s="31" t="str">
        <f>VLOOKUP(D253,'[1]NEW PRICE LIST'!$C$4:$D$1917,2,FALSE)</f>
        <v>2200PCS/CTN</v>
      </c>
      <c r="J253" s="13" t="s">
        <v>300</v>
      </c>
      <c r="K253" s="32">
        <f>VLOOKUP(D253,'[1]NEW PRICE LIST'!$C$4:$H$1917,3,FALSE)</f>
        <v>3.75</v>
      </c>
      <c r="L253" s="13">
        <v>100</v>
      </c>
      <c r="M253" s="13">
        <v>0</v>
      </c>
      <c r="N253" s="13">
        <v>20</v>
      </c>
      <c r="P253" s="13" t="s">
        <v>3629</v>
      </c>
    </row>
    <row r="254" spans="1:16" x14ac:dyDescent="0.25">
      <c r="A254" s="14" t="str">
        <f t="shared" si="12"/>
        <v>AVT0000253</v>
      </c>
      <c r="B254" s="13" t="str">
        <f>VLOOKUP(D254,'SUPPLIER_ITEMS (1st Tools)'!C355:D2082,2,FALSE)</f>
        <v>1ST-358-354</v>
      </c>
      <c r="C254" s="14" t="s">
        <v>222</v>
      </c>
      <c r="D254" s="18" t="s">
        <v>1079</v>
      </c>
      <c r="F254" s="30" t="str">
        <f t="shared" si="13"/>
        <v>AVP102 PIPE CLIP 3/4</v>
      </c>
      <c r="I254" s="31" t="str">
        <f>VLOOKUP(D254,'[1]NEW PRICE LIST'!$C$4:$D$1917,2,FALSE)</f>
        <v>1500PCS/CTN</v>
      </c>
      <c r="J254" s="13" t="s">
        <v>300</v>
      </c>
      <c r="K254" s="32">
        <f>VLOOKUP(D254,'[1]NEW PRICE LIST'!$C$4:$H$1917,3,FALSE)</f>
        <v>4.5</v>
      </c>
      <c r="L254" s="13">
        <v>100</v>
      </c>
      <c r="M254" s="13">
        <v>0</v>
      </c>
      <c r="N254" s="13">
        <v>20</v>
      </c>
      <c r="P254" s="13" t="s">
        <v>3629</v>
      </c>
    </row>
    <row r="255" spans="1:16" x14ac:dyDescent="0.25">
      <c r="A255" s="14" t="str">
        <f t="shared" si="12"/>
        <v>AVT0000254</v>
      </c>
      <c r="B255" s="13" t="str">
        <f>VLOOKUP(D255,'SUPPLIER_ITEMS (1st Tools)'!C356:D2083,2,FALSE)</f>
        <v>1ST-358-355</v>
      </c>
      <c r="C255" s="14" t="s">
        <v>222</v>
      </c>
      <c r="D255" s="18" t="s">
        <v>1080</v>
      </c>
      <c r="F255" s="30" t="str">
        <f t="shared" si="13"/>
        <v>AVP103 PIPE CLIP 1"</v>
      </c>
      <c r="I255" s="31" t="str">
        <f>VLOOKUP(D255,'[1]NEW PRICE LIST'!$C$4:$D$1917,2,FALSE)</f>
        <v>1000PCS/CTN</v>
      </c>
      <c r="J255" s="13" t="s">
        <v>300</v>
      </c>
      <c r="K255" s="32">
        <f>VLOOKUP(D255,'[1]NEW PRICE LIST'!$C$4:$H$1917,3,FALSE)</f>
        <v>6</v>
      </c>
      <c r="L255" s="13">
        <v>100</v>
      </c>
      <c r="M255" s="13">
        <v>0</v>
      </c>
      <c r="N255" s="13">
        <v>20</v>
      </c>
      <c r="P255" s="13" t="s">
        <v>3629</v>
      </c>
    </row>
    <row r="256" spans="1:16" x14ac:dyDescent="0.25">
      <c r="A256" s="14" t="str">
        <f t="shared" si="12"/>
        <v>AVT0000255</v>
      </c>
      <c r="B256" s="13" t="str">
        <f>VLOOKUP(D256,'SUPPLIER_ITEMS (1st Tools)'!C357:D2084,2,FALSE)</f>
        <v>1ST-358-356</v>
      </c>
      <c r="C256" s="14" t="s">
        <v>216</v>
      </c>
      <c r="D256" s="18" t="s">
        <v>1081</v>
      </c>
      <c r="F256" s="30" t="str">
        <f t="shared" si="13"/>
        <v>AVS001 STOP VALVE 1/2</v>
      </c>
      <c r="I256" s="31" t="str">
        <f>VLOOKUP(D256,'[1]NEW PRICE LIST'!$C$4:$D$1917,2,FALSE)</f>
        <v>100PCS/CTN</v>
      </c>
      <c r="J256" s="13" t="s">
        <v>300</v>
      </c>
      <c r="K256" s="32">
        <f>VLOOKUP(D256,'[1]NEW PRICE LIST'!$C$4:$H$1917,3,FALSE)</f>
        <v>229</v>
      </c>
      <c r="L256" s="13">
        <v>100</v>
      </c>
      <c r="M256" s="13">
        <v>0</v>
      </c>
      <c r="N256" s="13">
        <v>20</v>
      </c>
      <c r="P256" s="13" t="s">
        <v>3629</v>
      </c>
    </row>
    <row r="257" spans="1:16" x14ac:dyDescent="0.25">
      <c r="A257" s="14" t="str">
        <f t="shared" si="12"/>
        <v>AVT0000256</v>
      </c>
      <c r="B257" s="13" t="str">
        <f>VLOOKUP(D257,'SUPPLIER_ITEMS (1st Tools)'!C358:D2085,2,FALSE)</f>
        <v>1ST-358-357</v>
      </c>
      <c r="C257" s="14" t="s">
        <v>216</v>
      </c>
      <c r="D257" s="18" t="s">
        <v>1083</v>
      </c>
      <c r="F257" s="30" t="str">
        <f t="shared" si="13"/>
        <v>AVS002 STOP VALVE 3/4</v>
      </c>
      <c r="I257" s="31" t="str">
        <f>VLOOKUP(D257,'[1]NEW PRICE LIST'!$C$4:$D$1917,2,FALSE)</f>
        <v>70PCS/CTN</v>
      </c>
      <c r="J257" s="13" t="s">
        <v>300</v>
      </c>
      <c r="K257" s="32">
        <f>VLOOKUP(D257,'[1]NEW PRICE LIST'!$C$4:$H$1917,3,FALSE)</f>
        <v>308</v>
      </c>
      <c r="L257" s="13">
        <v>100</v>
      </c>
      <c r="M257" s="13">
        <v>0</v>
      </c>
      <c r="N257" s="13">
        <v>20</v>
      </c>
      <c r="P257" s="13" t="s">
        <v>3629</v>
      </c>
    </row>
    <row r="258" spans="1:16" x14ac:dyDescent="0.25">
      <c r="A258" s="14" t="str">
        <f t="shared" si="12"/>
        <v>AVT0000257</v>
      </c>
      <c r="B258" s="13" t="str">
        <f>VLOOKUP(D258,'SUPPLIER_ITEMS (1st Tools)'!C359:D2086,2,FALSE)</f>
        <v>1ST-358-358</v>
      </c>
      <c r="C258" s="14" t="s">
        <v>216</v>
      </c>
      <c r="D258" s="18" t="s">
        <v>3720</v>
      </c>
      <c r="F258" s="30" t="str">
        <f t="shared" si="13"/>
        <v>AVS003 STOP VALVE 1"</v>
      </c>
      <c r="I258" s="31" t="str">
        <f>VLOOKUP(D258,'[1]NEW PRICE LIST'!$C$4:$D$1917,2,FALSE)</f>
        <v>55PCS/CTN</v>
      </c>
      <c r="J258" s="13" t="s">
        <v>300</v>
      </c>
      <c r="K258" s="32">
        <f>VLOOKUP(D258,'[1]NEW PRICE LIST'!$C$4:$H$1917,3,FALSE)</f>
        <v>532</v>
      </c>
      <c r="L258" s="13">
        <v>100</v>
      </c>
      <c r="M258" s="13">
        <v>0</v>
      </c>
      <c r="N258" s="13">
        <v>20</v>
      </c>
      <c r="P258" s="13" t="s">
        <v>3629</v>
      </c>
    </row>
    <row r="259" spans="1:16" x14ac:dyDescent="0.25">
      <c r="A259" s="14" t="str">
        <f t="shared" si="12"/>
        <v>AVT0000258</v>
      </c>
      <c r="B259" s="13" t="str">
        <f>VLOOKUP(D259,'SUPPLIER_ITEMS (1st Tools)'!C360:D2087,2,FALSE)</f>
        <v>1ST-358-359</v>
      </c>
      <c r="C259" s="14" t="s">
        <v>216</v>
      </c>
      <c r="D259" s="18" t="s">
        <v>1086</v>
      </c>
      <c r="F259" s="30" t="str">
        <f t="shared" si="13"/>
        <v>AVS004 STOP VALVE 1" 1/4</v>
      </c>
      <c r="I259" s="31" t="str">
        <f>VLOOKUP(D259,'[1]NEW PRICE LIST'!$C$4:$D$1917,2,FALSE)</f>
        <v>35PCS/CTN</v>
      </c>
      <c r="J259" s="13" t="s">
        <v>300</v>
      </c>
      <c r="K259" s="32">
        <f>VLOOKUP(D259,'[1]NEW PRICE LIST'!$C$4:$H$1917,3,FALSE)</f>
        <v>599</v>
      </c>
      <c r="L259" s="13">
        <v>100</v>
      </c>
      <c r="M259" s="13">
        <v>0</v>
      </c>
      <c r="N259" s="13">
        <v>20</v>
      </c>
      <c r="P259" s="13" t="s">
        <v>3629</v>
      </c>
    </row>
    <row r="260" spans="1:16" x14ac:dyDescent="0.25">
      <c r="A260" s="14" t="str">
        <f t="shared" ref="A260:A323" si="14">"AVT"&amp;TEXT(RIGHT(A259,LEN(A259)-3)+1,"0000000")</f>
        <v>AVT0000259</v>
      </c>
      <c r="B260" s="13" t="str">
        <f>VLOOKUP(D260,'SUPPLIER_ITEMS (1st Tools)'!C361:D2088,2,FALSE)</f>
        <v>1ST-358-360</v>
      </c>
      <c r="C260" s="14" t="s">
        <v>216</v>
      </c>
      <c r="D260" s="18" t="s">
        <v>1088</v>
      </c>
      <c r="F260" s="30" t="str">
        <f t="shared" si="13"/>
        <v>AVS005 STOP VALVE 1"1/2</v>
      </c>
      <c r="I260" s="31" t="str">
        <f>VLOOKUP(D260,'[1]NEW PRICE LIST'!$C$4:$D$1917,2,FALSE)</f>
        <v>20PCS/CTN</v>
      </c>
      <c r="J260" s="13" t="s">
        <v>300</v>
      </c>
      <c r="K260" s="32">
        <f>VLOOKUP(D260,'[1]NEW PRICE LIST'!$C$4:$H$1917,3,FALSE)</f>
        <v>884</v>
      </c>
      <c r="L260" s="13">
        <v>100</v>
      </c>
      <c r="M260" s="13">
        <v>0</v>
      </c>
      <c r="N260" s="13">
        <v>20</v>
      </c>
      <c r="P260" s="13" t="s">
        <v>3629</v>
      </c>
    </row>
    <row r="261" spans="1:16" x14ac:dyDescent="0.25">
      <c r="A261" s="14" t="str">
        <f t="shared" si="14"/>
        <v>AVT0000260</v>
      </c>
      <c r="B261" s="13" t="str">
        <f>VLOOKUP(D261,'SUPPLIER_ITEMS (1st Tools)'!C362:D2089,2,FALSE)</f>
        <v>1ST-358-361</v>
      </c>
      <c r="C261" s="14" t="s">
        <v>216</v>
      </c>
      <c r="D261" s="18" t="s">
        <v>1090</v>
      </c>
      <c r="F261" s="30" t="str">
        <f t="shared" si="13"/>
        <v>AVS006 STOP VALVE 2"</v>
      </c>
      <c r="I261" s="31" t="str">
        <f>VLOOKUP(D261,'[1]NEW PRICE LIST'!$C$4:$D$1917,2,FALSE)</f>
        <v>14PCS/CTN</v>
      </c>
      <c r="J261" s="13" t="s">
        <v>300</v>
      </c>
      <c r="K261" s="32">
        <f>VLOOKUP(D261,'[1]NEW PRICE LIST'!$C$4:$H$1917,3,FALSE)</f>
        <v>1344</v>
      </c>
      <c r="L261" s="13">
        <v>100</v>
      </c>
      <c r="M261" s="13">
        <v>0</v>
      </c>
      <c r="N261" s="13">
        <v>20</v>
      </c>
      <c r="P261" s="13" t="s">
        <v>3629</v>
      </c>
    </row>
    <row r="262" spans="1:16" x14ac:dyDescent="0.25">
      <c r="A262" s="14" t="str">
        <f t="shared" si="14"/>
        <v>AVT0000261</v>
      </c>
      <c r="B262" s="13" t="str">
        <f>VLOOKUP(D262,'SUPPLIER_ITEMS (1st Tools)'!C363:D2090,2,FALSE)</f>
        <v>1ST-358-362</v>
      </c>
      <c r="C262" s="14" t="s">
        <v>217</v>
      </c>
      <c r="D262" s="18" t="s">
        <v>3625</v>
      </c>
      <c r="F262" s="30" t="str">
        <f t="shared" si="13"/>
        <v>AVT001 FEMALE THREAD TEE 1/2 X 1/2</v>
      </c>
      <c r="I262" s="31" t="str">
        <f>VLOOKUP(D262,'[1]NEW PRICE LIST'!$C$4:$D$1917,2,FALSE)</f>
        <v>200PCS/CTN</v>
      </c>
      <c r="J262" s="13" t="s">
        <v>300</v>
      </c>
      <c r="K262" s="32">
        <f>VLOOKUP(D262,'[1]NEW PRICE LIST'!$C$4:$H$1917,3,FALSE)</f>
        <v>59.5</v>
      </c>
      <c r="L262" s="13">
        <v>100</v>
      </c>
      <c r="M262" s="13">
        <v>0</v>
      </c>
      <c r="N262" s="13">
        <v>20</v>
      </c>
      <c r="P262" s="13" t="s">
        <v>3629</v>
      </c>
    </row>
    <row r="263" spans="1:16" x14ac:dyDescent="0.25">
      <c r="A263" s="14" t="str">
        <f t="shared" si="14"/>
        <v>AVT0000262</v>
      </c>
      <c r="B263" s="13" t="str">
        <f>VLOOKUP(D263,'SUPPLIER_ITEMS (1st Tools)'!C364:D2091,2,FALSE)</f>
        <v>1ST-358-363</v>
      </c>
      <c r="C263" s="14" t="s">
        <v>217</v>
      </c>
      <c r="D263" s="18" t="s">
        <v>3628</v>
      </c>
      <c r="F263" s="30" t="str">
        <f t="shared" si="13"/>
        <v>AVT002 FEMALE THREAD TEE 1/2 X 3/4</v>
      </c>
      <c r="I263" s="31" t="str">
        <f>VLOOKUP(D263,'[1]NEW PRICE LIST'!$C$4:$D$1917,2,FALSE)</f>
        <v>160PCS/CTN</v>
      </c>
      <c r="J263" s="13" t="s">
        <v>300</v>
      </c>
      <c r="K263" s="32">
        <f>VLOOKUP(D263,'[1]NEW PRICE LIST'!$C$4:$H$1917,3,FALSE)</f>
        <v>82.25</v>
      </c>
      <c r="L263" s="13">
        <v>100</v>
      </c>
      <c r="M263" s="13">
        <v>0</v>
      </c>
      <c r="N263" s="13">
        <v>20</v>
      </c>
      <c r="P263" s="13" t="s">
        <v>3629</v>
      </c>
    </row>
    <row r="264" spans="1:16" x14ac:dyDescent="0.25">
      <c r="A264" s="14" t="str">
        <f t="shared" si="14"/>
        <v>AVT0000263</v>
      </c>
      <c r="B264" s="13" t="str">
        <f>VLOOKUP(D264,'SUPPLIER_ITEMS (1st Tools)'!C365:D2092,2,FALSE)</f>
        <v>1ST-358-364</v>
      </c>
      <c r="C264" s="14" t="s">
        <v>217</v>
      </c>
      <c r="D264" s="18" t="s">
        <v>3627</v>
      </c>
      <c r="F264" s="30" t="str">
        <f t="shared" si="13"/>
        <v>AVT003 FEMALE THREAD TEE 3/4 X 1/2</v>
      </c>
      <c r="I264" s="31" t="str">
        <f>VLOOKUP(D264,'[1]NEW PRICE LIST'!$C$4:$D$1917,2,FALSE)</f>
        <v>180PCS/CTN</v>
      </c>
      <c r="J264" s="13" t="s">
        <v>300</v>
      </c>
      <c r="K264" s="32">
        <f>VLOOKUP(D264,'[1]NEW PRICE LIST'!$C$4:$H$1917,3,FALSE)</f>
        <v>82.25</v>
      </c>
      <c r="L264" s="13">
        <v>100</v>
      </c>
      <c r="M264" s="13">
        <v>0</v>
      </c>
      <c r="N264" s="13">
        <v>20</v>
      </c>
      <c r="P264" s="13" t="s">
        <v>3629</v>
      </c>
    </row>
    <row r="265" spans="1:16" x14ac:dyDescent="0.25">
      <c r="A265" s="14" t="str">
        <f t="shared" si="14"/>
        <v>AVT0000264</v>
      </c>
      <c r="B265" s="13" t="str">
        <f>VLOOKUP(D265,'SUPPLIER_ITEMS (1st Tools)'!C366:D2093,2,FALSE)</f>
        <v>1ST-358-365</v>
      </c>
      <c r="C265" s="14" t="s">
        <v>217</v>
      </c>
      <c r="D265" s="18" t="s">
        <v>3626</v>
      </c>
      <c r="F265" s="30" t="str">
        <f t="shared" si="13"/>
        <v>AVT004 FEMALE THREAD TEE 3/4 X 3/4</v>
      </c>
      <c r="I265" s="31" t="str">
        <f>VLOOKUP(D265,'[1]NEW PRICE LIST'!$C$4:$D$1917,2,FALSE)</f>
        <v>120PCS/CTN</v>
      </c>
      <c r="J265" s="13" t="s">
        <v>300</v>
      </c>
      <c r="K265" s="32">
        <f>VLOOKUP(D265,'[1]NEW PRICE LIST'!$C$4:$H$1917,3,FALSE)</f>
        <v>84</v>
      </c>
      <c r="L265" s="13">
        <v>100</v>
      </c>
      <c r="M265" s="13">
        <v>0</v>
      </c>
      <c r="N265" s="13">
        <v>20</v>
      </c>
      <c r="P265" s="13" t="s">
        <v>3629</v>
      </c>
    </row>
    <row r="266" spans="1:16" x14ac:dyDescent="0.25">
      <c r="A266" s="14" t="str">
        <f t="shared" si="14"/>
        <v>AVT0000265</v>
      </c>
      <c r="B266" s="13" t="str">
        <f>VLOOKUP(D266,'SUPPLIER_ITEMS (1st Tools)'!C367:D2094,2,FALSE)</f>
        <v>1ST-358-366</v>
      </c>
      <c r="C266" s="14" t="s">
        <v>217</v>
      </c>
      <c r="D266" s="18" t="s">
        <v>1094</v>
      </c>
      <c r="F266" s="30" t="str">
        <f t="shared" si="13"/>
        <v>AVT005 FEMALE THREAD TEE 1" X 1/2</v>
      </c>
      <c r="I266" s="31" t="str">
        <f>VLOOKUP(D266,'[1]NEW PRICE LIST'!$C$4:$D$1917,2,FALSE)</f>
        <v>100PCS/CTN</v>
      </c>
      <c r="J266" s="13" t="s">
        <v>300</v>
      </c>
      <c r="K266" s="32">
        <f>VLOOKUP(D266,'[1]NEW PRICE LIST'!$C$4:$H$1917,3,FALSE)</f>
        <v>89.5</v>
      </c>
      <c r="L266" s="13">
        <v>100</v>
      </c>
      <c r="M266" s="13">
        <v>0</v>
      </c>
      <c r="N266" s="13">
        <v>20</v>
      </c>
      <c r="P266" s="13" t="s">
        <v>3629</v>
      </c>
    </row>
    <row r="267" spans="1:16" x14ac:dyDescent="0.25">
      <c r="A267" s="14" t="str">
        <f t="shared" si="14"/>
        <v>AVT0000266</v>
      </c>
      <c r="B267" s="13" t="str">
        <f>VLOOKUP(D267,'SUPPLIER_ITEMS (1st Tools)'!C368:D2095,2,FALSE)</f>
        <v>1ST-358-367</v>
      </c>
      <c r="C267" s="14" t="s">
        <v>217</v>
      </c>
      <c r="D267" s="18" t="s">
        <v>1095</v>
      </c>
      <c r="F267" s="30" t="str">
        <f t="shared" si="13"/>
        <v>AVT006 FEMALE THREAD TEE 1" X 3/4</v>
      </c>
      <c r="I267" s="31" t="str">
        <f>VLOOKUP(D267,'[1]NEW PRICE LIST'!$C$4:$D$1917,2,FALSE)</f>
        <v>100PCS/CTN</v>
      </c>
      <c r="J267" s="13" t="s">
        <v>300</v>
      </c>
      <c r="K267" s="32">
        <f>VLOOKUP(D267,'[1]NEW PRICE LIST'!$C$4:$H$1917,3,FALSE)</f>
        <v>109</v>
      </c>
      <c r="L267" s="13">
        <v>100</v>
      </c>
      <c r="M267" s="13">
        <v>0</v>
      </c>
      <c r="N267" s="13">
        <v>20</v>
      </c>
      <c r="P267" s="13" t="s">
        <v>3629</v>
      </c>
    </row>
    <row r="268" spans="1:16" x14ac:dyDescent="0.25">
      <c r="A268" s="14" t="str">
        <f t="shared" si="14"/>
        <v>AVT0000267</v>
      </c>
      <c r="B268" s="13" t="str">
        <f>VLOOKUP(D268,'SUPPLIER_ITEMS (1st Tools)'!C369:D2096,2,FALSE)</f>
        <v>1ST-358-368</v>
      </c>
      <c r="C268" s="14" t="s">
        <v>217</v>
      </c>
      <c r="D268" s="18" t="s">
        <v>1096</v>
      </c>
      <c r="F268" s="30" t="str">
        <f t="shared" si="13"/>
        <v>AVT007 FEMALE THREAD TEE 1" X 1"</v>
      </c>
      <c r="I268" s="31" t="str">
        <f>VLOOKUP(D268,'[1]NEW PRICE LIST'!$C$4:$D$1917,2,FALSE)</f>
        <v>70PCS/CTN</v>
      </c>
      <c r="J268" s="13" t="s">
        <v>300</v>
      </c>
      <c r="K268" s="32">
        <f>VLOOKUP(D268,'[1]NEW PRICE LIST'!$C$4:$H$1917,3,FALSE)</f>
        <v>207</v>
      </c>
      <c r="L268" s="13">
        <v>100</v>
      </c>
      <c r="M268" s="13">
        <v>0</v>
      </c>
      <c r="N268" s="13">
        <v>20</v>
      </c>
      <c r="P268" s="13" t="s">
        <v>3629</v>
      </c>
    </row>
    <row r="269" spans="1:16" x14ac:dyDescent="0.25">
      <c r="A269" s="14" t="str">
        <f t="shared" si="14"/>
        <v>AVT0000268</v>
      </c>
      <c r="B269" s="13" t="str">
        <f>VLOOKUP(D269,'SUPPLIER_ITEMS (1st Tools)'!C370:D2097,2,FALSE)</f>
        <v>1ST-358-369</v>
      </c>
      <c r="C269" s="14" t="s">
        <v>218</v>
      </c>
      <c r="D269" s="18" t="s">
        <v>3721</v>
      </c>
      <c r="F269" s="30" t="str">
        <f t="shared" si="13"/>
        <v>AVT101 MALE THREAD TEE 1/2 X 1/2</v>
      </c>
      <c r="I269" s="31" t="str">
        <f>VLOOKUP(D269,'[1]NEW PRICE LIST'!$C$4:$D$1917,2,FALSE)</f>
        <v>180PCS/CTN</v>
      </c>
      <c r="J269" s="13" t="s">
        <v>300</v>
      </c>
      <c r="K269" s="32">
        <f>VLOOKUP(D269,'[1]NEW PRICE LIST'!$C$4:$H$1917,3,FALSE)</f>
        <v>76.25</v>
      </c>
      <c r="L269" s="13">
        <v>100</v>
      </c>
      <c r="M269" s="13">
        <v>0</v>
      </c>
      <c r="N269" s="13">
        <v>20</v>
      </c>
      <c r="P269" s="13" t="s">
        <v>3629</v>
      </c>
    </row>
    <row r="270" spans="1:16" x14ac:dyDescent="0.25">
      <c r="A270" s="14" t="str">
        <f t="shared" si="14"/>
        <v>AVT0000269</v>
      </c>
      <c r="B270" s="13" t="str">
        <f>VLOOKUP(D270,'SUPPLIER_ITEMS (1st Tools)'!C371:D2098,2,FALSE)</f>
        <v>1ST-358-370</v>
      </c>
      <c r="C270" s="14" t="s">
        <v>218</v>
      </c>
      <c r="D270" s="18" t="s">
        <v>1098</v>
      </c>
      <c r="F270" s="30" t="str">
        <f t="shared" si="13"/>
        <v>AVT102 MALE THREAD TEE 1/2 X 3/4</v>
      </c>
      <c r="I270" s="31" t="str">
        <f>VLOOKUP(D270,'[1]NEW PRICE LIST'!$C$4:$D$1917,2,FALSE)</f>
        <v>120PCS/CTN</v>
      </c>
      <c r="J270" s="13" t="s">
        <v>300</v>
      </c>
      <c r="K270" s="32">
        <f>VLOOKUP(D270,'[1]NEW PRICE LIST'!$C$4:$H$1917,3,FALSE)</f>
        <v>98.5</v>
      </c>
      <c r="L270" s="13">
        <v>100</v>
      </c>
      <c r="M270" s="13">
        <v>0</v>
      </c>
      <c r="N270" s="13">
        <v>20</v>
      </c>
      <c r="P270" s="13" t="s">
        <v>3629</v>
      </c>
    </row>
    <row r="271" spans="1:16" x14ac:dyDescent="0.25">
      <c r="A271" s="14" t="str">
        <f t="shared" si="14"/>
        <v>AVT0000270</v>
      </c>
      <c r="B271" s="13" t="str">
        <f>VLOOKUP(D271,'SUPPLIER_ITEMS (1st Tools)'!C372:D2099,2,FALSE)</f>
        <v>1ST-358-371</v>
      </c>
      <c r="C271" s="14" t="s">
        <v>218</v>
      </c>
      <c r="D271" s="18" t="s">
        <v>3722</v>
      </c>
      <c r="F271" s="30" t="str">
        <f t="shared" si="13"/>
        <v>AVT103 MALE THREAD TEE 3/4 X 1/2</v>
      </c>
      <c r="I271" s="31" t="str">
        <f>VLOOKUP(D271,'[1]NEW PRICE LIST'!$C$4:$D$1917,2,FALSE)</f>
        <v>160PCS/CTN</v>
      </c>
      <c r="J271" s="13" t="s">
        <v>300</v>
      </c>
      <c r="K271" s="32">
        <f>VLOOKUP(D271,'[1]NEW PRICE LIST'!$C$4:$H$1917,3,FALSE)</f>
        <v>95.25</v>
      </c>
      <c r="L271" s="13">
        <v>100</v>
      </c>
      <c r="M271" s="13">
        <v>0</v>
      </c>
      <c r="N271" s="13">
        <v>20</v>
      </c>
      <c r="P271" s="13" t="s">
        <v>3629</v>
      </c>
    </row>
    <row r="272" spans="1:16" x14ac:dyDescent="0.25">
      <c r="A272" s="14" t="str">
        <f t="shared" si="14"/>
        <v>AVT0000271</v>
      </c>
      <c r="B272" s="13" t="str">
        <f>VLOOKUP(D272,'SUPPLIER_ITEMS (1st Tools)'!C373:D2100,2,FALSE)</f>
        <v>1ST-358-372</v>
      </c>
      <c r="C272" s="14" t="s">
        <v>218</v>
      </c>
      <c r="D272" s="18" t="s">
        <v>3723</v>
      </c>
      <c r="F272" s="30" t="str">
        <f t="shared" si="13"/>
        <v>AVT104 MALE THREAD TEE 3/4 X 3/4</v>
      </c>
      <c r="I272" s="31" t="str">
        <f>VLOOKUP(D272,'[1]NEW PRICE LIST'!$C$4:$D$1917,2,FALSE)</f>
        <v>120PCS/CTN</v>
      </c>
      <c r="J272" s="13" t="s">
        <v>300</v>
      </c>
      <c r="K272" s="32">
        <f>VLOOKUP(D272,'[1]NEW PRICE LIST'!$C$4:$H$1917,3,FALSE)</f>
        <v>105</v>
      </c>
      <c r="L272" s="13">
        <v>100</v>
      </c>
      <c r="M272" s="13">
        <v>0</v>
      </c>
      <c r="N272" s="13">
        <v>20</v>
      </c>
      <c r="P272" s="13" t="s">
        <v>3629</v>
      </c>
    </row>
    <row r="273" spans="1:16" x14ac:dyDescent="0.25">
      <c r="A273" s="14" t="str">
        <f t="shared" si="14"/>
        <v>AVT0000272</v>
      </c>
      <c r="B273" s="13" t="str">
        <f>VLOOKUP(D273,'SUPPLIER_ITEMS (1st Tools)'!C374:D2101,2,FALSE)</f>
        <v>1ST-358-373</v>
      </c>
      <c r="C273" s="14" t="s">
        <v>218</v>
      </c>
      <c r="D273" s="18" t="s">
        <v>1101</v>
      </c>
      <c r="F273" s="30" t="str">
        <f t="shared" si="13"/>
        <v>AVT105 MALE THREAD TEE 1" X 1/2</v>
      </c>
      <c r="I273" s="31" t="str">
        <f>VLOOKUP(D273,'[1]NEW PRICE LIST'!$C$4:$D$1917,2,FALSE)</f>
        <v>90PCS/CTN</v>
      </c>
      <c r="J273" s="13" t="s">
        <v>300</v>
      </c>
      <c r="K273" s="32">
        <f>VLOOKUP(D273,'[1]NEW PRICE LIST'!$C$4:$H$1917,3,FALSE)</f>
        <v>100</v>
      </c>
      <c r="L273" s="13">
        <v>100</v>
      </c>
      <c r="M273" s="13">
        <v>0</v>
      </c>
      <c r="N273" s="13">
        <v>20</v>
      </c>
      <c r="P273" s="13" t="s">
        <v>3629</v>
      </c>
    </row>
    <row r="274" spans="1:16" x14ac:dyDescent="0.25">
      <c r="A274" s="14" t="str">
        <f t="shared" si="14"/>
        <v>AVT0000273</v>
      </c>
      <c r="B274" s="13" t="str">
        <f>VLOOKUP(D274,'SUPPLIER_ITEMS (1st Tools)'!C375:D2102,2,FALSE)</f>
        <v>1ST-358-374</v>
      </c>
      <c r="C274" s="14" t="s">
        <v>218</v>
      </c>
      <c r="D274" s="18" t="s">
        <v>3724</v>
      </c>
      <c r="F274" s="30" t="str">
        <f t="shared" si="13"/>
        <v>AVT106 MALE THREAD TEE 1 X 3/4</v>
      </c>
      <c r="I274" s="31" t="str">
        <f>VLOOKUP(D274,'[1]NEW PRICE LIST'!$C$4:$D$1917,2,FALSE)</f>
        <v>70PCS/CTN</v>
      </c>
      <c r="J274" s="13" t="s">
        <v>300</v>
      </c>
      <c r="K274" s="32">
        <f>VLOOKUP(D274,'[1]NEW PRICE LIST'!$C$4:$H$1917,3,FALSE)</f>
        <v>168</v>
      </c>
      <c r="L274" s="13">
        <v>100</v>
      </c>
      <c r="M274" s="13">
        <v>0</v>
      </c>
      <c r="N274" s="13">
        <v>20</v>
      </c>
      <c r="P274" s="13" t="s">
        <v>3629</v>
      </c>
    </row>
    <row r="275" spans="1:16" x14ac:dyDescent="0.25">
      <c r="A275" s="14" t="str">
        <f t="shared" si="14"/>
        <v>AVT0000274</v>
      </c>
      <c r="B275" s="13" t="str">
        <f>VLOOKUP(D275,'SUPPLIER_ITEMS (1st Tools)'!C376:D2103,2,FALSE)</f>
        <v>1ST-358-375</v>
      </c>
      <c r="C275" s="14" t="s">
        <v>218</v>
      </c>
      <c r="D275" s="18" t="s">
        <v>1102</v>
      </c>
      <c r="F275" s="30" t="str">
        <f t="shared" si="13"/>
        <v>AVT107 MALE THREAD TEE 1"</v>
      </c>
      <c r="I275" s="31" t="str">
        <f>VLOOKUP(D275,'[1]NEW PRICE LIST'!$C$4:$D$1917,2,FALSE)</f>
        <v>60PCS/CTN</v>
      </c>
      <c r="J275" s="13" t="s">
        <v>300</v>
      </c>
      <c r="K275" s="32">
        <f>VLOOKUP(D275,'[1]NEW PRICE LIST'!$C$4:$H$1917,3,FALSE)</f>
        <v>265</v>
      </c>
      <c r="L275" s="13">
        <v>100</v>
      </c>
      <c r="M275" s="13">
        <v>0</v>
      </c>
      <c r="N275" s="13">
        <v>20</v>
      </c>
      <c r="P275" s="13" t="s">
        <v>3629</v>
      </c>
    </row>
    <row r="276" spans="1:16" x14ac:dyDescent="0.25">
      <c r="A276" s="14" t="str">
        <f t="shared" si="14"/>
        <v>AVT0000275</v>
      </c>
      <c r="B276" s="13" t="str">
        <f>VLOOKUP(D276,'SUPPLIER_ITEMS (1st Tools)'!C377:D2104,2,FALSE)</f>
        <v>1ST-358-376</v>
      </c>
      <c r="C276" s="14" t="s">
        <v>212</v>
      </c>
      <c r="D276" s="18" t="s">
        <v>1103</v>
      </c>
      <c r="F276" s="30" t="str">
        <f t="shared" si="13"/>
        <v>AVT201 EQUAL TEE 1/2</v>
      </c>
      <c r="I276" s="31" t="str">
        <f>VLOOKUP(D276,'[1]NEW PRICE LIST'!$C$4:$D$1917,2,FALSE)</f>
        <v>700PCS/CTN</v>
      </c>
      <c r="J276" s="13" t="s">
        <v>300</v>
      </c>
      <c r="K276" s="32">
        <f>VLOOKUP(D276,'[1]NEW PRICE LIST'!$C$4:$H$1917,3,FALSE)</f>
        <v>9</v>
      </c>
      <c r="L276" s="13">
        <v>100</v>
      </c>
      <c r="M276" s="13">
        <v>0</v>
      </c>
      <c r="N276" s="13">
        <v>20</v>
      </c>
      <c r="P276" s="13" t="s">
        <v>3629</v>
      </c>
    </row>
    <row r="277" spans="1:16" x14ac:dyDescent="0.25">
      <c r="A277" s="14" t="str">
        <f t="shared" si="14"/>
        <v>AVT0000276</v>
      </c>
      <c r="B277" s="13" t="str">
        <f>VLOOKUP(D277,'SUPPLIER_ITEMS (1st Tools)'!C378:D2105,2,FALSE)</f>
        <v>1ST-358-377</v>
      </c>
      <c r="C277" s="14" t="s">
        <v>212</v>
      </c>
      <c r="D277" s="18" t="s">
        <v>1104</v>
      </c>
      <c r="F277" s="30" t="str">
        <f t="shared" si="13"/>
        <v>AVT202 EQUAL TEE 3/4</v>
      </c>
      <c r="I277" s="31" t="str">
        <f>VLOOKUP(D277,'[1]NEW PRICE LIST'!$C$4:$D$1917,2,FALSE)</f>
        <v>450PCS/CTN</v>
      </c>
      <c r="J277" s="13" t="s">
        <v>300</v>
      </c>
      <c r="K277" s="32">
        <f>VLOOKUP(D277,'[1]NEW PRICE LIST'!$C$4:$H$1917,3,FALSE)</f>
        <v>12.25</v>
      </c>
      <c r="L277" s="13">
        <v>100</v>
      </c>
      <c r="M277" s="13">
        <v>0</v>
      </c>
      <c r="N277" s="13">
        <v>20</v>
      </c>
      <c r="P277" s="13" t="s">
        <v>3629</v>
      </c>
    </row>
    <row r="278" spans="1:16" x14ac:dyDescent="0.25">
      <c r="A278" s="14" t="str">
        <f t="shared" si="14"/>
        <v>AVT0000277</v>
      </c>
      <c r="B278" s="13" t="str">
        <f>VLOOKUP(D278,'SUPPLIER_ITEMS (1st Tools)'!C379:D2106,2,FALSE)</f>
        <v>1ST-358-378</v>
      </c>
      <c r="C278" s="14" t="s">
        <v>212</v>
      </c>
      <c r="D278" s="18" t="s">
        <v>1105</v>
      </c>
      <c r="F278" s="30" t="str">
        <f t="shared" si="13"/>
        <v>AVT203 EQUAL TEE 1"</v>
      </c>
      <c r="I278" s="31" t="str">
        <f>VLOOKUP(D278,'[1]NEW PRICE LIST'!$C$4:$D$1917,2,FALSE)</f>
        <v>240PCS/CTN</v>
      </c>
      <c r="J278" s="13" t="s">
        <v>300</v>
      </c>
      <c r="K278" s="32">
        <f>VLOOKUP(D278,'[1]NEW PRICE LIST'!$C$4:$H$1917,3,FALSE)</f>
        <v>24.25</v>
      </c>
      <c r="L278" s="13">
        <v>100</v>
      </c>
      <c r="M278" s="13">
        <v>0</v>
      </c>
      <c r="N278" s="13">
        <v>20</v>
      </c>
      <c r="P278" s="13" t="s">
        <v>3629</v>
      </c>
    </row>
    <row r="279" spans="1:16" x14ac:dyDescent="0.25">
      <c r="A279" s="14" t="str">
        <f t="shared" si="14"/>
        <v>AVT0000278</v>
      </c>
      <c r="B279" s="13" t="str">
        <f>VLOOKUP(D279,'SUPPLIER_ITEMS (1st Tools)'!C380:D2107,2,FALSE)</f>
        <v>1ST-358-379</v>
      </c>
      <c r="C279" s="14" t="s">
        <v>212</v>
      </c>
      <c r="D279" s="18" t="s">
        <v>1107</v>
      </c>
      <c r="F279" s="30" t="str">
        <f t="shared" si="13"/>
        <v>AVT204 EQUAL TEE 1" 1/4</v>
      </c>
      <c r="I279" s="31" t="str">
        <f>VLOOKUP(D279,'[1]NEW PRICE LIST'!$C$4:$D$1917,2,FALSE)</f>
        <v>130PCS/CTN</v>
      </c>
      <c r="J279" s="13" t="s">
        <v>300</v>
      </c>
      <c r="K279" s="32">
        <f>VLOOKUP(D279,'[1]NEW PRICE LIST'!$C$4:$H$1917,3,FALSE)</f>
        <v>43.25</v>
      </c>
      <c r="L279" s="13">
        <v>100</v>
      </c>
      <c r="M279" s="13">
        <v>0</v>
      </c>
      <c r="N279" s="13">
        <v>20</v>
      </c>
      <c r="P279" s="13" t="s">
        <v>3629</v>
      </c>
    </row>
    <row r="280" spans="1:16" x14ac:dyDescent="0.25">
      <c r="A280" s="14" t="str">
        <f t="shared" si="14"/>
        <v>AVT0000279</v>
      </c>
      <c r="B280" s="13" t="str">
        <f>VLOOKUP(D280,'SUPPLIER_ITEMS (1st Tools)'!C381:D2108,2,FALSE)</f>
        <v>1ST-358-380</v>
      </c>
      <c r="C280" s="14" t="s">
        <v>212</v>
      </c>
      <c r="D280" s="18" t="s">
        <v>1109</v>
      </c>
      <c r="F280" s="30" t="str">
        <f t="shared" si="13"/>
        <v>AVT205 EQUAL TEE 1"1/2</v>
      </c>
      <c r="I280" s="31" t="str">
        <f>VLOOKUP(D280,'[1]NEW PRICE LIST'!$C$4:$D$1917,2,FALSE)</f>
        <v>80PCS/CTN</v>
      </c>
      <c r="J280" s="13" t="s">
        <v>300</v>
      </c>
      <c r="K280" s="32">
        <f>VLOOKUP(D280,'[1]NEW PRICE LIST'!$C$4:$H$1917,3,FALSE)</f>
        <v>73.5</v>
      </c>
      <c r="L280" s="13">
        <v>100</v>
      </c>
      <c r="M280" s="13">
        <v>0</v>
      </c>
      <c r="N280" s="13">
        <v>20</v>
      </c>
      <c r="P280" s="13" t="s">
        <v>3629</v>
      </c>
    </row>
    <row r="281" spans="1:16" x14ac:dyDescent="0.25">
      <c r="A281" s="14" t="str">
        <f t="shared" si="14"/>
        <v>AVT0000280</v>
      </c>
      <c r="B281" s="13" t="str">
        <f>VLOOKUP(D281,'SUPPLIER_ITEMS (1st Tools)'!C382:D2109,2,FALSE)</f>
        <v>1ST-358-381</v>
      </c>
      <c r="C281" s="14" t="s">
        <v>212</v>
      </c>
      <c r="D281" s="18" t="s">
        <v>1111</v>
      </c>
      <c r="F281" s="30" t="str">
        <f t="shared" si="13"/>
        <v>AVT206 EQUAL TEE 2"</v>
      </c>
      <c r="I281" s="31" t="str">
        <f>VLOOKUP(D281,'[1]NEW PRICE LIST'!$C$4:$D$1917,2,FALSE)</f>
        <v>50PCS/CTN</v>
      </c>
      <c r="J281" s="13" t="s">
        <v>300</v>
      </c>
      <c r="K281" s="32">
        <f>VLOOKUP(D281,'[1]NEW PRICE LIST'!$C$4:$H$1917,3,FALSE)</f>
        <v>123</v>
      </c>
      <c r="L281" s="13">
        <v>100</v>
      </c>
      <c r="M281" s="13">
        <v>0</v>
      </c>
      <c r="N281" s="13">
        <v>20</v>
      </c>
      <c r="P281" s="13" t="s">
        <v>3629</v>
      </c>
    </row>
    <row r="282" spans="1:16" x14ac:dyDescent="0.25">
      <c r="A282" s="14" t="str">
        <f t="shared" si="14"/>
        <v>AVT0000281</v>
      </c>
      <c r="B282" s="13" t="str">
        <f>VLOOKUP(D282,'SUPPLIER_ITEMS (1st Tools)'!C383:D2110,2,FALSE)</f>
        <v>1ST-358-382</v>
      </c>
      <c r="C282" s="14" t="s">
        <v>213</v>
      </c>
      <c r="D282" s="18" t="s">
        <v>1113</v>
      </c>
      <c r="F282" s="30" t="str">
        <f t="shared" si="13"/>
        <v>AVT301 TEE REDUCER 3/4 X 1/2</v>
      </c>
      <c r="I282" s="31" t="str">
        <f>VLOOKUP(D282,'[1]NEW PRICE LIST'!$C$4:$D$1917,2,FALSE)</f>
        <v>500PCS/CTN</v>
      </c>
      <c r="J282" s="13" t="s">
        <v>300</v>
      </c>
      <c r="K282" s="32">
        <f>VLOOKUP(D282,'[1]NEW PRICE LIST'!$C$4:$H$1917,3,FALSE)</f>
        <v>10.75</v>
      </c>
      <c r="L282" s="13">
        <v>100</v>
      </c>
      <c r="M282" s="13">
        <v>0</v>
      </c>
      <c r="N282" s="13">
        <v>20</v>
      </c>
      <c r="P282" s="13" t="s">
        <v>3629</v>
      </c>
    </row>
    <row r="283" spans="1:16" x14ac:dyDescent="0.25">
      <c r="A283" s="14" t="str">
        <f t="shared" si="14"/>
        <v>AVT0000282</v>
      </c>
      <c r="B283" s="13" t="str">
        <f>VLOOKUP(D283,'SUPPLIER_ITEMS (1st Tools)'!C384:D2111,2,FALSE)</f>
        <v>1ST-358-383</v>
      </c>
      <c r="C283" s="14" t="s">
        <v>213</v>
      </c>
      <c r="D283" s="18" t="s">
        <v>1114</v>
      </c>
      <c r="F283" s="30" t="str">
        <f t="shared" si="13"/>
        <v>AVT302 TEE REDUCER 1 X 1/2</v>
      </c>
      <c r="I283" s="31" t="str">
        <f>VLOOKUP(D283,'[1]NEW PRICE LIST'!$C$4:$D$1917,2,FALSE)</f>
        <v>320PCS/CTN</v>
      </c>
      <c r="J283" s="13" t="s">
        <v>300</v>
      </c>
      <c r="K283" s="32">
        <f>VLOOKUP(D283,'[1]NEW PRICE LIST'!$C$4:$H$1917,3,FALSE)</f>
        <v>17.5</v>
      </c>
      <c r="L283" s="13">
        <v>100</v>
      </c>
      <c r="M283" s="13">
        <v>0</v>
      </c>
      <c r="N283" s="13">
        <v>20</v>
      </c>
      <c r="P283" s="13" t="s">
        <v>3629</v>
      </c>
    </row>
    <row r="284" spans="1:16" x14ac:dyDescent="0.25">
      <c r="A284" s="14" t="str">
        <f t="shared" si="14"/>
        <v>AVT0000283</v>
      </c>
      <c r="B284" s="13" t="str">
        <f>VLOOKUP(D284,'SUPPLIER_ITEMS (1st Tools)'!C385:D2112,2,FALSE)</f>
        <v>1ST-358-384</v>
      </c>
      <c r="C284" s="14" t="s">
        <v>213</v>
      </c>
      <c r="D284" s="18" t="s">
        <v>1116</v>
      </c>
      <c r="F284" s="30" t="str">
        <f t="shared" si="13"/>
        <v>AVT303 TEE REDUCER 1"X 3/4</v>
      </c>
      <c r="I284" s="31" t="str">
        <f>VLOOKUP(D284,'[1]NEW PRICE LIST'!$C$4:$D$1917,2,FALSE)</f>
        <v>280PCS/CTN</v>
      </c>
      <c r="J284" s="13" t="s">
        <v>300</v>
      </c>
      <c r="K284" s="32">
        <f>VLOOKUP(D284,'[1]NEW PRICE LIST'!$C$4:$H$1917,3,FALSE)</f>
        <v>19.5</v>
      </c>
      <c r="L284" s="13">
        <v>100</v>
      </c>
      <c r="M284" s="13">
        <v>0</v>
      </c>
      <c r="N284" s="13">
        <v>20</v>
      </c>
      <c r="P284" s="13" t="s">
        <v>3629</v>
      </c>
    </row>
    <row r="285" spans="1:16" ht="26.4" x14ac:dyDescent="0.25">
      <c r="A285" s="14" t="str">
        <f t="shared" si="14"/>
        <v>AVT0000284</v>
      </c>
      <c r="B285" s="13" t="str">
        <f>VLOOKUP(D285,'SUPPLIER_ITEMS (1st Tools)'!C386:D2113,2,FALSE)</f>
        <v>1ST-358-385</v>
      </c>
      <c r="C285" s="14" t="s">
        <v>214</v>
      </c>
      <c r="D285" s="19" t="s">
        <v>3725</v>
      </c>
      <c r="F285" s="30" t="str">
        <f t="shared" si="13"/>
        <v>AVU001 FEMALE THREAD UNION 1/2 x 1/2</v>
      </c>
      <c r="I285" s="31" t="str">
        <f>VLOOKUP(D285,'[1]NEW PRICE LIST'!$C$4:$D$1917,2,FALSE)</f>
        <v>425PCS/CTN
400PCS/CTN</v>
      </c>
      <c r="J285" s="13" t="s">
        <v>300</v>
      </c>
      <c r="K285" s="32">
        <f>VLOOKUP(D285,'[1]NEW PRICE LIST'!$C$4:$H$1917,3,FALSE)</f>
        <v>222</v>
      </c>
      <c r="L285" s="13">
        <v>100</v>
      </c>
      <c r="M285" s="13">
        <v>0</v>
      </c>
      <c r="N285" s="13">
        <v>20</v>
      </c>
      <c r="P285" s="13" t="s">
        <v>3629</v>
      </c>
    </row>
    <row r="286" spans="1:16" x14ac:dyDescent="0.25">
      <c r="A286" s="14" t="str">
        <f t="shared" si="14"/>
        <v>AVT0000285</v>
      </c>
      <c r="B286" s="13" t="str">
        <f>VLOOKUP(D286,'SUPPLIER_ITEMS (1st Tools)'!C387:D2114,2,FALSE)</f>
        <v>1ST-358-386</v>
      </c>
      <c r="C286" s="14" t="s">
        <v>214</v>
      </c>
      <c r="D286" s="19" t="s">
        <v>3726</v>
      </c>
      <c r="F286" s="30" t="str">
        <f t="shared" ref="F286:F339" si="15">"AV"&amp;RIGHT(D286,LEN(D286)-2)</f>
        <v>AVU002 FEMALE THREAD UNION 3/4 x 3/4</v>
      </c>
      <c r="I286" s="31" t="str">
        <f>VLOOKUP(D286,'[1]NEW PRICE LIST'!$C$4:$D$1917,2,FALSE)</f>
        <v>240PCS/CTN</v>
      </c>
      <c r="J286" s="13" t="s">
        <v>300</v>
      </c>
      <c r="K286" s="32">
        <f>VLOOKUP(D286,'[1]NEW PRICE LIST'!$C$4:$H$1917,3,FALSE)</f>
        <v>311</v>
      </c>
      <c r="L286" s="13">
        <v>100</v>
      </c>
      <c r="M286" s="13">
        <v>0</v>
      </c>
      <c r="N286" s="13">
        <v>20</v>
      </c>
      <c r="P286" s="13" t="s">
        <v>3629</v>
      </c>
    </row>
    <row r="287" spans="1:16" x14ac:dyDescent="0.25">
      <c r="A287" s="14" t="str">
        <f t="shared" si="14"/>
        <v>AVT0000286</v>
      </c>
      <c r="B287" s="13" t="str">
        <f>VLOOKUP(D287,'SUPPLIER_ITEMS (1st Tools)'!C388:D2115,2,FALSE)</f>
        <v>1ST-358-387</v>
      </c>
      <c r="C287" s="14" t="s">
        <v>214</v>
      </c>
      <c r="D287" s="19" t="s">
        <v>1120</v>
      </c>
      <c r="F287" s="30" t="str">
        <f t="shared" si="15"/>
        <v>AVU003 FEMALE THREAD UNION 1" X 1"</v>
      </c>
      <c r="I287" s="31" t="str">
        <f>VLOOKUP(D287,'[1]NEW PRICE LIST'!$C$4:$D$1917,2,FALSE)</f>
        <v>160PCS/CTN</v>
      </c>
      <c r="J287" s="13" t="s">
        <v>300</v>
      </c>
      <c r="K287" s="32">
        <f>VLOOKUP(D287,'[1]NEW PRICE LIST'!$C$4:$H$1917,3,FALSE)</f>
        <v>436</v>
      </c>
      <c r="L287" s="13">
        <v>100</v>
      </c>
      <c r="M287" s="13">
        <v>0</v>
      </c>
      <c r="N287" s="13">
        <v>20</v>
      </c>
      <c r="P287" s="13" t="s">
        <v>3629</v>
      </c>
    </row>
    <row r="288" spans="1:16" x14ac:dyDescent="0.25">
      <c r="A288" s="14" t="str">
        <f t="shared" si="14"/>
        <v>AVT0000287</v>
      </c>
      <c r="B288" s="13" t="str">
        <f>VLOOKUP(D288,'SUPPLIER_ITEMS (1st Tools)'!C389:D2116,2,FALSE)</f>
        <v>1ST-358-388</v>
      </c>
      <c r="C288" s="14" t="s">
        <v>214</v>
      </c>
      <c r="D288" s="19" t="s">
        <v>1122</v>
      </c>
      <c r="F288" s="30" t="str">
        <f t="shared" si="15"/>
        <v>AVU007 FEMALE THREAD UNION 1/2 X 3/4</v>
      </c>
      <c r="I288" s="31" t="str">
        <f>VLOOKUP(D288,'[1]NEW PRICE LIST'!$C$4:$D$1917,2,FALSE)</f>
        <v>360PCS/CTN</v>
      </c>
      <c r="J288" s="13" t="s">
        <v>300</v>
      </c>
      <c r="K288" s="32">
        <f>VLOOKUP(D288,'[1]NEW PRICE LIST'!$C$4:$H$1917,3,FALSE)</f>
        <v>265</v>
      </c>
      <c r="L288" s="13">
        <v>100</v>
      </c>
      <c r="M288" s="13">
        <v>0</v>
      </c>
      <c r="N288" s="13">
        <v>20</v>
      </c>
      <c r="P288" s="13" t="s">
        <v>3629</v>
      </c>
    </row>
    <row r="289" spans="1:16" ht="26.4" x14ac:dyDescent="0.25">
      <c r="A289" s="14" t="str">
        <f t="shared" si="14"/>
        <v>AVT0000288</v>
      </c>
      <c r="B289" s="13" t="str">
        <f>VLOOKUP(D289,'SUPPLIER_ITEMS (1st Tools)'!C390:D2117,2,FALSE)</f>
        <v>1ST-358-389</v>
      </c>
      <c r="C289" s="14" t="s">
        <v>215</v>
      </c>
      <c r="D289" s="18" t="s">
        <v>3727</v>
      </c>
      <c r="F289" s="30" t="str">
        <f t="shared" si="15"/>
        <v>AVU101 MALE THREAD UNION 1/2 x 1/2</v>
      </c>
      <c r="I289" s="31" t="str">
        <f>VLOOKUP(D289,'[1]NEW PRICE LIST'!$C$4:$D$1917,2,FALSE)</f>
        <v>440PCS/CTN
400PCS/CTN</v>
      </c>
      <c r="J289" s="13" t="s">
        <v>300</v>
      </c>
      <c r="K289" s="32">
        <f>VLOOKUP(D289,'[1]NEW PRICE LIST'!$C$4:$H$1917,3,FALSE)</f>
        <v>222</v>
      </c>
      <c r="L289" s="13">
        <v>100</v>
      </c>
      <c r="M289" s="13">
        <v>0</v>
      </c>
      <c r="N289" s="13">
        <v>20</v>
      </c>
      <c r="P289" s="13" t="s">
        <v>3629</v>
      </c>
    </row>
    <row r="290" spans="1:16" x14ac:dyDescent="0.25">
      <c r="A290" s="14" t="str">
        <f t="shared" si="14"/>
        <v>AVT0000289</v>
      </c>
      <c r="B290" s="13" t="str">
        <f>VLOOKUP(D290,'SUPPLIER_ITEMS (1st Tools)'!C391:D2118,2,FALSE)</f>
        <v>1ST-358-390</v>
      </c>
      <c r="C290" s="14" t="s">
        <v>215</v>
      </c>
      <c r="D290" s="18" t="s">
        <v>3728</v>
      </c>
      <c r="F290" s="30" t="str">
        <f t="shared" si="15"/>
        <v>AVU102 MALE THREAD UNION 3/4 x 3/4</v>
      </c>
      <c r="I290" s="31" t="str">
        <f>VLOOKUP(D290,'[1]NEW PRICE LIST'!$C$4:$D$1917,2,FALSE)</f>
        <v>220PCS/CTN</v>
      </c>
      <c r="J290" s="13" t="s">
        <v>300</v>
      </c>
      <c r="K290" s="32">
        <f>VLOOKUP(D290,'[1]NEW PRICE LIST'!$C$4:$H$1917,3,FALSE)</f>
        <v>311</v>
      </c>
      <c r="L290" s="13">
        <v>100</v>
      </c>
      <c r="M290" s="13">
        <v>0</v>
      </c>
      <c r="N290" s="13">
        <v>20</v>
      </c>
      <c r="P290" s="13" t="s">
        <v>3629</v>
      </c>
    </row>
    <row r="291" spans="1:16" x14ac:dyDescent="0.25">
      <c r="A291" s="14" t="str">
        <f t="shared" si="14"/>
        <v>AVT0000290</v>
      </c>
      <c r="B291" s="13" t="str">
        <f>VLOOKUP(D291,'SUPPLIER_ITEMS (1st Tools)'!C392:D2119,2,FALSE)</f>
        <v>1ST-358-391</v>
      </c>
      <c r="C291" s="14" t="s">
        <v>215</v>
      </c>
      <c r="D291" s="19" t="s">
        <v>3729</v>
      </c>
      <c r="F291" s="30" t="str">
        <f t="shared" si="15"/>
        <v>AVU103 MALE THREAD UNION 1" X 1"</v>
      </c>
      <c r="I291" s="31" t="str">
        <f>VLOOKUP(D291,'[1]NEW PRICE LIST'!$C$4:$D$1917,2,FALSE)</f>
        <v>160PCS/CTN</v>
      </c>
      <c r="J291" s="13" t="s">
        <v>300</v>
      </c>
      <c r="K291" s="32">
        <f>VLOOKUP(D291,'[1]NEW PRICE LIST'!$C$4:$H$1917,3,FALSE)</f>
        <v>436</v>
      </c>
      <c r="L291" s="13">
        <v>100</v>
      </c>
      <c r="M291" s="13">
        <v>0</v>
      </c>
      <c r="N291" s="13">
        <v>20</v>
      </c>
      <c r="P291" s="13" t="s">
        <v>3629</v>
      </c>
    </row>
    <row r="292" spans="1:16" x14ac:dyDescent="0.25">
      <c r="A292" s="14" t="str">
        <f t="shared" si="14"/>
        <v>AVT0000291</v>
      </c>
      <c r="B292" s="13" t="str">
        <f>VLOOKUP(D292,'SUPPLIER_ITEMS (1st Tools)'!C393:D2120,2,FALSE)</f>
        <v>1ST-358-392</v>
      </c>
      <c r="C292" s="14" t="s">
        <v>209</v>
      </c>
      <c r="D292" s="18" t="s">
        <v>1123</v>
      </c>
      <c r="F292" s="30" t="str">
        <f t="shared" si="15"/>
        <v>AVU301 PLASTIC UNION PATENTE 1/2</v>
      </c>
      <c r="I292" s="31" t="str">
        <f>VLOOKUP(D292,'[1]NEW PRICE LIST'!$C$4:$D$1917,2,FALSE)</f>
        <v>600PCS/CTN</v>
      </c>
      <c r="J292" s="13" t="s">
        <v>300</v>
      </c>
      <c r="K292" s="32">
        <f>VLOOKUP(D292,'[1]NEW PRICE LIST'!$C$4:$H$1917,3,FALSE)</f>
        <v>18.75</v>
      </c>
      <c r="L292" s="13">
        <v>100</v>
      </c>
      <c r="M292" s="13">
        <v>0</v>
      </c>
      <c r="N292" s="13">
        <v>20</v>
      </c>
      <c r="P292" s="13" t="s">
        <v>3629</v>
      </c>
    </row>
    <row r="293" spans="1:16" x14ac:dyDescent="0.25">
      <c r="A293" s="14" t="str">
        <f t="shared" si="14"/>
        <v>AVT0000292</v>
      </c>
      <c r="B293" s="13" t="str">
        <f>VLOOKUP(D293,'SUPPLIER_ITEMS (1st Tools)'!C394:D2121,2,FALSE)</f>
        <v>1ST-358-393</v>
      </c>
      <c r="C293" s="14" t="s">
        <v>209</v>
      </c>
      <c r="D293" s="18" t="s">
        <v>1125</v>
      </c>
      <c r="F293" s="30" t="str">
        <f t="shared" si="15"/>
        <v>AVU302 PLASTIC UNION PATENTE 3/4</v>
      </c>
      <c r="I293" s="31" t="str">
        <f>VLOOKUP(D293,'[1]NEW PRICE LIST'!$C$4:$D$1917,2,FALSE)</f>
        <v>340PCS/CTN</v>
      </c>
      <c r="J293" s="13" t="s">
        <v>300</v>
      </c>
      <c r="K293" s="32">
        <f>VLOOKUP(D293,'[1]NEW PRICE LIST'!$C$4:$H$1917,3,FALSE)</f>
        <v>26.5</v>
      </c>
      <c r="L293" s="13">
        <v>100</v>
      </c>
      <c r="M293" s="13">
        <v>0</v>
      </c>
      <c r="N293" s="13">
        <v>20</v>
      </c>
      <c r="P293" s="13" t="s">
        <v>3629</v>
      </c>
    </row>
    <row r="294" spans="1:16" x14ac:dyDescent="0.25">
      <c r="A294" s="14" t="str">
        <f t="shared" si="14"/>
        <v>AVT0000293</v>
      </c>
      <c r="B294" s="13" t="str">
        <f>VLOOKUP(D294,'SUPPLIER_ITEMS (1st Tools)'!C395:D2122,2,FALSE)</f>
        <v>1ST-358-394</v>
      </c>
      <c r="C294" s="14" t="s">
        <v>209</v>
      </c>
      <c r="D294" s="18" t="s">
        <v>1127</v>
      </c>
      <c r="F294" s="30" t="str">
        <f t="shared" si="15"/>
        <v>AVU303 PLASTIC UNION PATENTE 1"</v>
      </c>
      <c r="I294" s="31" t="str">
        <f>VLOOKUP(D294,'[1]NEW PRICE LIST'!$C$4:$D$1917,2,FALSE)</f>
        <v>240PCS/CTN</v>
      </c>
      <c r="J294" s="13" t="s">
        <v>300</v>
      </c>
      <c r="K294" s="32">
        <f>VLOOKUP(D294,'[1]NEW PRICE LIST'!$C$4:$H$1917,3,FALSE)</f>
        <v>38.5</v>
      </c>
      <c r="L294" s="13">
        <v>100</v>
      </c>
      <c r="M294" s="13">
        <v>0</v>
      </c>
      <c r="N294" s="13">
        <v>20</v>
      </c>
      <c r="P294" s="13" t="s">
        <v>3629</v>
      </c>
    </row>
    <row r="295" spans="1:16" x14ac:dyDescent="0.25">
      <c r="A295" s="14" t="str">
        <f t="shared" si="14"/>
        <v>AVT0000294</v>
      </c>
      <c r="B295" s="13" t="str">
        <f>VLOOKUP(D295,'SUPPLIER_ITEMS (1st Tools)'!C396:D2123,2,FALSE)</f>
        <v>1ST-358-395</v>
      </c>
      <c r="C295" s="14" t="s">
        <v>210</v>
      </c>
      <c r="D295" s="18" t="s">
        <v>1129</v>
      </c>
      <c r="F295" s="30" t="str">
        <f t="shared" si="15"/>
        <v>AVV101 PLASTIC BALL VALVE 1/2</v>
      </c>
      <c r="I295" s="31" t="str">
        <f>VLOOKUP(D295,'[1]NEW PRICE LIST'!$C$4:$D$1917,2,FALSE)</f>
        <v>350PCS/CTN</v>
      </c>
      <c r="J295" s="13" t="s">
        <v>300</v>
      </c>
      <c r="K295" s="32">
        <f>VLOOKUP(D295,'[1]NEW PRICE LIST'!$C$4:$H$1917,3,FALSE)</f>
        <v>38</v>
      </c>
      <c r="L295" s="13">
        <v>100</v>
      </c>
      <c r="M295" s="13">
        <v>0</v>
      </c>
      <c r="N295" s="13">
        <v>20</v>
      </c>
      <c r="P295" s="13" t="s">
        <v>3629</v>
      </c>
    </row>
    <row r="296" spans="1:16" x14ac:dyDescent="0.25">
      <c r="A296" s="14" t="str">
        <f t="shared" si="14"/>
        <v>AVT0000295</v>
      </c>
      <c r="B296" s="13" t="str">
        <f>VLOOKUP(D296,'SUPPLIER_ITEMS (1st Tools)'!C397:D2124,2,FALSE)</f>
        <v>1ST-358-396</v>
      </c>
      <c r="C296" s="14" t="s">
        <v>210</v>
      </c>
      <c r="D296" s="18" t="s">
        <v>1130</v>
      </c>
      <c r="F296" s="30" t="str">
        <f t="shared" si="15"/>
        <v>AVV102 PLASTIC BALL VALVE 3/4</v>
      </c>
      <c r="I296" s="31" t="str">
        <f>VLOOKUP(D296,'[1]NEW PRICE LIST'!$C$4:$D$1917,2,FALSE)</f>
        <v>200PCS/CTN</v>
      </c>
      <c r="J296" s="13" t="s">
        <v>300</v>
      </c>
      <c r="K296" s="32">
        <f>VLOOKUP(D296,'[1]NEW PRICE LIST'!$C$4:$H$1917,3,FALSE)</f>
        <v>58</v>
      </c>
      <c r="L296" s="13">
        <v>100</v>
      </c>
      <c r="M296" s="13">
        <v>0</v>
      </c>
      <c r="N296" s="13">
        <v>20</v>
      </c>
      <c r="P296" s="13" t="s">
        <v>3629</v>
      </c>
    </row>
    <row r="297" spans="1:16" x14ac:dyDescent="0.25">
      <c r="A297" s="14" t="str">
        <f t="shared" si="14"/>
        <v>AVT0000296</v>
      </c>
      <c r="B297" s="13" t="str">
        <f>VLOOKUP(D297,'SUPPLIER_ITEMS (1st Tools)'!C398:D2125,2,FALSE)</f>
        <v>1ST-358-397</v>
      </c>
      <c r="C297" s="14" t="s">
        <v>210</v>
      </c>
      <c r="D297" s="18" t="s">
        <v>1131</v>
      </c>
      <c r="F297" s="30" t="str">
        <f t="shared" si="15"/>
        <v>AVV103 PLASTIC BALL VALVE 1"</v>
      </c>
      <c r="I297" s="31" t="str">
        <f>VLOOKUP(D297,'[1]NEW PRICE LIST'!$C$4:$D$1917,2,FALSE)</f>
        <v>100PCS/CTN</v>
      </c>
      <c r="J297" s="13" t="s">
        <v>300</v>
      </c>
      <c r="K297" s="32">
        <f>VLOOKUP(D297,'[1]NEW PRICE LIST'!$C$4:$H$1917,3,FALSE)</f>
        <v>98</v>
      </c>
      <c r="L297" s="13">
        <v>100</v>
      </c>
      <c r="M297" s="13">
        <v>0</v>
      </c>
      <c r="N297" s="13">
        <v>20</v>
      </c>
      <c r="P297" s="13" t="s">
        <v>3629</v>
      </c>
    </row>
    <row r="298" spans="1:16" x14ac:dyDescent="0.25">
      <c r="A298" s="14" t="str">
        <f t="shared" si="14"/>
        <v>AVT0000297</v>
      </c>
      <c r="B298" s="13" t="str">
        <f>VLOOKUP(D298,'SUPPLIER_ITEMS (1st Tools)'!C399:D2126,2,FALSE)</f>
        <v>1ST-358-398</v>
      </c>
      <c r="C298" s="14" t="s">
        <v>210</v>
      </c>
      <c r="D298" s="18" t="s">
        <v>1133</v>
      </c>
      <c r="F298" s="30" t="str">
        <f t="shared" si="15"/>
        <v>AVV104 PLASTIC BALL VALVE 1"1/4</v>
      </c>
      <c r="I298" s="31" t="str">
        <f>VLOOKUP(D298,'[1]NEW PRICE LIST'!$C$4:$D$1917,2,FALSE)</f>
        <v>80PCS/CTN</v>
      </c>
      <c r="J298" s="13" t="s">
        <v>300</v>
      </c>
      <c r="K298" s="32">
        <f>VLOOKUP(D298,'[1]NEW PRICE LIST'!$C$4:$H$1917,3,FALSE)</f>
        <v>168</v>
      </c>
      <c r="L298" s="13">
        <v>100</v>
      </c>
      <c r="M298" s="13">
        <v>0</v>
      </c>
      <c r="N298" s="13">
        <v>20</v>
      </c>
      <c r="P298" s="13" t="s">
        <v>3629</v>
      </c>
    </row>
    <row r="299" spans="1:16" x14ac:dyDescent="0.25">
      <c r="A299" s="14" t="str">
        <f t="shared" si="14"/>
        <v>AVT0000298</v>
      </c>
      <c r="B299" s="13" t="str">
        <f>VLOOKUP(D299,'SUPPLIER_ITEMS (1st Tools)'!C400:D2127,2,FALSE)</f>
        <v>1ST-358-399</v>
      </c>
      <c r="C299" s="14" t="s">
        <v>210</v>
      </c>
      <c r="D299" s="18" t="s">
        <v>1134</v>
      </c>
      <c r="F299" s="30" t="str">
        <f t="shared" si="15"/>
        <v>AVV105 PLASTIC BALL VALVE1"1/2</v>
      </c>
      <c r="I299" s="31" t="str">
        <f>VLOOKUP(D299,'[1]NEW PRICE LIST'!$C$4:$D$1917,2,FALSE)</f>
        <v>50PCS/CTN</v>
      </c>
      <c r="J299" s="13" t="s">
        <v>300</v>
      </c>
      <c r="K299" s="32">
        <f>VLOOKUP(D299,'[1]NEW PRICE LIST'!$C$4:$H$1917,3,FALSE)</f>
        <v>228</v>
      </c>
      <c r="L299" s="13">
        <v>100</v>
      </c>
      <c r="M299" s="13">
        <v>0</v>
      </c>
      <c r="N299" s="13">
        <v>20</v>
      </c>
      <c r="P299" s="13" t="s">
        <v>3629</v>
      </c>
    </row>
    <row r="300" spans="1:16" x14ac:dyDescent="0.25">
      <c r="A300" s="14" t="str">
        <f t="shared" si="14"/>
        <v>AVT0000299</v>
      </c>
      <c r="B300" s="13" t="str">
        <f>VLOOKUP(D300,'SUPPLIER_ITEMS (1st Tools)'!C401:D2128,2,FALSE)</f>
        <v>1ST-358-400</v>
      </c>
      <c r="C300" s="14" t="s">
        <v>210</v>
      </c>
      <c r="D300" s="18" t="s">
        <v>1135</v>
      </c>
      <c r="F300" s="30" t="str">
        <f t="shared" si="15"/>
        <v>AVV106 PLASTIC BALL VALVE 2"</v>
      </c>
      <c r="I300" s="31" t="str">
        <f>VLOOKUP(D300,'[1]NEW PRICE LIST'!$C$4:$D$1917,2,FALSE)</f>
        <v>30PCS/CTN</v>
      </c>
      <c r="J300" s="13" t="s">
        <v>300</v>
      </c>
      <c r="K300" s="32">
        <f>VLOOKUP(D300,'[1]NEW PRICE LIST'!$C$4:$H$1917,3,FALSE)</f>
        <v>408</v>
      </c>
      <c r="L300" s="13">
        <v>100</v>
      </c>
      <c r="M300" s="13">
        <v>0</v>
      </c>
      <c r="N300" s="13">
        <v>20</v>
      </c>
      <c r="P300" s="13" t="s">
        <v>3629</v>
      </c>
    </row>
    <row r="301" spans="1:16" x14ac:dyDescent="0.25">
      <c r="A301" s="14" t="str">
        <f t="shared" si="14"/>
        <v>AVT0000300</v>
      </c>
      <c r="B301" s="13" t="str">
        <f>VLOOKUP(D301,'SUPPLIER_ITEMS (1st Tools)'!C402:D2129,2,FALSE)</f>
        <v>1ST-358-401</v>
      </c>
      <c r="C301" s="14" t="s">
        <v>211</v>
      </c>
      <c r="D301" s="19" t="s">
        <v>1137</v>
      </c>
      <c r="F301" s="30" t="str">
        <f t="shared" si="15"/>
        <v>AVV201 BRASS BALL VALVE 1/2</v>
      </c>
      <c r="I301" s="31" t="str">
        <f>VLOOKUP(D301,'[1]NEW PRICE LIST'!$C$4:$D$1917,2,FALSE)</f>
        <v>100PCS/CTN</v>
      </c>
      <c r="J301" s="13" t="s">
        <v>300</v>
      </c>
      <c r="K301" s="32">
        <f>VLOOKUP(D301,'[1]NEW PRICE LIST'!$C$4:$H$1917,3,FALSE)</f>
        <v>96</v>
      </c>
      <c r="L301" s="13">
        <v>100</v>
      </c>
      <c r="M301" s="13">
        <v>0</v>
      </c>
      <c r="N301" s="13">
        <v>20</v>
      </c>
      <c r="P301" s="13" t="s">
        <v>3629</v>
      </c>
    </row>
    <row r="302" spans="1:16" x14ac:dyDescent="0.25">
      <c r="A302" s="14" t="str">
        <f t="shared" si="14"/>
        <v>AVT0000301</v>
      </c>
      <c r="B302" s="13" t="str">
        <f>VLOOKUP(D302,'SUPPLIER_ITEMS (1st Tools)'!C403:D2130,2,FALSE)</f>
        <v>1ST-358-402</v>
      </c>
      <c r="C302" s="14" t="s">
        <v>211</v>
      </c>
      <c r="D302" s="19" t="s">
        <v>1139</v>
      </c>
      <c r="F302" s="30" t="str">
        <f t="shared" si="15"/>
        <v>AVV202 BRASS BALL VALVE 3/4</v>
      </c>
      <c r="I302" s="31" t="str">
        <f>VLOOKUP(D302,'[1]NEW PRICE LIST'!$C$4:$D$1917,2,FALSE)</f>
        <v>90PCS/CTN</v>
      </c>
      <c r="J302" s="13" t="s">
        <v>300</v>
      </c>
      <c r="K302" s="32">
        <f>VLOOKUP(D302,'[1]NEW PRICE LIST'!$C$4:$H$1917,3,FALSE)</f>
        <v>136</v>
      </c>
      <c r="L302" s="13">
        <v>100</v>
      </c>
      <c r="M302" s="13">
        <v>0</v>
      </c>
      <c r="N302" s="13">
        <v>20</v>
      </c>
      <c r="P302" s="13" t="s">
        <v>3629</v>
      </c>
    </row>
    <row r="303" spans="1:16" x14ac:dyDescent="0.25">
      <c r="A303" s="14" t="str">
        <f t="shared" si="14"/>
        <v>AVT0000302</v>
      </c>
      <c r="B303" s="13" t="str">
        <f>VLOOKUP(D303,'SUPPLIER_ITEMS (1st Tools)'!C404:D2131,2,FALSE)</f>
        <v>1ST-358-403</v>
      </c>
      <c r="C303" s="14" t="s">
        <v>211</v>
      </c>
      <c r="D303" s="19" t="s">
        <v>1141</v>
      </c>
      <c r="F303" s="30" t="str">
        <f t="shared" si="15"/>
        <v>AVV203 BRASS BALL VALVE1"</v>
      </c>
      <c r="I303" s="31" t="str">
        <f>VLOOKUP(D303,'[1]NEW PRICE LIST'!$C$4:$D$1917,2,FALSE)</f>
        <v>60PCS/CTN</v>
      </c>
      <c r="J303" s="13" t="s">
        <v>300</v>
      </c>
      <c r="K303" s="32">
        <f>VLOOKUP(D303,'[1]NEW PRICE LIST'!$C$4:$H$1917,3,FALSE)</f>
        <v>226</v>
      </c>
      <c r="L303" s="13">
        <v>100</v>
      </c>
      <c r="M303" s="13">
        <v>0</v>
      </c>
      <c r="N303" s="13">
        <v>20</v>
      </c>
      <c r="P303" s="13" t="s">
        <v>3629</v>
      </c>
    </row>
    <row r="304" spans="1:16" x14ac:dyDescent="0.25">
      <c r="A304" s="14" t="str">
        <f t="shared" si="14"/>
        <v>AVT0000303</v>
      </c>
      <c r="B304" s="13" t="str">
        <f>VLOOKUP(D304,'SUPPLIER_ITEMS (1st Tools)'!C405:D2132,2,FALSE)</f>
        <v>1ST-358-404</v>
      </c>
      <c r="C304" s="14" t="s">
        <v>208</v>
      </c>
      <c r="D304" s="18" t="s">
        <v>3730</v>
      </c>
      <c r="F304" s="30" t="str">
        <f t="shared" si="15"/>
        <v>AV22000-1 PHILWATER PVC BALL VALVE 1/2</v>
      </c>
      <c r="I304" s="31" t="str">
        <f>VLOOKUP(D304,'[1]NEW PRICE LIST'!$C$4:$D$1917,2,FALSE)</f>
        <v>192PCS/CTN</v>
      </c>
      <c r="J304" s="13" t="s">
        <v>300</v>
      </c>
      <c r="K304" s="32">
        <f>VLOOKUP(D304,'[1]NEW PRICE LIST'!$C$4:$H$1917,3,FALSE)</f>
        <v>28</v>
      </c>
      <c r="L304" s="13">
        <v>100</v>
      </c>
      <c r="M304" s="13">
        <v>0</v>
      </c>
      <c r="N304" s="13">
        <v>0</v>
      </c>
    </row>
    <row r="305" spans="1:16" x14ac:dyDescent="0.25">
      <c r="A305" s="14" t="str">
        <f t="shared" si="14"/>
        <v>AVT0000304</v>
      </c>
      <c r="B305" s="13" t="str">
        <f>VLOOKUP(D305,'SUPPLIER_ITEMS (1st Tools)'!C406:D2133,2,FALSE)</f>
        <v>1ST-358-405</v>
      </c>
      <c r="C305" s="14" t="s">
        <v>208</v>
      </c>
      <c r="D305" s="18" t="s">
        <v>3731</v>
      </c>
      <c r="F305" s="30" t="str">
        <f t="shared" si="15"/>
        <v>AV22000-2 PHILWATER PVC BALL VALVE 3/4</v>
      </c>
      <c r="I305" s="31" t="str">
        <f>VLOOKUP(D305,'[1]NEW PRICE LIST'!$C$4:$D$1917,2,FALSE)</f>
        <v>144PCS/CTN</v>
      </c>
      <c r="J305" s="13" t="s">
        <v>300</v>
      </c>
      <c r="K305" s="32">
        <f>VLOOKUP(D305,'[1]NEW PRICE LIST'!$C$4:$H$1917,3,FALSE)</f>
        <v>40</v>
      </c>
      <c r="L305" s="13">
        <v>100</v>
      </c>
      <c r="M305" s="13">
        <v>0</v>
      </c>
      <c r="N305" s="13">
        <v>0</v>
      </c>
    </row>
    <row r="306" spans="1:16" x14ac:dyDescent="0.25">
      <c r="A306" s="14" t="str">
        <f t="shared" si="14"/>
        <v>AVT0000305</v>
      </c>
      <c r="B306" s="13" t="str">
        <f>VLOOKUP(D306,'SUPPLIER_ITEMS (1st Tools)'!C407:D2134,2,FALSE)</f>
        <v>1ST-358-406</v>
      </c>
      <c r="C306" s="14" t="s">
        <v>208</v>
      </c>
      <c r="D306" s="18" t="s">
        <v>3732</v>
      </c>
      <c r="F306" s="30" t="str">
        <f t="shared" si="15"/>
        <v>AV22000-3 PHILWATER PVC BALL VALVE 1"</v>
      </c>
      <c r="I306" s="31" t="str">
        <f>VLOOKUP(D306,'[1]NEW PRICE LIST'!$C$4:$D$1917,2,FALSE)</f>
        <v>96PCS/CTN</v>
      </c>
      <c r="J306" s="13" t="s">
        <v>300</v>
      </c>
      <c r="K306" s="32">
        <f>VLOOKUP(D306,'[1]NEW PRICE LIST'!$C$4:$H$1917,3,FALSE)</f>
        <v>65</v>
      </c>
      <c r="L306" s="13">
        <v>100</v>
      </c>
      <c r="M306" s="13">
        <v>0</v>
      </c>
      <c r="N306" s="13">
        <v>0</v>
      </c>
    </row>
    <row r="307" spans="1:16" x14ac:dyDescent="0.25">
      <c r="A307" s="14" t="str">
        <f t="shared" si="14"/>
        <v>AVT0000306</v>
      </c>
      <c r="B307" s="13" t="str">
        <f>VLOOKUP(D307,'SUPPLIER_ITEMS (1st Tools)'!C408:D2135,2,FALSE)</f>
        <v>1ST-358-407</v>
      </c>
      <c r="C307" s="14" t="s">
        <v>208</v>
      </c>
      <c r="D307" s="18" t="s">
        <v>3733</v>
      </c>
      <c r="F307" s="30" t="str">
        <f t="shared" si="15"/>
        <v>AV22000-4 PHILWATER PVC BALL VALVE 1"1/4</v>
      </c>
      <c r="I307" s="31" t="str">
        <f>VLOOKUP(D307,'[1]NEW PRICE LIST'!$C$4:$D$1917,2,FALSE)</f>
        <v>48PCS/CTN</v>
      </c>
      <c r="J307" s="13" t="s">
        <v>300</v>
      </c>
      <c r="K307" s="32">
        <f>VLOOKUP(D307,'[1]NEW PRICE LIST'!$C$4:$H$1917,3,FALSE)</f>
        <v>92</v>
      </c>
      <c r="L307" s="13">
        <v>100</v>
      </c>
      <c r="M307" s="13">
        <v>0</v>
      </c>
      <c r="N307" s="13">
        <v>0</v>
      </c>
    </row>
    <row r="308" spans="1:16" x14ac:dyDescent="0.25">
      <c r="A308" s="14" t="str">
        <f t="shared" si="14"/>
        <v>AVT0000307</v>
      </c>
      <c r="B308" s="13" t="str">
        <f>VLOOKUP(D308,'SUPPLIER_ITEMS (1st Tools)'!C409:D2136,2,FALSE)</f>
        <v>1ST-358-408</v>
      </c>
      <c r="C308" s="14" t="s">
        <v>208</v>
      </c>
      <c r="D308" s="18" t="s">
        <v>3734</v>
      </c>
      <c r="F308" s="30" t="str">
        <f t="shared" si="15"/>
        <v>AV22000-5 PHILWATER PVC BALL VALVE 1"1/2</v>
      </c>
      <c r="I308" s="31" t="str">
        <f>VLOOKUP(D308,'[1]NEW PRICE LIST'!$C$4:$D$1917,2,FALSE)</f>
        <v>48PCS/CTN</v>
      </c>
      <c r="J308" s="13" t="s">
        <v>300</v>
      </c>
      <c r="K308" s="32">
        <f>VLOOKUP(D308,'[1]NEW PRICE LIST'!$C$4:$H$1917,3,FALSE)</f>
        <v>110</v>
      </c>
      <c r="L308" s="13">
        <v>100</v>
      </c>
      <c r="M308" s="13">
        <v>0</v>
      </c>
      <c r="N308" s="13">
        <v>0</v>
      </c>
    </row>
    <row r="309" spans="1:16" x14ac:dyDescent="0.25">
      <c r="A309" s="14" t="str">
        <f t="shared" si="14"/>
        <v>AVT0000308</v>
      </c>
      <c r="B309" s="13" t="str">
        <f>VLOOKUP(D309,'SUPPLIER_ITEMS (1st Tools)'!C410:D2137,2,FALSE)</f>
        <v>1ST-358-409</v>
      </c>
      <c r="C309" s="14" t="s">
        <v>208</v>
      </c>
      <c r="D309" s="18" t="s">
        <v>3735</v>
      </c>
      <c r="F309" s="30" t="str">
        <f t="shared" si="15"/>
        <v>AV22000-6 PHILWATER PVC BALL VALVE 2"</v>
      </c>
      <c r="I309" s="31" t="str">
        <f>VLOOKUP(D309,'[1]NEW PRICE LIST'!$C$4:$D$1917,2,FALSE)</f>
        <v>36PCS/CTN</v>
      </c>
      <c r="J309" s="13" t="s">
        <v>300</v>
      </c>
      <c r="K309" s="32">
        <f>VLOOKUP(D309,'[1]NEW PRICE LIST'!$C$4:$H$1917,3,FALSE)</f>
        <v>160</v>
      </c>
      <c r="L309" s="13">
        <v>100</v>
      </c>
      <c r="M309" s="13">
        <v>0</v>
      </c>
      <c r="N309" s="13">
        <v>0</v>
      </c>
    </row>
    <row r="310" spans="1:16" x14ac:dyDescent="0.25">
      <c r="A310" s="14" t="str">
        <f t="shared" si="14"/>
        <v>AVT0000309</v>
      </c>
      <c r="B310" s="13" t="str">
        <f>VLOOKUP(D310,'SUPPLIER_ITEMS (1st Tools)'!C411:D2138,2,FALSE)</f>
        <v>1ST-358-410</v>
      </c>
      <c r="C310" s="14" t="s">
        <v>207</v>
      </c>
      <c r="D310" s="19" t="s">
        <v>3736</v>
      </c>
      <c r="F310" s="30" t="str">
        <f t="shared" si="15"/>
        <v>AV22001-1 PHILWATER PVC BALL VALVE THREADED 1/2</v>
      </c>
      <c r="I310" s="31" t="str">
        <f>VLOOKUP(D310,'[1]NEW PRICE LIST'!$C$4:$D$1917,2,FALSE)</f>
        <v>192PCS/CTN</v>
      </c>
      <c r="J310" s="13" t="s">
        <v>300</v>
      </c>
      <c r="K310" s="32">
        <f>VLOOKUP(D310,'[1]NEW PRICE LIST'!$C$4:$H$1917,3,FALSE)</f>
        <v>28</v>
      </c>
      <c r="L310" s="13">
        <v>100</v>
      </c>
      <c r="M310" s="13">
        <v>0</v>
      </c>
      <c r="N310" s="13">
        <v>0</v>
      </c>
    </row>
    <row r="311" spans="1:16" x14ac:dyDescent="0.25">
      <c r="A311" s="14" t="str">
        <f t="shared" si="14"/>
        <v>AVT0000310</v>
      </c>
      <c r="B311" s="13" t="str">
        <f>VLOOKUP(D311,'SUPPLIER_ITEMS (1st Tools)'!C412:D2139,2,FALSE)</f>
        <v>1ST-358-411</v>
      </c>
      <c r="C311" s="14" t="s">
        <v>207</v>
      </c>
      <c r="D311" s="18" t="s">
        <v>3737</v>
      </c>
      <c r="F311" s="30" t="str">
        <f t="shared" si="15"/>
        <v>AV22001-2 PHILWATER PVC BALL VALVE THREADED 3/4</v>
      </c>
      <c r="I311" s="31" t="str">
        <f>VLOOKUP(D311,'[1]NEW PRICE LIST'!$C$4:$D$1917,2,FALSE)</f>
        <v>144PCS/CTN</v>
      </c>
      <c r="J311" s="13" t="s">
        <v>300</v>
      </c>
      <c r="K311" s="32">
        <f>VLOOKUP(D311,'[1]NEW PRICE LIST'!$C$4:$H$1917,3,FALSE)</f>
        <v>40</v>
      </c>
      <c r="L311" s="13">
        <v>100</v>
      </c>
      <c r="M311" s="13">
        <v>0</v>
      </c>
      <c r="N311" s="13">
        <v>0</v>
      </c>
    </row>
    <row r="312" spans="1:16" x14ac:dyDescent="0.25">
      <c r="A312" s="14" t="str">
        <f t="shared" si="14"/>
        <v>AVT0000311</v>
      </c>
      <c r="B312" s="13" t="str">
        <f>VLOOKUP(D312,'SUPPLIER_ITEMS (1st Tools)'!C413:D2140,2,FALSE)</f>
        <v>1ST-358-412</v>
      </c>
      <c r="C312" s="14" t="s">
        <v>207</v>
      </c>
      <c r="D312" s="19" t="s">
        <v>1146</v>
      </c>
      <c r="F312" s="30" t="str">
        <f t="shared" si="15"/>
        <v>AV22001-3 (B4473) PHILWATER PVC BALL VALVE THREADED 1"</v>
      </c>
      <c r="I312" s="31" t="str">
        <f>VLOOKUP(D312,'[1]NEW PRICE LIST'!$C$4:$D$1917,2,FALSE)</f>
        <v>96PCS/CTN</v>
      </c>
      <c r="J312" s="13" t="s">
        <v>300</v>
      </c>
      <c r="K312" s="32">
        <f>VLOOKUP(D312,'[1]NEW PRICE LIST'!$C$4:$H$1917,3,FALSE)</f>
        <v>65</v>
      </c>
      <c r="L312" s="13">
        <v>100</v>
      </c>
      <c r="M312" s="13">
        <v>0</v>
      </c>
      <c r="N312" s="13">
        <v>0</v>
      </c>
    </row>
    <row r="313" spans="1:16" x14ac:dyDescent="0.25">
      <c r="A313" s="14" t="str">
        <f t="shared" si="14"/>
        <v>AVT0000312</v>
      </c>
      <c r="B313" s="13" t="str">
        <f>VLOOKUP(D313,'SUPPLIER_ITEMS (1st Tools)'!C414:D2141,2,FALSE)</f>
        <v>1ST-358-413</v>
      </c>
      <c r="C313" s="14" t="s">
        <v>203</v>
      </c>
      <c r="D313" s="19" t="s">
        <v>1147</v>
      </c>
      <c r="F313" s="30" t="str">
        <f t="shared" si="15"/>
        <v>AV101002 -POLOLOCK PE COUPLER 1/2</v>
      </c>
      <c r="I313" s="31" t="str">
        <f>VLOOKUP(D313,'[1]NEW PRICE LIST'!$C$4:$D$1917,2,FALSE)</f>
        <v>300PCS/CTN</v>
      </c>
      <c r="J313" s="13" t="s">
        <v>300</v>
      </c>
      <c r="K313" s="32">
        <f>VLOOKUP(D313,'[1]NEW PRICE LIST'!$C$4:$H$1917,3,FALSE)</f>
        <v>72</v>
      </c>
      <c r="L313" s="13">
        <v>100</v>
      </c>
      <c r="M313" s="13">
        <v>0</v>
      </c>
      <c r="N313" s="13">
        <v>30</v>
      </c>
      <c r="P313" s="13" t="s">
        <v>3961</v>
      </c>
    </row>
    <row r="314" spans="1:16" x14ac:dyDescent="0.25">
      <c r="A314" s="14" t="str">
        <f t="shared" si="14"/>
        <v>AVT0000313</v>
      </c>
      <c r="B314" s="13" t="str">
        <f>VLOOKUP(D314,'SUPPLIER_ITEMS (1st Tools)'!C415:D2142,2,FALSE)</f>
        <v>1ST-358-414</v>
      </c>
      <c r="C314" s="14" t="s">
        <v>203</v>
      </c>
      <c r="D314" s="19" t="s">
        <v>1148</v>
      </c>
      <c r="F314" s="30" t="str">
        <f t="shared" si="15"/>
        <v>AV101003- POLOLOCK PE COUPLER 3/4</v>
      </c>
      <c r="I314" s="31" t="str">
        <f>VLOOKUP(D314,'[1]NEW PRICE LIST'!$C$4:$D$1917,2,FALSE)</f>
        <v>200PCS/CTN</v>
      </c>
      <c r="J314" s="13" t="s">
        <v>300</v>
      </c>
      <c r="K314" s="32">
        <f>VLOOKUP(D314,'[1]NEW PRICE LIST'!$C$4:$H$1917,3,FALSE)</f>
        <v>90</v>
      </c>
      <c r="L314" s="13">
        <v>100</v>
      </c>
      <c r="M314" s="13">
        <v>0</v>
      </c>
      <c r="N314" s="13">
        <v>30</v>
      </c>
      <c r="P314" s="13" t="s">
        <v>3961</v>
      </c>
    </row>
    <row r="315" spans="1:16" x14ac:dyDescent="0.25">
      <c r="A315" s="14" t="str">
        <f t="shared" si="14"/>
        <v>AVT0000314</v>
      </c>
      <c r="B315" s="13" t="str">
        <f>VLOOKUP(D315,'SUPPLIER_ITEMS (1st Tools)'!C416:D2143,2,FALSE)</f>
        <v>1ST-358-415</v>
      </c>
      <c r="C315" s="14" t="s">
        <v>203</v>
      </c>
      <c r="D315" s="19" t="s">
        <v>1150</v>
      </c>
      <c r="F315" s="30" t="str">
        <f t="shared" si="15"/>
        <v>AV101004-POLOLOCK PE COUPLER 1</v>
      </c>
      <c r="I315" s="31" t="str">
        <f>VLOOKUP(D315,'[1]NEW PRICE LIST'!$C$4:$D$1917,2,FALSE)</f>
        <v>120PCS/CTN</v>
      </c>
      <c r="J315" s="13" t="s">
        <v>300</v>
      </c>
      <c r="K315" s="32">
        <f>VLOOKUP(D315,'[1]NEW PRICE LIST'!$C$4:$H$1917,3,FALSE)</f>
        <v>102</v>
      </c>
      <c r="L315" s="13">
        <v>100</v>
      </c>
      <c r="M315" s="13">
        <v>0</v>
      </c>
      <c r="N315" s="13">
        <v>30</v>
      </c>
      <c r="P315" s="13" t="s">
        <v>3961</v>
      </c>
    </row>
    <row r="316" spans="1:16" x14ac:dyDescent="0.25">
      <c r="A316" s="14" t="str">
        <f t="shared" si="14"/>
        <v>AVT0000315</v>
      </c>
      <c r="B316" s="13" t="str">
        <f>VLOOKUP(D316,'SUPPLIER_ITEMS (1st Tools)'!C417:D2144,2,FALSE)</f>
        <v>1ST-358-416</v>
      </c>
      <c r="C316" s="14" t="s">
        <v>204</v>
      </c>
      <c r="D316" s="19" t="s">
        <v>1152</v>
      </c>
      <c r="F316" s="30" t="str">
        <f t="shared" si="15"/>
        <v>AV102003-POLOLOCK PE REDUCING COUPLER 3/4X1/2</v>
      </c>
      <c r="I316" s="31" t="str">
        <f>VLOOKUP(D316,'[1]NEW PRICE LIST'!$C$4:$D$1917,2,FALSE)</f>
        <v>250PCS/CTN</v>
      </c>
      <c r="J316" s="13" t="s">
        <v>300</v>
      </c>
      <c r="K316" s="32">
        <f>VLOOKUP(D316,'[1]NEW PRICE LIST'!$C$4:$H$1917,3,FALSE)</f>
        <v>92</v>
      </c>
      <c r="L316" s="13">
        <v>100</v>
      </c>
      <c r="M316" s="13">
        <v>0</v>
      </c>
      <c r="N316" s="13">
        <v>30</v>
      </c>
      <c r="P316" s="13" t="s">
        <v>3961</v>
      </c>
    </row>
    <row r="317" spans="1:16" x14ac:dyDescent="0.25">
      <c r="A317" s="14" t="str">
        <f t="shared" si="14"/>
        <v>AVT0000316</v>
      </c>
      <c r="B317" s="13" t="str">
        <f>VLOOKUP(D317,'SUPPLIER_ITEMS (1st Tools)'!C418:D2145,2,FALSE)</f>
        <v>1ST-358-417</v>
      </c>
      <c r="C317" s="14" t="s">
        <v>204</v>
      </c>
      <c r="D317" s="19" t="s">
        <v>1154</v>
      </c>
      <c r="F317" s="30" t="str">
        <f t="shared" si="15"/>
        <v>AV102004-POLOLOCK PE REDUCING COUPLER 1X1/2</v>
      </c>
      <c r="I317" s="31" t="str">
        <f>VLOOKUP(D317,'[1]NEW PRICE LIST'!$C$4:$D$1917,2,FALSE)</f>
        <v>175PCS/CTN</v>
      </c>
      <c r="J317" s="13" t="s">
        <v>300</v>
      </c>
      <c r="K317" s="32">
        <f>VLOOKUP(D317,'[1]NEW PRICE LIST'!$C$4:$H$1917,3,FALSE)</f>
        <v>132</v>
      </c>
      <c r="L317" s="13">
        <v>100</v>
      </c>
      <c r="M317" s="13">
        <v>0</v>
      </c>
      <c r="N317" s="13">
        <v>30</v>
      </c>
      <c r="P317" s="13" t="s">
        <v>3961</v>
      </c>
    </row>
    <row r="318" spans="1:16" x14ac:dyDescent="0.25">
      <c r="A318" s="14" t="str">
        <f t="shared" si="14"/>
        <v>AVT0000317</v>
      </c>
      <c r="B318" s="13" t="str">
        <f>VLOOKUP(D318,'SUPPLIER_ITEMS (1st Tools)'!C419:D2146,2,FALSE)</f>
        <v>1ST-358-418</v>
      </c>
      <c r="C318" s="14" t="s">
        <v>204</v>
      </c>
      <c r="D318" s="19" t="s">
        <v>1155</v>
      </c>
      <c r="F318" s="30" t="str">
        <f t="shared" si="15"/>
        <v>AV102005-POLOLOCK PE REDUCING COUPLER 1X3/4</v>
      </c>
      <c r="I318" s="31" t="str">
        <f>VLOOKUP(D318,'[1]NEW PRICE LIST'!$C$4:$D$1917,2,FALSE)</f>
        <v>160PCS/CTN</v>
      </c>
      <c r="J318" s="13" t="s">
        <v>300</v>
      </c>
      <c r="K318" s="32">
        <f>VLOOKUP(D318,'[1]NEW PRICE LIST'!$C$4:$H$1917,3,FALSE)</f>
        <v>132</v>
      </c>
      <c r="L318" s="13">
        <v>100</v>
      </c>
      <c r="M318" s="13">
        <v>0</v>
      </c>
      <c r="N318" s="13">
        <v>30</v>
      </c>
      <c r="P318" s="13" t="s">
        <v>3961</v>
      </c>
    </row>
    <row r="319" spans="1:16" x14ac:dyDescent="0.25">
      <c r="A319" s="14" t="str">
        <f t="shared" si="14"/>
        <v>AVT0000318</v>
      </c>
      <c r="B319" s="13" t="str">
        <f>VLOOKUP(D319,'SUPPLIER_ITEMS (1st Tools)'!C420:D2147,2,FALSE)</f>
        <v>1ST-358-419</v>
      </c>
      <c r="C319" s="14" t="s">
        <v>205</v>
      </c>
      <c r="D319" s="18" t="s">
        <v>1157</v>
      </c>
      <c r="F319" s="30" t="str">
        <f t="shared" si="15"/>
        <v>AV103002-POLOLOCK PE ELBOW 1/2</v>
      </c>
      <c r="I319" s="31" t="str">
        <f>VLOOKUP(D319,'[1]NEW PRICE LIST'!$C$4:$D$1917,2,FALSE)</f>
        <v>260PCS/CTN</v>
      </c>
      <c r="J319" s="13" t="s">
        <v>300</v>
      </c>
      <c r="K319" s="32">
        <f>VLOOKUP(D319,'[1]NEW PRICE LIST'!$C$4:$H$1917,3,FALSE)</f>
        <v>84</v>
      </c>
      <c r="L319" s="13">
        <v>100</v>
      </c>
      <c r="M319" s="13">
        <v>0</v>
      </c>
      <c r="N319" s="13">
        <v>30</v>
      </c>
      <c r="P319" s="13" t="s">
        <v>3961</v>
      </c>
    </row>
    <row r="320" spans="1:16" x14ac:dyDescent="0.25">
      <c r="A320" s="14" t="str">
        <f t="shared" si="14"/>
        <v>AVT0000319</v>
      </c>
      <c r="B320" s="13" t="str">
        <f>VLOOKUP(D320,'SUPPLIER_ITEMS (1st Tools)'!C421:D2148,2,FALSE)</f>
        <v>1ST-358-420</v>
      </c>
      <c r="C320" s="14" t="s">
        <v>205</v>
      </c>
      <c r="D320" s="18" t="s">
        <v>1159</v>
      </c>
      <c r="F320" s="30" t="str">
        <f t="shared" si="15"/>
        <v>AV103003-POLOLOCK PE ELBOW 3/4</v>
      </c>
      <c r="I320" s="31" t="str">
        <f>VLOOKUP(D320,'[1]NEW PRICE LIST'!$C$4:$D$1917,2,FALSE)</f>
        <v>160PCS/CTN</v>
      </c>
      <c r="J320" s="13" t="s">
        <v>300</v>
      </c>
      <c r="K320" s="32">
        <f>VLOOKUP(D320,'[1]NEW PRICE LIST'!$C$4:$H$1917,3,FALSE)</f>
        <v>96</v>
      </c>
      <c r="L320" s="13">
        <v>100</v>
      </c>
      <c r="M320" s="13">
        <v>0</v>
      </c>
      <c r="N320" s="13">
        <v>30</v>
      </c>
      <c r="P320" s="13" t="s">
        <v>3961</v>
      </c>
    </row>
    <row r="321" spans="1:16" x14ac:dyDescent="0.25">
      <c r="A321" s="14" t="str">
        <f t="shared" si="14"/>
        <v>AVT0000320</v>
      </c>
      <c r="B321" s="13" t="str">
        <f>VLOOKUP(D321,'SUPPLIER_ITEMS (1st Tools)'!C422:D2149,2,FALSE)</f>
        <v>1ST-358-421</v>
      </c>
      <c r="C321" s="14" t="s">
        <v>205</v>
      </c>
      <c r="D321" s="18" t="s">
        <v>1160</v>
      </c>
      <c r="F321" s="30" t="str">
        <f t="shared" si="15"/>
        <v>AV103004-POLOLOCK PE ELBOW 1</v>
      </c>
      <c r="I321" s="31" t="str">
        <f>VLOOKUP(D321,'[1]NEW PRICE LIST'!$C$4:$D$1917,2,FALSE)</f>
        <v>100PCS/CTN</v>
      </c>
      <c r="J321" s="13" t="s">
        <v>300</v>
      </c>
      <c r="K321" s="32">
        <f>VLOOKUP(D321,'[1]NEW PRICE LIST'!$C$4:$H$1917,3,FALSE)</f>
        <v>124</v>
      </c>
      <c r="L321" s="13">
        <v>100</v>
      </c>
      <c r="M321" s="13">
        <v>0</v>
      </c>
      <c r="N321" s="13">
        <v>30</v>
      </c>
      <c r="P321" s="13" t="s">
        <v>3961</v>
      </c>
    </row>
    <row r="322" spans="1:16" x14ac:dyDescent="0.25">
      <c r="A322" s="14" t="str">
        <f t="shared" si="14"/>
        <v>AVT0000321</v>
      </c>
      <c r="B322" s="13" t="str">
        <f>VLOOKUP(D322,'SUPPLIER_ITEMS (1st Tools)'!C424:D2151,2,FALSE)</f>
        <v>1ST-358-423</v>
      </c>
      <c r="C322" s="14" t="s">
        <v>206</v>
      </c>
      <c r="D322" s="18" t="s">
        <v>1163</v>
      </c>
      <c r="F322" s="30" t="str">
        <f t="shared" si="15"/>
        <v>AV104004-POLOLOCK PE MALE ELBOW 3/4X1/2</v>
      </c>
      <c r="I322" s="31" t="str">
        <f>VLOOKUP(D322,'[1]NEW PRICE LIST'!$C$4:$D$1917,2,FALSE)</f>
        <v>260PCS/CTN</v>
      </c>
      <c r="J322" s="13" t="s">
        <v>300</v>
      </c>
      <c r="K322" s="32">
        <f>VLOOKUP(D322,'[1]NEW PRICE LIST'!$C$4:$H$1917,3,FALSE)</f>
        <v>92</v>
      </c>
      <c r="L322" s="13">
        <v>100</v>
      </c>
      <c r="M322" s="13">
        <v>0</v>
      </c>
      <c r="N322" s="13">
        <v>30</v>
      </c>
      <c r="P322" s="13" t="s">
        <v>3961</v>
      </c>
    </row>
    <row r="323" spans="1:16" x14ac:dyDescent="0.25">
      <c r="A323" s="14" t="str">
        <f t="shared" si="14"/>
        <v>AVT0000322</v>
      </c>
      <c r="B323" s="13" t="str">
        <f>VLOOKUP(D323,'SUPPLIER_ITEMS (1st Tools)'!C426:D2153,2,FALSE)</f>
        <v>1ST-358-425</v>
      </c>
      <c r="C323" s="14" t="s">
        <v>768</v>
      </c>
      <c r="D323" s="18" t="s">
        <v>1166</v>
      </c>
      <c r="F323" s="30" t="str">
        <f t="shared" si="15"/>
        <v>AV105002-POLOLOCK PE FEMALE ELBOW 1/2</v>
      </c>
      <c r="I323" s="31" t="str">
        <f>VLOOKUP(D323,'[1]NEW PRICE LIST'!$C$4:$D$1917,2,FALSE)</f>
        <v>380PCS/CTN</v>
      </c>
      <c r="J323" s="13" t="s">
        <v>300</v>
      </c>
      <c r="K323" s="32">
        <f>VLOOKUP(D323,'[1]NEW PRICE LIST'!$C$4:$H$1917,3,FALSE)</f>
        <v>84</v>
      </c>
      <c r="L323" s="13">
        <v>100</v>
      </c>
      <c r="M323" s="13">
        <v>0</v>
      </c>
      <c r="N323" s="13">
        <v>30</v>
      </c>
      <c r="P323" s="13" t="s">
        <v>3961</v>
      </c>
    </row>
    <row r="324" spans="1:16" x14ac:dyDescent="0.25">
      <c r="A324" s="14" t="str">
        <f t="shared" ref="A324:A387" si="16">"AVT"&amp;TEXT(RIGHT(A323,LEN(A323)-3)+1,"0000000")</f>
        <v>AVT0000323</v>
      </c>
      <c r="B324" s="13" t="str">
        <f>VLOOKUP(D324,'SUPPLIER_ITEMS (1st Tools)'!C427:D2154,2,FALSE)</f>
        <v>1ST-358-426</v>
      </c>
      <c r="C324" s="14" t="s">
        <v>768</v>
      </c>
      <c r="D324" s="18" t="s">
        <v>1167</v>
      </c>
      <c r="F324" s="30" t="str">
        <f t="shared" si="15"/>
        <v>AV105005-POLOLOCK PE FEMALE ELBOW 3/4</v>
      </c>
      <c r="I324" s="31" t="str">
        <f>VLOOKUP(D324,'[1]NEW PRICE LIST'!$C$4:$D$1917,2,FALSE)</f>
        <v>240PCS/CTN</v>
      </c>
      <c r="J324" s="13" t="s">
        <v>300</v>
      </c>
      <c r="K324" s="32">
        <f>VLOOKUP(D324,'[1]NEW PRICE LIST'!$C$4:$H$1917,3,FALSE)</f>
        <v>96</v>
      </c>
      <c r="L324" s="13">
        <v>100</v>
      </c>
      <c r="M324" s="13">
        <v>0</v>
      </c>
      <c r="N324" s="13">
        <v>30</v>
      </c>
      <c r="P324" s="13" t="s">
        <v>3961</v>
      </c>
    </row>
    <row r="325" spans="1:16" x14ac:dyDescent="0.25">
      <c r="A325" s="14" t="str">
        <f t="shared" si="16"/>
        <v>AVT0000324</v>
      </c>
      <c r="B325" s="13" t="str">
        <f>VLOOKUP(D325,'SUPPLIER_ITEMS (1st Tools)'!C428:D2155,2,FALSE)</f>
        <v>1ST-358-427</v>
      </c>
      <c r="C325" s="14" t="s">
        <v>768</v>
      </c>
      <c r="D325" s="18" t="s">
        <v>1168</v>
      </c>
      <c r="F325" s="30" t="str">
        <f t="shared" si="15"/>
        <v>AV105008-POLOLOCK PE FEMALE ELBOW 1X1"</v>
      </c>
      <c r="I325" s="31" t="str">
        <f>VLOOKUP(D325,'[1]NEW PRICE LIST'!$C$4:$D$1917,2,FALSE)</f>
        <v>125PCS/CTN</v>
      </c>
      <c r="J325" s="13" t="s">
        <v>300</v>
      </c>
      <c r="K325" s="32">
        <f>VLOOKUP(D325,'[1]NEW PRICE LIST'!$C$4:$H$1917,3,FALSE)</f>
        <v>124</v>
      </c>
      <c r="L325" s="13">
        <v>100</v>
      </c>
      <c r="M325" s="13">
        <v>0</v>
      </c>
      <c r="N325" s="13">
        <v>30</v>
      </c>
      <c r="P325" s="13" t="s">
        <v>3961</v>
      </c>
    </row>
    <row r="326" spans="1:16" x14ac:dyDescent="0.25">
      <c r="A326" s="14" t="str">
        <f t="shared" si="16"/>
        <v>AVT0000325</v>
      </c>
      <c r="B326" s="13" t="str">
        <f>VLOOKUP(D326,'SUPPLIER_ITEMS (1st Tools)'!C436:D2163,2,FALSE)</f>
        <v>1ST-358-435</v>
      </c>
      <c r="C326" s="14" t="s">
        <v>765</v>
      </c>
      <c r="D326" s="18" t="s">
        <v>1179</v>
      </c>
      <c r="F326" s="30" t="str">
        <f t="shared" si="15"/>
        <v>AV108003- POLOLOCK PE FEMALE ADAPTOR 1/2X1/2</v>
      </c>
      <c r="I326" s="31" t="str">
        <f>VLOOKUP(D326,'[1]NEW PRICE LIST'!$C$4:$D$1917,2,FALSE)</f>
        <v>500PCS/CTN</v>
      </c>
      <c r="J326" s="13" t="s">
        <v>300</v>
      </c>
      <c r="K326" s="32">
        <f>VLOOKUP(D326,'[1]NEW PRICE LIST'!$C$4:$H$1917,3,FALSE)</f>
        <v>52</v>
      </c>
      <c r="L326" s="13">
        <v>100</v>
      </c>
      <c r="M326" s="13">
        <v>0</v>
      </c>
      <c r="N326" s="13">
        <v>30</v>
      </c>
      <c r="P326" s="13" t="s">
        <v>3961</v>
      </c>
    </row>
    <row r="327" spans="1:16" x14ac:dyDescent="0.25">
      <c r="A327" s="14" t="str">
        <f t="shared" si="16"/>
        <v>AVT0000326</v>
      </c>
      <c r="B327" s="13" t="str">
        <f>VLOOKUP(D327,'SUPPLIER_ITEMS (1st Tools)'!C437:D2164,2,FALSE)</f>
        <v>1ST-358-436</v>
      </c>
      <c r="C327" s="14" t="s">
        <v>765</v>
      </c>
      <c r="D327" s="18" t="s">
        <v>1180</v>
      </c>
      <c r="F327" s="30" t="str">
        <f t="shared" si="15"/>
        <v>AV108006-POLOLOCK PE FEMALE ADAPTOR 3/4X3/4</v>
      </c>
      <c r="I327" s="31" t="str">
        <f>VLOOKUP(D327,'[1]NEW PRICE LIST'!$C$4:$D$1917,2,FALSE)</f>
        <v>300PCS/CTN</v>
      </c>
      <c r="J327" s="13" t="s">
        <v>300</v>
      </c>
      <c r="K327" s="32">
        <f>VLOOKUP(D327,'[1]NEW PRICE LIST'!$C$4:$H$1917,3,FALSE)</f>
        <v>58</v>
      </c>
      <c r="L327" s="13">
        <v>100</v>
      </c>
      <c r="M327" s="13">
        <v>0</v>
      </c>
      <c r="N327" s="13">
        <v>30</v>
      </c>
      <c r="P327" s="13" t="s">
        <v>3961</v>
      </c>
    </row>
    <row r="328" spans="1:16" x14ac:dyDescent="0.25">
      <c r="A328" s="14" t="str">
        <f t="shared" si="16"/>
        <v>AVT0000327</v>
      </c>
      <c r="B328" s="13" t="str">
        <f>VLOOKUP(D328,'SUPPLIER_ITEMS (1st Tools)'!C438:D2165,2,FALSE)</f>
        <v>1ST-358-437</v>
      </c>
      <c r="C328" s="14" t="s">
        <v>765</v>
      </c>
      <c r="D328" s="18" t="s">
        <v>1182</v>
      </c>
      <c r="F328" s="30" t="str">
        <f t="shared" si="15"/>
        <v>AV108009-POLOLOCK PE FEMALE ADAPTOR 1X1</v>
      </c>
      <c r="I328" s="31" t="str">
        <f>VLOOKUP(D328,'[1]NEW PRICE LIST'!$C$4:$D$1917,2,FALSE)</f>
        <v>200PCS/CTN</v>
      </c>
      <c r="J328" s="13" t="s">
        <v>300</v>
      </c>
      <c r="K328" s="32">
        <f>VLOOKUP(D328,'[1]NEW PRICE LIST'!$C$4:$H$1917,3,FALSE)</f>
        <v>92</v>
      </c>
      <c r="L328" s="13">
        <v>100</v>
      </c>
      <c r="M328" s="13">
        <v>0</v>
      </c>
      <c r="N328" s="13">
        <v>30</v>
      </c>
      <c r="P328" s="13" t="s">
        <v>3961</v>
      </c>
    </row>
    <row r="329" spans="1:16" x14ac:dyDescent="0.25">
      <c r="A329" s="14" t="str">
        <f t="shared" si="16"/>
        <v>AVT0000328</v>
      </c>
      <c r="B329" s="13" t="str">
        <f>VLOOKUP(D329,'SUPPLIER_ITEMS (1st Tools)'!C439:D2166,2,FALSE)</f>
        <v>1ST-358-438</v>
      </c>
      <c r="C329" s="14" t="s">
        <v>764</v>
      </c>
      <c r="D329" s="19" t="s">
        <v>1183</v>
      </c>
      <c r="F329" s="30" t="str">
        <f t="shared" si="15"/>
        <v>AV109002- POLOLOCK PE TEE 1/2</v>
      </c>
      <c r="I329" s="31" t="str">
        <f>VLOOKUP(D329,'[1]NEW PRICE LIST'!$C$4:$D$1917,2,FALSE)</f>
        <v>160PCS/CTN</v>
      </c>
      <c r="J329" s="13" t="s">
        <v>300</v>
      </c>
      <c r="K329" s="32">
        <f>VLOOKUP(D329,'[1]NEW PRICE LIST'!$C$4:$H$1917,3,FALSE)</f>
        <v>92</v>
      </c>
      <c r="L329" s="13">
        <v>100</v>
      </c>
      <c r="M329" s="13">
        <v>0</v>
      </c>
      <c r="N329" s="13">
        <v>30</v>
      </c>
      <c r="P329" s="13" t="s">
        <v>3961</v>
      </c>
    </row>
    <row r="330" spans="1:16" x14ac:dyDescent="0.25">
      <c r="A330" s="14" t="str">
        <f t="shared" si="16"/>
        <v>AVT0000329</v>
      </c>
      <c r="B330" s="13" t="str">
        <f>VLOOKUP(D330,'SUPPLIER_ITEMS (1st Tools)'!C440:D2167,2,FALSE)</f>
        <v>1ST-358-439</v>
      </c>
      <c r="C330" s="14" t="s">
        <v>764</v>
      </c>
      <c r="D330" s="19" t="s">
        <v>1184</v>
      </c>
      <c r="F330" s="30" t="str">
        <f t="shared" si="15"/>
        <v>AV109003- POLOLOCK PE TEE 3/4</v>
      </c>
      <c r="I330" s="31" t="str">
        <f>VLOOKUP(D330,'[1]NEW PRICE LIST'!$C$4:$D$1917,2,FALSE)</f>
        <v>100PCS/CTN</v>
      </c>
      <c r="J330" s="13" t="s">
        <v>300</v>
      </c>
      <c r="K330" s="32">
        <f>VLOOKUP(D330,'[1]NEW PRICE LIST'!$C$4:$H$1917,3,FALSE)</f>
        <v>132</v>
      </c>
      <c r="L330" s="13">
        <v>100</v>
      </c>
      <c r="M330" s="13">
        <v>0</v>
      </c>
      <c r="N330" s="13">
        <v>30</v>
      </c>
      <c r="P330" s="13" t="s">
        <v>3961</v>
      </c>
    </row>
    <row r="331" spans="1:16" x14ac:dyDescent="0.25">
      <c r="A331" s="14" t="str">
        <f t="shared" si="16"/>
        <v>AVT0000330</v>
      </c>
      <c r="B331" s="13" t="str">
        <f>VLOOKUP(D331,'SUPPLIER_ITEMS (1st Tools)'!C441:D2168,2,FALSE)</f>
        <v>1ST-358-440</v>
      </c>
      <c r="C331" s="14" t="s">
        <v>764</v>
      </c>
      <c r="D331" s="19" t="s">
        <v>1186</v>
      </c>
      <c r="F331" s="30" t="str">
        <f t="shared" si="15"/>
        <v>AV109004-POLOLOCK PE TEE 1"</v>
      </c>
      <c r="I331" s="31" t="str">
        <f>VLOOKUP(D331,'[1]NEW PRICE LIST'!$C$4:$D$1917,2,FALSE)</f>
        <v>65PCS/CTN</v>
      </c>
      <c r="J331" s="13" t="s">
        <v>300</v>
      </c>
      <c r="K331" s="32">
        <f>VLOOKUP(D331,'[1]NEW PRICE LIST'!$C$4:$H$1917,3,FALSE)</f>
        <v>160</v>
      </c>
      <c r="L331" s="13">
        <v>100</v>
      </c>
      <c r="M331" s="13">
        <v>0</v>
      </c>
      <c r="N331" s="13">
        <v>30</v>
      </c>
      <c r="P331" s="13" t="s">
        <v>3961</v>
      </c>
    </row>
    <row r="332" spans="1:16" x14ac:dyDescent="0.25">
      <c r="A332" s="14" t="str">
        <f t="shared" si="16"/>
        <v>AVT0000331</v>
      </c>
      <c r="B332" s="13" t="str">
        <f>VLOOKUP(D332,'SUPPLIER_ITEMS (1st Tools)'!C442:D2169,2,FALSE)</f>
        <v>1ST-358-441</v>
      </c>
      <c r="C332" s="14" t="s">
        <v>763</v>
      </c>
      <c r="D332" s="19" t="s">
        <v>1187</v>
      </c>
      <c r="F332" s="30" t="str">
        <f t="shared" si="15"/>
        <v>AV1010001 POLOLOCK PE REDUCING TEE 3/4X1/2</v>
      </c>
      <c r="I332" s="31" t="str">
        <f>VLOOKUP(D332,'[1]NEW PRICE LIST'!$C$4:$D$1917,2,FALSE)</f>
        <v>120PCS/CTN</v>
      </c>
      <c r="J332" s="13" t="s">
        <v>300</v>
      </c>
      <c r="K332" s="32">
        <f>VLOOKUP(D332,'[1]NEW PRICE LIST'!$C$4:$H$1917,3,FALSE)</f>
        <v>142</v>
      </c>
      <c r="L332" s="13">
        <v>100</v>
      </c>
      <c r="M332" s="13">
        <v>0</v>
      </c>
      <c r="N332" s="13">
        <v>30</v>
      </c>
      <c r="P332" s="13" t="s">
        <v>3961</v>
      </c>
    </row>
    <row r="333" spans="1:16" x14ac:dyDescent="0.25">
      <c r="A333" s="14" t="str">
        <f t="shared" si="16"/>
        <v>AVT0000332</v>
      </c>
      <c r="B333" s="13" t="str">
        <f>VLOOKUP(D333,'SUPPLIER_ITEMS (1st Tools)'!C443:D2170,2,FALSE)</f>
        <v>1ST-358-442</v>
      </c>
      <c r="C333" s="14" t="s">
        <v>763</v>
      </c>
      <c r="D333" s="19" t="s">
        <v>1189</v>
      </c>
      <c r="F333" s="30" t="str">
        <f t="shared" si="15"/>
        <v>AV1010002 POLOLOCK PE REDUCING TEE 1X3/4</v>
      </c>
      <c r="I333" s="31" t="str">
        <f>VLOOKUP(D333,'[1]NEW PRICE LIST'!$C$4:$D$1917,2,FALSE)</f>
        <v>72PCS/CTN</v>
      </c>
      <c r="J333" s="13" t="s">
        <v>300</v>
      </c>
      <c r="K333" s="32">
        <f>VLOOKUP(D333,'[1]NEW PRICE LIST'!$C$4:$H$1917,3,FALSE)</f>
        <v>168</v>
      </c>
      <c r="L333" s="13">
        <v>100</v>
      </c>
      <c r="M333" s="13">
        <v>0</v>
      </c>
      <c r="N333" s="13">
        <v>30</v>
      </c>
      <c r="P333" s="13" t="s">
        <v>3961</v>
      </c>
    </row>
    <row r="334" spans="1:16" x14ac:dyDescent="0.25">
      <c r="A334" s="14" t="str">
        <f t="shared" si="16"/>
        <v>AVT0000333</v>
      </c>
      <c r="B334" s="13" t="str">
        <f>VLOOKUP(D334,'SUPPLIER_ITEMS (1st Tools)'!C444:D2171,2,FALSE)</f>
        <v>1ST-358-443</v>
      </c>
      <c r="C334" s="14" t="s">
        <v>762</v>
      </c>
      <c r="D334" s="18" t="s">
        <v>1190</v>
      </c>
      <c r="F334" s="30" t="str">
        <f t="shared" si="15"/>
        <v>AV101103- POLOLOCK PE FEMALE TEE 1/2X1/2</v>
      </c>
      <c r="I334" s="31" t="str">
        <f>VLOOKUP(D334,'[1]NEW PRICE LIST'!$C$4:$D$1917,2,FALSE)</f>
        <v>200PCS/CTN</v>
      </c>
      <c r="J334" s="13" t="s">
        <v>300</v>
      </c>
      <c r="K334" s="32">
        <f>VLOOKUP(D334,'[1]NEW PRICE LIST'!$C$4:$H$1917,3,FALSE)</f>
        <v>94</v>
      </c>
      <c r="L334" s="13">
        <v>100</v>
      </c>
      <c r="M334" s="13">
        <v>0</v>
      </c>
      <c r="N334" s="13">
        <v>30</v>
      </c>
      <c r="P334" s="13" t="s">
        <v>3961</v>
      </c>
    </row>
    <row r="335" spans="1:16" x14ac:dyDescent="0.25">
      <c r="A335" s="14" t="str">
        <f t="shared" si="16"/>
        <v>AVT0000334</v>
      </c>
      <c r="B335" s="13" t="str">
        <f>VLOOKUP(D335,'SUPPLIER_ITEMS (1st Tools)'!C445:D2172,2,FALSE)</f>
        <v>1ST-358-444</v>
      </c>
      <c r="C335" s="14" t="s">
        <v>762</v>
      </c>
      <c r="D335" s="18" t="s">
        <v>1192</v>
      </c>
      <c r="F335" s="30" t="str">
        <f t="shared" si="15"/>
        <v>AV101105- POLOLOCK PE FEMALE TEE 3/4X1/2</v>
      </c>
      <c r="I335" s="31" t="str">
        <f>VLOOKUP(D335,'[1]NEW PRICE LIST'!$C$4:$D$1917,2,FALSE)</f>
        <v>120PCS/CTN</v>
      </c>
      <c r="J335" s="13" t="s">
        <v>300</v>
      </c>
      <c r="K335" s="32">
        <f>VLOOKUP(D335,'[1]NEW PRICE LIST'!$C$4:$H$1917,3,FALSE)</f>
        <v>125</v>
      </c>
      <c r="L335" s="13">
        <v>100</v>
      </c>
      <c r="M335" s="13">
        <v>0</v>
      </c>
      <c r="N335" s="13">
        <v>30</v>
      </c>
      <c r="P335" s="13" t="s">
        <v>3961</v>
      </c>
    </row>
    <row r="336" spans="1:16" x14ac:dyDescent="0.25">
      <c r="A336" s="14" t="str">
        <f t="shared" si="16"/>
        <v>AVT0000335</v>
      </c>
      <c r="B336" s="13" t="str">
        <f>VLOOKUP(D336,'SUPPLIER_ITEMS (1st Tools)'!C446:D2173,2,FALSE)</f>
        <v>1ST-358-445</v>
      </c>
      <c r="C336" s="14" t="s">
        <v>762</v>
      </c>
      <c r="D336" s="18" t="s">
        <v>1193</v>
      </c>
      <c r="F336" s="30" t="str">
        <f t="shared" si="15"/>
        <v>AV1011006-POLOLOCK PE FEMALE TEE 3/4X3/4</v>
      </c>
      <c r="I336" s="31" t="str">
        <f>VLOOKUP(D336,'[1]NEW PRICE LIST'!$C$4:$D$1917,2,FALSE)</f>
        <v>100PCS/CTN</v>
      </c>
      <c r="J336" s="13" t="s">
        <v>300</v>
      </c>
      <c r="K336" s="32">
        <f>VLOOKUP(D336,'[1]NEW PRICE LIST'!$C$4:$H$1917,3,FALSE)</f>
        <v>135</v>
      </c>
      <c r="L336" s="13">
        <v>100</v>
      </c>
      <c r="M336" s="13">
        <v>0</v>
      </c>
      <c r="N336" s="13">
        <v>30</v>
      </c>
      <c r="P336" s="13" t="s">
        <v>3961</v>
      </c>
    </row>
    <row r="337" spans="1:16" ht="26.4" x14ac:dyDescent="0.25">
      <c r="A337" s="14" t="str">
        <f t="shared" si="16"/>
        <v>AVT0000336</v>
      </c>
      <c r="B337" s="13" t="str">
        <f>VLOOKUP(D337,'SUPPLIER_ITEMS (1st Tools)'!C448:D2175,2,FALSE)</f>
        <v>1ST-358-447</v>
      </c>
      <c r="C337" s="14" t="s">
        <v>758</v>
      </c>
      <c r="D337" s="18" t="s">
        <v>1195</v>
      </c>
      <c r="F337" s="30" t="str">
        <f t="shared" si="15"/>
        <v>AV222301-01 1/2" (Φ20) PE COMPRESSION COUPLING ALL BLACK</v>
      </c>
      <c r="I337" s="31" t="str">
        <f>VLOOKUP(D337,'[1]NEW PRICE LIST'!$C$4:$D$1917,2,FALSE)</f>
        <v>250PCS/CTN</v>
      </c>
      <c r="J337" s="13" t="s">
        <v>300</v>
      </c>
      <c r="K337" s="32">
        <f>VLOOKUP(D337,'[1]NEW PRICE LIST'!$C$4:$H$1917,3,FALSE)</f>
        <v>72</v>
      </c>
      <c r="L337" s="13">
        <v>100</v>
      </c>
      <c r="M337" s="13">
        <v>0</v>
      </c>
      <c r="N337" s="13">
        <v>30</v>
      </c>
      <c r="P337" s="13" t="s">
        <v>3961</v>
      </c>
    </row>
    <row r="338" spans="1:16" ht="26.4" x14ac:dyDescent="0.25">
      <c r="A338" s="14" t="str">
        <f t="shared" si="16"/>
        <v>AVT0000337</v>
      </c>
      <c r="B338" s="13" t="str">
        <f>VLOOKUP(D338,'SUPPLIER_ITEMS (1st Tools)'!C449:D2176,2,FALSE)</f>
        <v>1ST-358-448</v>
      </c>
      <c r="C338" s="14" t="s">
        <v>758</v>
      </c>
      <c r="D338" s="18" t="s">
        <v>1197</v>
      </c>
      <c r="F338" s="30" t="str">
        <f t="shared" si="15"/>
        <v>AV222301-02 3/4" (Φ25) PE COMPRESSION COUPLING ALL BLACK</v>
      </c>
      <c r="I338" s="31" t="str">
        <f>VLOOKUP(D338,'[1]NEW PRICE LIST'!$C$4:$D$1917,2,FALSE)</f>
        <v>180PCS/CTN</v>
      </c>
      <c r="J338" s="13" t="s">
        <v>300</v>
      </c>
      <c r="K338" s="32">
        <f>VLOOKUP(D338,'[1]NEW PRICE LIST'!$C$4:$H$1917,3,FALSE)</f>
        <v>90</v>
      </c>
      <c r="L338" s="13">
        <v>100</v>
      </c>
      <c r="M338" s="13">
        <v>0</v>
      </c>
      <c r="N338" s="13">
        <v>30</v>
      </c>
      <c r="P338" s="13" t="s">
        <v>3961</v>
      </c>
    </row>
    <row r="339" spans="1:16" ht="26.4" x14ac:dyDescent="0.25">
      <c r="A339" s="14" t="str">
        <f t="shared" si="16"/>
        <v>AVT0000338</v>
      </c>
      <c r="B339" s="13" t="str">
        <f>VLOOKUP(D339,'SUPPLIER_ITEMS (1st Tools)'!C450:D2177,2,FALSE)</f>
        <v>1ST-358-449</v>
      </c>
      <c r="C339" s="14" t="s">
        <v>758</v>
      </c>
      <c r="D339" s="18" t="s">
        <v>1198</v>
      </c>
      <c r="F339" s="30" t="str">
        <f t="shared" si="15"/>
        <v>AV222301-03 1" (Φ32) PE COMPRESSION COUPLING ALL BLACK</v>
      </c>
      <c r="I339" s="31" t="str">
        <f>VLOOKUP(D339,'[1]NEW PRICE LIST'!$C$4:$D$1917,2,FALSE)</f>
        <v>100PCS/CTN</v>
      </c>
      <c r="J339" s="13" t="s">
        <v>300</v>
      </c>
      <c r="K339" s="32">
        <f>VLOOKUP(D339,'[1]NEW PRICE LIST'!$C$4:$H$1917,3,FALSE)</f>
        <v>102</v>
      </c>
      <c r="L339" s="13">
        <v>100</v>
      </c>
      <c r="M339" s="13">
        <v>0</v>
      </c>
      <c r="N339" s="13">
        <v>30</v>
      </c>
      <c r="P339" s="13" t="s">
        <v>3961</v>
      </c>
    </row>
    <row r="340" spans="1:16" ht="26.4" x14ac:dyDescent="0.25">
      <c r="A340" s="14" t="str">
        <f t="shared" si="16"/>
        <v>AVT0000339</v>
      </c>
      <c r="B340" s="13" t="str">
        <f>VLOOKUP(D340,'SUPPLIER_ITEMS (1st Tools)'!C451:D2178,2,FALSE)</f>
        <v>1ST-358-450</v>
      </c>
      <c r="C340" s="14" t="s">
        <v>758</v>
      </c>
      <c r="D340" s="18" t="s">
        <v>1200</v>
      </c>
      <c r="F340" s="30" t="str">
        <f t="shared" ref="F340:F401" si="17">"AV"&amp;RIGHT(D340,LEN(D340)-2)</f>
        <v>AV222301-04 1-1/4" (Φ40) PE COMPRESSION COUPLING ALL BLACK</v>
      </c>
      <c r="I340" s="31" t="str">
        <f>VLOOKUP(D340,'[1]NEW PRICE LIST'!$C$4:$D$1917,2,FALSE)</f>
        <v>60PCS/CTN</v>
      </c>
      <c r="J340" s="13" t="s">
        <v>300</v>
      </c>
      <c r="K340" s="32">
        <f>VLOOKUP(D340,'[1]NEW PRICE LIST'!$C$4:$H$1917,3,FALSE)</f>
        <v>244</v>
      </c>
      <c r="L340" s="13">
        <v>100</v>
      </c>
      <c r="M340" s="13">
        <v>0</v>
      </c>
      <c r="N340" s="13">
        <v>30</v>
      </c>
      <c r="P340" s="13" t="s">
        <v>3961</v>
      </c>
    </row>
    <row r="341" spans="1:16" ht="26.4" x14ac:dyDescent="0.25">
      <c r="A341" s="14" t="str">
        <f t="shared" si="16"/>
        <v>AVT0000340</v>
      </c>
      <c r="B341" s="13" t="str">
        <f>VLOOKUP(D341,'SUPPLIER_ITEMS (1st Tools)'!C452:D2179,2,FALSE)</f>
        <v>1ST-358-451</v>
      </c>
      <c r="C341" s="14" t="s">
        <v>758</v>
      </c>
      <c r="D341" s="18" t="s">
        <v>1202</v>
      </c>
      <c r="F341" s="30" t="str">
        <f t="shared" si="17"/>
        <v>AV222301-05 1-1/2" (Φ50) PE COMPRESSION COUPLING ALL BLACK</v>
      </c>
      <c r="I341" s="31" t="str">
        <f>VLOOKUP(D341,'[1]NEW PRICE LIST'!$C$4:$D$1917,2,FALSE)</f>
        <v>48PCS/CTN</v>
      </c>
      <c r="J341" s="13" t="s">
        <v>300</v>
      </c>
      <c r="K341" s="32">
        <f>VLOOKUP(D341,'[1]NEW PRICE LIST'!$C$4:$H$1917,3,FALSE)</f>
        <v>292</v>
      </c>
      <c r="L341" s="13">
        <v>100</v>
      </c>
      <c r="M341" s="13">
        <v>0</v>
      </c>
      <c r="N341" s="13">
        <v>30</v>
      </c>
      <c r="P341" s="13" t="s">
        <v>3961</v>
      </c>
    </row>
    <row r="342" spans="1:16" ht="26.4" x14ac:dyDescent="0.25">
      <c r="A342" s="14" t="str">
        <f t="shared" si="16"/>
        <v>AVT0000341</v>
      </c>
      <c r="B342" s="13" t="str">
        <f>VLOOKUP(D342,'SUPPLIER_ITEMS (1st Tools)'!C453:D2180,2,FALSE)</f>
        <v>1ST-358-452</v>
      </c>
      <c r="C342" s="14" t="s">
        <v>758</v>
      </c>
      <c r="D342" s="18" t="s">
        <v>1204</v>
      </c>
      <c r="F342" s="30" t="str">
        <f t="shared" si="17"/>
        <v>AV222301-06 2" (Φ63) PE COMPRESSION COUPLING ALL BLACK</v>
      </c>
      <c r="I342" s="31" t="str">
        <f>VLOOKUP(D342,'[1]NEW PRICE LIST'!$C$4:$D$1917,2,FALSE)</f>
        <v>24PCS/CTN</v>
      </c>
      <c r="J342" s="13" t="s">
        <v>300</v>
      </c>
      <c r="K342" s="32">
        <f>VLOOKUP(D342,'[1]NEW PRICE LIST'!$C$4:$H$1917,3,FALSE)</f>
        <v>410</v>
      </c>
      <c r="L342" s="13">
        <v>100</v>
      </c>
      <c r="M342" s="13">
        <v>0</v>
      </c>
      <c r="N342" s="13">
        <v>30</v>
      </c>
      <c r="P342" s="13" t="s">
        <v>3961</v>
      </c>
    </row>
    <row r="343" spans="1:16" x14ac:dyDescent="0.25">
      <c r="A343" s="14" t="str">
        <f t="shared" si="16"/>
        <v>AVT0000342</v>
      </c>
      <c r="B343" s="13" t="str">
        <f>VLOOKUP(D343,'SUPPLIER_ITEMS (1st Tools)'!C455:D2182,2,FALSE)</f>
        <v>1ST-358-454</v>
      </c>
      <c r="C343" s="14" t="s">
        <v>760</v>
      </c>
      <c r="D343" s="18" t="s">
        <v>1208</v>
      </c>
      <c r="F343" s="30" t="str">
        <f t="shared" si="17"/>
        <v>AV222302-01 1/2" (Φ20) PE COMPRESSION ELBOW ALL BLACK</v>
      </c>
      <c r="I343" s="31" t="str">
        <f>VLOOKUP(D343,'[1]NEW PRICE LIST'!$C$4:$D$1917,2,FALSE)</f>
        <v>225PCS/CTN</v>
      </c>
      <c r="J343" s="13" t="s">
        <v>300</v>
      </c>
      <c r="K343" s="32">
        <f>VLOOKUP(D343,'[1]NEW PRICE LIST'!$C$4:$H$1917,3,FALSE)</f>
        <v>84</v>
      </c>
      <c r="L343" s="13">
        <v>100</v>
      </c>
      <c r="M343" s="13">
        <v>0</v>
      </c>
      <c r="N343" s="13">
        <v>30</v>
      </c>
      <c r="P343" s="13" t="s">
        <v>3961</v>
      </c>
    </row>
    <row r="344" spans="1:16" x14ac:dyDescent="0.25">
      <c r="A344" s="14" t="str">
        <f t="shared" si="16"/>
        <v>AVT0000343</v>
      </c>
      <c r="B344" s="13" t="str">
        <f>VLOOKUP(D344,'SUPPLIER_ITEMS (1st Tools)'!C456:D2183,2,FALSE)</f>
        <v>1ST-358-455</v>
      </c>
      <c r="C344" s="14" t="s">
        <v>760</v>
      </c>
      <c r="D344" s="18" t="s">
        <v>1209</v>
      </c>
      <c r="F344" s="30" t="str">
        <f t="shared" si="17"/>
        <v>AV222302-02 3/4" (Φ25) PE COMPRESSION ELBOW ALL BLACK</v>
      </c>
      <c r="I344" s="31" t="str">
        <f>VLOOKUP(D344,'[1]NEW PRICE LIST'!$C$4:$D$1917,2,FALSE)</f>
        <v>150PCS/CTN</v>
      </c>
      <c r="J344" s="13" t="s">
        <v>300</v>
      </c>
      <c r="K344" s="32">
        <f>VLOOKUP(D344,'[1]NEW PRICE LIST'!$C$4:$H$1917,3,FALSE)</f>
        <v>96</v>
      </c>
      <c r="L344" s="13">
        <v>100</v>
      </c>
      <c r="M344" s="13">
        <v>0</v>
      </c>
      <c r="N344" s="13">
        <v>30</v>
      </c>
      <c r="P344" s="13" t="s">
        <v>3961</v>
      </c>
    </row>
    <row r="345" spans="1:16" x14ac:dyDescent="0.25">
      <c r="A345" s="14" t="str">
        <f t="shared" si="16"/>
        <v>AVT0000344</v>
      </c>
      <c r="B345" s="13" t="str">
        <f>VLOOKUP(D345,'SUPPLIER_ITEMS (1st Tools)'!C457:D2184,2,FALSE)</f>
        <v>1ST-358-456</v>
      </c>
      <c r="C345" s="14" t="s">
        <v>760</v>
      </c>
      <c r="D345" s="18" t="s">
        <v>1210</v>
      </c>
      <c r="F345" s="30" t="str">
        <f t="shared" si="17"/>
        <v>AV222302-03 1" (Φ32) PE COMPRESSION ELBOW ALL BLACK</v>
      </c>
      <c r="I345" s="31" t="str">
        <f>VLOOKUP(D345,'[1]NEW PRICE LIST'!$C$4:$D$1917,2,FALSE)</f>
        <v>80PCS/CTN</v>
      </c>
      <c r="J345" s="13" t="s">
        <v>300</v>
      </c>
      <c r="K345" s="32">
        <f>VLOOKUP(D345,'[1]NEW PRICE LIST'!$C$4:$H$1917,3,FALSE)</f>
        <v>124</v>
      </c>
      <c r="L345" s="13">
        <v>100</v>
      </c>
      <c r="M345" s="13">
        <v>0</v>
      </c>
      <c r="N345" s="13">
        <v>30</v>
      </c>
      <c r="P345" s="13" t="s">
        <v>3961</v>
      </c>
    </row>
    <row r="346" spans="1:16" ht="26.4" x14ac:dyDescent="0.25">
      <c r="A346" s="14" t="str">
        <f t="shared" si="16"/>
        <v>AVT0000345</v>
      </c>
      <c r="B346" s="13" t="str">
        <f>VLOOKUP(D346,'SUPPLIER_ITEMS (1st Tools)'!C458:D2185,2,FALSE)</f>
        <v>1ST-358-457</v>
      </c>
      <c r="C346" s="14" t="s">
        <v>760</v>
      </c>
      <c r="D346" s="18" t="s">
        <v>1212</v>
      </c>
      <c r="F346" s="30" t="str">
        <f t="shared" si="17"/>
        <v>AV222302-04 1-1/4" (Φ40) PE COMPRESSION ELBOW ALL BLACK</v>
      </c>
      <c r="I346" s="31" t="str">
        <f>VLOOKUP(D346,'[1]NEW PRICE LIST'!$C$4:$D$1917,2,FALSE)</f>
        <v>45PCS/CTN</v>
      </c>
      <c r="J346" s="13" t="s">
        <v>300</v>
      </c>
      <c r="K346" s="32">
        <f>VLOOKUP(D346,'[1]NEW PRICE LIST'!$C$4:$H$1917,3,FALSE)</f>
        <v>400</v>
      </c>
      <c r="L346" s="13">
        <v>100</v>
      </c>
      <c r="M346" s="13">
        <v>0</v>
      </c>
      <c r="N346" s="13">
        <v>30</v>
      </c>
      <c r="P346" s="13" t="s">
        <v>3961</v>
      </c>
    </row>
    <row r="347" spans="1:16" ht="26.4" x14ac:dyDescent="0.25">
      <c r="A347" s="14" t="str">
        <f t="shared" si="16"/>
        <v>AVT0000346</v>
      </c>
      <c r="B347" s="13" t="str">
        <f>VLOOKUP(D347,'SUPPLIER_ITEMS (1st Tools)'!C459:D2186,2,FALSE)</f>
        <v>1ST-358-458</v>
      </c>
      <c r="C347" s="14" t="s">
        <v>760</v>
      </c>
      <c r="D347" s="18" t="s">
        <v>1214</v>
      </c>
      <c r="F347" s="30" t="str">
        <f t="shared" si="17"/>
        <v>AV222302-05 1-1/2" (Φ50) PE COMPRESSION ELBOW ALL BLACK</v>
      </c>
      <c r="I347" s="31" t="str">
        <f>VLOOKUP(D347,'[1]NEW PRICE LIST'!$C$4:$D$1917,2,FALSE)</f>
        <v>30PCS/CTN</v>
      </c>
      <c r="J347" s="13" t="s">
        <v>300</v>
      </c>
      <c r="K347" s="32">
        <f>VLOOKUP(D347,'[1]NEW PRICE LIST'!$C$4:$H$1917,3,FALSE)</f>
        <v>440</v>
      </c>
      <c r="L347" s="13">
        <v>100</v>
      </c>
      <c r="M347" s="13">
        <v>0</v>
      </c>
      <c r="N347" s="13">
        <v>30</v>
      </c>
      <c r="P347" s="13" t="s">
        <v>3961</v>
      </c>
    </row>
    <row r="348" spans="1:16" x14ac:dyDescent="0.25">
      <c r="A348" s="14" t="str">
        <f t="shared" si="16"/>
        <v>AVT0000347</v>
      </c>
      <c r="B348" s="13" t="str">
        <f>VLOOKUP(D348,'SUPPLIER_ITEMS (1st Tools)'!C460:D2187,2,FALSE)</f>
        <v>1ST-358-459</v>
      </c>
      <c r="C348" s="14" t="s">
        <v>760</v>
      </c>
      <c r="D348" s="18" t="s">
        <v>1216</v>
      </c>
      <c r="F348" s="30" t="str">
        <f t="shared" si="17"/>
        <v>AV222302-06 2" (Φ63) PE COMPRESSION ELBOW ALL BLACK</v>
      </c>
      <c r="I348" s="31" t="str">
        <f>VLOOKUP(D348,'[1]NEW PRICE LIST'!$C$4:$D$1917,2,FALSE)</f>
        <v>20PCS/CTN</v>
      </c>
      <c r="J348" s="13" t="s">
        <v>300</v>
      </c>
      <c r="K348" s="32">
        <f>VLOOKUP(D348,'[1]NEW PRICE LIST'!$C$4:$H$1917,3,FALSE)</f>
        <v>616</v>
      </c>
      <c r="L348" s="13">
        <v>100</v>
      </c>
      <c r="M348" s="13">
        <v>0</v>
      </c>
      <c r="N348" s="13">
        <v>30</v>
      </c>
      <c r="P348" s="13" t="s">
        <v>3961</v>
      </c>
    </row>
    <row r="349" spans="1:16" x14ac:dyDescent="0.25">
      <c r="A349" s="14" t="str">
        <f t="shared" si="16"/>
        <v>AVT0000348</v>
      </c>
      <c r="B349" s="13" t="str">
        <f>VLOOKUP(D349,'SUPPLIER_ITEMS (1st Tools)'!C462:D2189,2,FALSE)</f>
        <v>1ST-358-461</v>
      </c>
      <c r="C349" s="14" t="s">
        <v>759</v>
      </c>
      <c r="D349" s="18" t="s">
        <v>1220</v>
      </c>
      <c r="F349" s="30" t="str">
        <f t="shared" si="17"/>
        <v>AV222303-01 1/2" (Φ20) PE COMPRESSION TEE ALL BLACK</v>
      </c>
      <c r="I349" s="31" t="str">
        <f>VLOOKUP(D349,'[1]NEW PRICE LIST'!$C$4:$D$1917,2,FALSE)</f>
        <v>140PCS/CTN</v>
      </c>
      <c r="J349" s="13" t="s">
        <v>300</v>
      </c>
      <c r="K349" s="32">
        <f>VLOOKUP(D349,'[1]NEW PRICE LIST'!$C$4:$H$1917,3,FALSE)</f>
        <v>92</v>
      </c>
      <c r="L349" s="13">
        <v>100</v>
      </c>
      <c r="M349" s="13">
        <v>0</v>
      </c>
      <c r="N349" s="13">
        <v>30</v>
      </c>
      <c r="P349" s="13" t="s">
        <v>3961</v>
      </c>
    </row>
    <row r="350" spans="1:16" x14ac:dyDescent="0.25">
      <c r="A350" s="14" t="str">
        <f t="shared" si="16"/>
        <v>AVT0000349</v>
      </c>
      <c r="B350" s="13" t="str">
        <f>VLOOKUP(D350,'SUPPLIER_ITEMS (1st Tools)'!C463:D2190,2,FALSE)</f>
        <v>1ST-358-462</v>
      </c>
      <c r="C350" s="14" t="s">
        <v>759</v>
      </c>
      <c r="D350" s="18" t="s">
        <v>1222</v>
      </c>
      <c r="F350" s="30" t="str">
        <f t="shared" si="17"/>
        <v>AV222303-02 3/4" (Φ25) PE COMPRESSION TEE ALL BLACK</v>
      </c>
      <c r="I350" s="31" t="str">
        <f>VLOOKUP(D350,'[1]NEW PRICE LIST'!$C$4:$D$1917,2,FALSE)</f>
        <v>80PCS/CTN</v>
      </c>
      <c r="J350" s="13" t="s">
        <v>300</v>
      </c>
      <c r="K350" s="32">
        <f>VLOOKUP(D350,'[1]NEW PRICE LIST'!$C$4:$H$1917,3,FALSE)</f>
        <v>132</v>
      </c>
      <c r="L350" s="13">
        <v>100</v>
      </c>
      <c r="M350" s="13">
        <v>0</v>
      </c>
      <c r="N350" s="13">
        <v>30</v>
      </c>
      <c r="P350" s="13" t="s">
        <v>3961</v>
      </c>
    </row>
    <row r="351" spans="1:16" x14ac:dyDescent="0.25">
      <c r="A351" s="14" t="str">
        <f t="shared" si="16"/>
        <v>AVT0000350</v>
      </c>
      <c r="B351" s="13" t="str">
        <f>VLOOKUP(D351,'SUPPLIER_ITEMS (1st Tools)'!C464:D2191,2,FALSE)</f>
        <v>1ST-358-463</v>
      </c>
      <c r="C351" s="14" t="s">
        <v>759</v>
      </c>
      <c r="D351" s="18" t="s">
        <v>1224</v>
      </c>
      <c r="F351" s="30" t="str">
        <f t="shared" si="17"/>
        <v>AV222303-03 1" (Φ32) PE COMPRESSION TEE ALL BLACK</v>
      </c>
      <c r="I351" s="31" t="str">
        <f>VLOOKUP(D351,'[1]NEW PRICE LIST'!$C$4:$D$1917,2,FALSE)</f>
        <v>54PCS/CTN</v>
      </c>
      <c r="J351" s="13" t="s">
        <v>300</v>
      </c>
      <c r="K351" s="32">
        <f>VLOOKUP(D351,'[1]NEW PRICE LIST'!$C$4:$H$1917,3,FALSE)</f>
        <v>160</v>
      </c>
      <c r="L351" s="13">
        <v>100</v>
      </c>
      <c r="M351" s="13">
        <v>0</v>
      </c>
      <c r="N351" s="13">
        <v>30</v>
      </c>
      <c r="P351" s="13" t="s">
        <v>3961</v>
      </c>
    </row>
    <row r="352" spans="1:16" x14ac:dyDescent="0.25">
      <c r="A352" s="14" t="str">
        <f t="shared" si="16"/>
        <v>AVT0000351</v>
      </c>
      <c r="B352" s="13" t="str">
        <f>VLOOKUP(D352,'SUPPLIER_ITEMS (1st Tools)'!C465:D2192,2,FALSE)</f>
        <v>1ST-358-464</v>
      </c>
      <c r="C352" s="14" t="s">
        <v>759</v>
      </c>
      <c r="D352" s="18" t="s">
        <v>1225</v>
      </c>
      <c r="F352" s="30" t="str">
        <f t="shared" si="17"/>
        <v>AV222303-04 1-1/4" (Φ40) PE COMPRESSION TEE ALL BLACK</v>
      </c>
      <c r="I352" s="31" t="str">
        <f>VLOOKUP(D352,'[1]NEW PRICE LIST'!$C$4:$D$1917,2,FALSE)</f>
        <v>30PCS/CTN</v>
      </c>
      <c r="J352" s="13" t="s">
        <v>300</v>
      </c>
      <c r="K352" s="32">
        <f>VLOOKUP(D352,'[1]NEW PRICE LIST'!$C$4:$H$1917,3,FALSE)</f>
        <v>420</v>
      </c>
      <c r="L352" s="13">
        <v>100</v>
      </c>
      <c r="M352" s="13">
        <v>0</v>
      </c>
      <c r="N352" s="13">
        <v>30</v>
      </c>
      <c r="P352" s="13" t="s">
        <v>3961</v>
      </c>
    </row>
    <row r="353" spans="1:16" x14ac:dyDescent="0.25">
      <c r="A353" s="14" t="str">
        <f t="shared" si="16"/>
        <v>AVT0000352</v>
      </c>
      <c r="B353" s="13" t="str">
        <f>VLOOKUP(D353,'SUPPLIER_ITEMS (1st Tools)'!C466:D2193,2,FALSE)</f>
        <v>1ST-358-465</v>
      </c>
      <c r="C353" s="14" t="s">
        <v>759</v>
      </c>
      <c r="D353" s="18" t="s">
        <v>1226</v>
      </c>
      <c r="F353" s="30" t="str">
        <f t="shared" si="17"/>
        <v>AV222303-05 1-1/2" (Φ50) PE COMPRESSION TEE ALL BLACK</v>
      </c>
      <c r="I353" s="31" t="str">
        <f>VLOOKUP(D353,'[1]NEW PRICE LIST'!$C$4:$D$1917,2,FALSE)</f>
        <v>22PCS/CTN</v>
      </c>
      <c r="J353" s="13" t="s">
        <v>300</v>
      </c>
      <c r="K353" s="32">
        <f>VLOOKUP(D353,'[1]NEW PRICE LIST'!$C$4:$H$1917,3,FALSE)</f>
        <v>476</v>
      </c>
      <c r="L353" s="13">
        <v>100</v>
      </c>
      <c r="M353" s="13">
        <v>0</v>
      </c>
      <c r="N353" s="13">
        <v>30</v>
      </c>
      <c r="P353" s="13" t="s">
        <v>3961</v>
      </c>
    </row>
    <row r="354" spans="1:16" x14ac:dyDescent="0.25">
      <c r="A354" s="14" t="str">
        <f t="shared" si="16"/>
        <v>AVT0000353</v>
      </c>
      <c r="B354" s="13" t="str">
        <f>VLOOKUP(D354,'SUPPLIER_ITEMS (1st Tools)'!C467:D2194,2,FALSE)</f>
        <v>1ST-358-466</v>
      </c>
      <c r="C354" s="14" t="s">
        <v>759</v>
      </c>
      <c r="D354" s="18" t="s">
        <v>1228</v>
      </c>
      <c r="F354" s="30" t="str">
        <f t="shared" si="17"/>
        <v>AV222303-06 2" (Φ63) PE COMPRESSION TEE ALL BLACK</v>
      </c>
      <c r="I354" s="31" t="str">
        <f>VLOOKUP(D354,'[1]NEW PRICE LIST'!$C$4:$D$1917,2,FALSE)</f>
        <v>12PCS/CTN</v>
      </c>
      <c r="J354" s="13" t="s">
        <v>300</v>
      </c>
      <c r="K354" s="32">
        <f>VLOOKUP(D354,'[1]NEW PRICE LIST'!$C$4:$H$1917,3,FALSE)</f>
        <v>800</v>
      </c>
      <c r="L354" s="13">
        <v>100</v>
      </c>
      <c r="M354" s="13">
        <v>0</v>
      </c>
      <c r="N354" s="13">
        <v>30</v>
      </c>
      <c r="P354" s="13" t="s">
        <v>3961</v>
      </c>
    </row>
    <row r="355" spans="1:16" ht="26.4" x14ac:dyDescent="0.25">
      <c r="A355" s="14" t="str">
        <f t="shared" si="16"/>
        <v>AVT0000354</v>
      </c>
      <c r="B355" s="13" t="str">
        <f>VLOOKUP(D355,'SUPPLIER_ITEMS (1st Tools)'!C468:D2195,2,FALSE)</f>
        <v>1ST-358-467</v>
      </c>
      <c r="C355" s="14" t="s">
        <v>758</v>
      </c>
      <c r="D355" s="18" t="s">
        <v>3041</v>
      </c>
      <c r="F355" s="30" t="str">
        <f t="shared" si="17"/>
        <v>AV222304-01 3/4"*1/2"（Φ25*20）PE COMPRESSION COUPLING REDUCER ALL BLACK</v>
      </c>
      <c r="I355" s="31" t="str">
        <f>VLOOKUP(D355,'[1]NEW PRICE LIST'!$C$4:$D$1917,2,FALSE)</f>
        <v>200PCS/CTN</v>
      </c>
      <c r="J355" s="13" t="s">
        <v>300</v>
      </c>
      <c r="K355" s="32">
        <f>VLOOKUP(D355,'[1]NEW PRICE LIST'!$C$4:$H$1917,3,FALSE)</f>
        <v>92</v>
      </c>
      <c r="L355" s="13">
        <v>100</v>
      </c>
      <c r="M355" s="13">
        <v>0</v>
      </c>
      <c r="N355" s="13">
        <v>30</v>
      </c>
      <c r="P355" s="13" t="s">
        <v>3961</v>
      </c>
    </row>
    <row r="356" spans="1:16" ht="26.4" x14ac:dyDescent="0.25">
      <c r="A356" s="14" t="str">
        <f t="shared" si="16"/>
        <v>AVT0000355</v>
      </c>
      <c r="B356" s="13" t="str">
        <f>VLOOKUP(D356,'SUPPLIER_ITEMS (1st Tools)'!C469:D2196,2,FALSE)</f>
        <v>1ST-358-468</v>
      </c>
      <c r="C356" s="14" t="s">
        <v>758</v>
      </c>
      <c r="D356" s="18" t="s">
        <v>3042</v>
      </c>
      <c r="F356" s="30" t="str">
        <f t="shared" si="17"/>
        <v>AV222304-02 1"*1/2"（Φ32*20）PE COMPRESSION COUPLING REDUCER ALL BLACK</v>
      </c>
      <c r="I356" s="31" t="str">
        <f>VLOOKUP(D356,'[1]NEW PRICE LIST'!$C$4:$D$1917,2,FALSE)</f>
        <v>140PCS/CTN</v>
      </c>
      <c r="J356" s="13" t="s">
        <v>300</v>
      </c>
      <c r="K356" s="32">
        <f>VLOOKUP(D356,'[1]NEW PRICE LIST'!$C$4:$H$1917,3,FALSE)</f>
        <v>132</v>
      </c>
      <c r="L356" s="13">
        <v>100</v>
      </c>
      <c r="M356" s="13">
        <v>0</v>
      </c>
      <c r="N356" s="13">
        <v>30</v>
      </c>
      <c r="P356" s="13" t="s">
        <v>3961</v>
      </c>
    </row>
    <row r="357" spans="1:16" ht="26.4" x14ac:dyDescent="0.25">
      <c r="A357" s="14" t="str">
        <f t="shared" si="16"/>
        <v>AVT0000356</v>
      </c>
      <c r="B357" s="13" t="str">
        <f>VLOOKUP(D357,'SUPPLIER_ITEMS (1st Tools)'!C470:D2197,2,FALSE)</f>
        <v>1ST-358-469</v>
      </c>
      <c r="C357" s="14" t="s">
        <v>758</v>
      </c>
      <c r="D357" s="18" t="s">
        <v>3043</v>
      </c>
      <c r="F357" s="30" t="str">
        <f t="shared" si="17"/>
        <v>AV222304-03 1"*3/4"（Φ32*25）PE COMPRESSION COUPLING REDUCER ALL BLACK</v>
      </c>
      <c r="I357" s="31" t="str">
        <f>VLOOKUP(D357,'[1]NEW PRICE LIST'!$C$4:$D$1917,2,FALSE)</f>
        <v>120PCS/CTN</v>
      </c>
      <c r="J357" s="13" t="s">
        <v>300</v>
      </c>
      <c r="K357" s="32">
        <f>VLOOKUP(D357,'[1]NEW PRICE LIST'!$C$4:$H$1917,3,FALSE)</f>
        <v>132</v>
      </c>
      <c r="L357" s="13">
        <v>100</v>
      </c>
      <c r="M357" s="13">
        <v>0</v>
      </c>
      <c r="N357" s="13">
        <v>30</v>
      </c>
      <c r="P357" s="13" t="s">
        <v>3961</v>
      </c>
    </row>
    <row r="358" spans="1:16" ht="26.4" x14ac:dyDescent="0.25">
      <c r="A358" s="14" t="str">
        <f t="shared" si="16"/>
        <v>AVT0000357</v>
      </c>
      <c r="B358" s="13" t="str">
        <f>VLOOKUP(D358,'SUPPLIER_ITEMS (1st Tools)'!C471:D2198,2,FALSE)</f>
        <v>1ST-358-470</v>
      </c>
      <c r="C358" s="14" t="s">
        <v>757</v>
      </c>
      <c r="D358" s="18" t="s">
        <v>3044</v>
      </c>
      <c r="F358" s="30" t="str">
        <f t="shared" si="17"/>
        <v>AV222304-04 3/4"*1/2"*3/4"（Φ25*20*25）P.E COMPRESSION TEE REDUCER ALL BLACK</v>
      </c>
      <c r="I358" s="31" t="str">
        <f>VLOOKUP(D358,'[1]NEW PRICE LIST'!$C$4:$D$1917,2,FALSE)</f>
        <v>112PCS/CTN</v>
      </c>
      <c r="J358" s="13" t="s">
        <v>300</v>
      </c>
      <c r="K358" s="32">
        <f>VLOOKUP(D358,'[1]NEW PRICE LIST'!$C$4:$H$1917,3,FALSE)</f>
        <v>142</v>
      </c>
      <c r="L358" s="13">
        <v>100</v>
      </c>
      <c r="M358" s="13">
        <v>0</v>
      </c>
      <c r="N358" s="13">
        <v>30</v>
      </c>
      <c r="P358" s="13" t="s">
        <v>3961</v>
      </c>
    </row>
    <row r="359" spans="1:16" ht="26.4" x14ac:dyDescent="0.25">
      <c r="A359" s="14" t="str">
        <f t="shared" si="16"/>
        <v>AVT0000358</v>
      </c>
      <c r="B359" s="13" t="str">
        <f>VLOOKUP(D359,'SUPPLIER_ITEMS (1st Tools)'!C472:D2199,2,FALSE)</f>
        <v>1ST-358-471</v>
      </c>
      <c r="C359" s="14" t="s">
        <v>757</v>
      </c>
      <c r="D359" s="18" t="s">
        <v>3045</v>
      </c>
      <c r="F359" s="30" t="str">
        <f t="shared" si="17"/>
        <v>AV222304-05 1"*1/2"*1"（Φ32*20*32）P.E COMPRESSION TEE REDUCER ALL BLACK</v>
      </c>
      <c r="I359" s="31" t="str">
        <f>VLOOKUP(D359,'[1]NEW PRICE LIST'!$C$4:$D$1917,2,FALSE)</f>
        <v>54PCS/CTN</v>
      </c>
      <c r="J359" s="13" t="s">
        <v>300</v>
      </c>
      <c r="K359" s="32">
        <f>VLOOKUP(D359,'[1]NEW PRICE LIST'!$C$4:$H$1917,3,FALSE)</f>
        <v>168</v>
      </c>
      <c r="L359" s="13">
        <v>100</v>
      </c>
      <c r="M359" s="13">
        <v>0</v>
      </c>
      <c r="N359" s="13">
        <v>30</v>
      </c>
      <c r="P359" s="13" t="s">
        <v>3961</v>
      </c>
    </row>
    <row r="360" spans="1:16" ht="26.4" x14ac:dyDescent="0.25">
      <c r="A360" s="14" t="str">
        <f t="shared" si="16"/>
        <v>AVT0000359</v>
      </c>
      <c r="B360" s="13" t="str">
        <f>VLOOKUP(D360,'SUPPLIER_ITEMS (1st Tools)'!C473:D2200,2,FALSE)</f>
        <v>1ST-358-472</v>
      </c>
      <c r="C360" s="14" t="s">
        <v>757</v>
      </c>
      <c r="D360" s="18" t="s">
        <v>3046</v>
      </c>
      <c r="F360" s="30" t="str">
        <f t="shared" si="17"/>
        <v>AV222304-06 1"*3/4"*1"（Φ32*25*32）P.E COMPRESSION TEE REDUCER ALL BLACK</v>
      </c>
      <c r="I360" s="31" t="str">
        <f>VLOOKUP(D360,'[1]NEW PRICE LIST'!$C$4:$D$1917,2,FALSE)</f>
        <v>54PCS/CTN</v>
      </c>
      <c r="J360" s="13" t="s">
        <v>300</v>
      </c>
      <c r="K360" s="32">
        <f>VLOOKUP(D360,'[1]NEW PRICE LIST'!$C$4:$H$1917,3,FALSE)</f>
        <v>188</v>
      </c>
      <c r="L360" s="13">
        <v>100</v>
      </c>
      <c r="M360" s="13">
        <v>0</v>
      </c>
      <c r="N360" s="13">
        <v>30</v>
      </c>
      <c r="P360" s="13" t="s">
        <v>3961</v>
      </c>
    </row>
    <row r="361" spans="1:16" x14ac:dyDescent="0.25">
      <c r="A361" s="14" t="str">
        <f t="shared" si="16"/>
        <v>AVT0000360</v>
      </c>
      <c r="B361" s="13" t="str">
        <f>VLOOKUP(D361,'SUPPLIER_ITEMS (1st Tools)'!C474:D2201,2,FALSE)</f>
        <v>1ST-358-473</v>
      </c>
      <c r="C361" s="14" t="s">
        <v>756</v>
      </c>
      <c r="D361" s="18" t="s">
        <v>3047</v>
      </c>
      <c r="F361" s="30" t="str">
        <f t="shared" si="17"/>
        <v>AV222305-01 1/2"（Φ20） P.E COMPRESSION PLUG ALL BLACK</v>
      </c>
      <c r="I361" s="31" t="str">
        <f>VLOOKUP(D361,'[1]NEW PRICE LIST'!$C$4:$D$1917,2,FALSE)</f>
        <v>525PCS/CTN</v>
      </c>
      <c r="J361" s="13" t="s">
        <v>300</v>
      </c>
      <c r="K361" s="32">
        <f>VLOOKUP(D361,'[1]NEW PRICE LIST'!$C$4:$H$1917,3,FALSE)</f>
        <v>40</v>
      </c>
      <c r="L361" s="13">
        <v>100</v>
      </c>
      <c r="M361" s="13">
        <v>0</v>
      </c>
      <c r="N361" s="13">
        <v>30</v>
      </c>
      <c r="P361" s="13" t="s">
        <v>3961</v>
      </c>
    </row>
    <row r="362" spans="1:16" x14ac:dyDescent="0.25">
      <c r="A362" s="14" t="str">
        <f t="shared" si="16"/>
        <v>AVT0000361</v>
      </c>
      <c r="B362" s="13" t="str">
        <f>VLOOKUP(D362,'SUPPLIER_ITEMS (1st Tools)'!C475:D2202,2,FALSE)</f>
        <v>1ST-358-474</v>
      </c>
      <c r="C362" s="14" t="s">
        <v>756</v>
      </c>
      <c r="D362" s="18" t="s">
        <v>3048</v>
      </c>
      <c r="F362" s="30" t="str">
        <f t="shared" si="17"/>
        <v>AV222305-02 3/4"（Φ25）P.E COMPRESSION PLUG ALL BLACK</v>
      </c>
      <c r="I362" s="31" t="str">
        <f>VLOOKUP(D362,'[1]NEW PRICE LIST'!$C$4:$D$1917,2,FALSE)</f>
        <v>375PCS/CTN</v>
      </c>
      <c r="J362" s="13" t="s">
        <v>300</v>
      </c>
      <c r="K362" s="32">
        <f>VLOOKUP(D362,'[1]NEW PRICE LIST'!$C$4:$H$1917,3,FALSE)</f>
        <v>44</v>
      </c>
      <c r="L362" s="13">
        <v>100</v>
      </c>
      <c r="M362" s="13">
        <v>0</v>
      </c>
      <c r="N362" s="13">
        <v>30</v>
      </c>
      <c r="P362" s="13" t="s">
        <v>3961</v>
      </c>
    </row>
    <row r="363" spans="1:16" x14ac:dyDescent="0.25">
      <c r="A363" s="14" t="str">
        <f t="shared" si="16"/>
        <v>AVT0000362</v>
      </c>
      <c r="B363" s="13" t="str">
        <f>VLOOKUP(D363,'SUPPLIER_ITEMS (1st Tools)'!C476:D2203,2,FALSE)</f>
        <v>1ST-358-475</v>
      </c>
      <c r="C363" s="14" t="s">
        <v>756</v>
      </c>
      <c r="D363" s="18" t="s">
        <v>3049</v>
      </c>
      <c r="F363" s="30" t="str">
        <f t="shared" si="17"/>
        <v>AV222305-03 1"（Φ32）P.E COMPRESSION PLUG ALL BLACK</v>
      </c>
      <c r="I363" s="31" t="str">
        <f>VLOOKUP(D363,'[1]NEW PRICE LIST'!$C$4:$D$1917,2,FALSE)</f>
        <v>180PCS/CTN</v>
      </c>
      <c r="J363" s="13" t="s">
        <v>300</v>
      </c>
      <c r="K363" s="32">
        <f>VLOOKUP(D363,'[1]NEW PRICE LIST'!$C$4:$H$1917,3,FALSE)</f>
        <v>52</v>
      </c>
      <c r="L363" s="13">
        <v>100</v>
      </c>
      <c r="M363" s="13">
        <v>0</v>
      </c>
      <c r="N363" s="13">
        <v>30</v>
      </c>
      <c r="P363" s="13" t="s">
        <v>3961</v>
      </c>
    </row>
    <row r="364" spans="1:16" ht="26.4" x14ac:dyDescent="0.25">
      <c r="A364" s="14" t="str">
        <f t="shared" si="16"/>
        <v>AVT0000363</v>
      </c>
      <c r="B364" s="13" t="str">
        <f>VLOOKUP(D364,'SUPPLIER_ITEMS (1st Tools)'!C477:D2204,2,FALSE)</f>
        <v>1ST-358-476</v>
      </c>
      <c r="C364" s="14" t="s">
        <v>756</v>
      </c>
      <c r="D364" s="18" t="s">
        <v>3050</v>
      </c>
      <c r="F364" s="30" t="str">
        <f t="shared" si="17"/>
        <v>AV222305-04 1-1/4"（Φ40）P.E COMPRESSION PLUG ALL BLACK</v>
      </c>
      <c r="I364" s="31" t="str">
        <f>VLOOKUP(D364,'[1]NEW PRICE LIST'!$C$4:$D$1917,2,FALSE)</f>
        <v>110PCS/CTN</v>
      </c>
      <c r="J364" s="13" t="s">
        <v>300</v>
      </c>
      <c r="K364" s="32">
        <f>VLOOKUP(D364,'[1]NEW PRICE LIST'!$C$4:$H$1917,3,FALSE)</f>
        <v>164</v>
      </c>
      <c r="L364" s="13">
        <v>100</v>
      </c>
      <c r="M364" s="13">
        <v>0</v>
      </c>
      <c r="N364" s="13">
        <v>30</v>
      </c>
      <c r="P364" s="13" t="s">
        <v>3961</v>
      </c>
    </row>
    <row r="365" spans="1:16" ht="26.4" x14ac:dyDescent="0.25">
      <c r="A365" s="14" t="str">
        <f t="shared" si="16"/>
        <v>AVT0000364</v>
      </c>
      <c r="B365" s="13" t="str">
        <f>VLOOKUP(D365,'SUPPLIER_ITEMS (1st Tools)'!C478:D2205,2,FALSE)</f>
        <v>1ST-358-477</v>
      </c>
      <c r="C365" s="14" t="s">
        <v>756</v>
      </c>
      <c r="D365" s="18" t="s">
        <v>3051</v>
      </c>
      <c r="F365" s="30" t="str">
        <f t="shared" si="17"/>
        <v>AV222305-05 1-1/2"（Φ50）P.E COMPRESSION PLUG ALL BLACK</v>
      </c>
      <c r="I365" s="31" t="str">
        <f>VLOOKUP(D365,'[1]NEW PRICE LIST'!$C$4:$D$1917,2,FALSE)</f>
        <v>88PCS/CTN</v>
      </c>
      <c r="J365" s="13" t="s">
        <v>300</v>
      </c>
      <c r="K365" s="32">
        <f>VLOOKUP(D365,'[1]NEW PRICE LIST'!$C$4:$H$1917,3,FALSE)</f>
        <v>186</v>
      </c>
      <c r="L365" s="13">
        <v>100</v>
      </c>
      <c r="M365" s="13">
        <v>0</v>
      </c>
      <c r="N365" s="13">
        <v>30</v>
      </c>
      <c r="P365" s="13" t="s">
        <v>3961</v>
      </c>
    </row>
    <row r="366" spans="1:16" x14ac:dyDescent="0.25">
      <c r="A366" s="14" t="str">
        <f t="shared" si="16"/>
        <v>AVT0000365</v>
      </c>
      <c r="B366" s="13" t="str">
        <f>VLOOKUP(D366,'SUPPLIER_ITEMS (1st Tools)'!C479:D2206,2,FALSE)</f>
        <v>1ST-358-478</v>
      </c>
      <c r="C366" s="14" t="s">
        <v>756</v>
      </c>
      <c r="D366" s="18" t="s">
        <v>3052</v>
      </c>
      <c r="F366" s="30" t="str">
        <f t="shared" si="17"/>
        <v>AV222305-06 2"（Φ63）P.E COMPRESSION PLUG ALL BLACK</v>
      </c>
      <c r="I366" s="31" t="str">
        <f>VLOOKUP(D366,'[1]NEW PRICE LIST'!$C$4:$D$1917,2,FALSE)</f>
        <v>45PCS/CTN</v>
      </c>
      <c r="J366" s="13" t="s">
        <v>300</v>
      </c>
      <c r="K366" s="32">
        <f>VLOOKUP(D366,'[1]NEW PRICE LIST'!$C$4:$H$1917,3,FALSE)</f>
        <v>248</v>
      </c>
      <c r="L366" s="13">
        <v>100</v>
      </c>
      <c r="M366" s="13">
        <v>0</v>
      </c>
      <c r="N366" s="13">
        <v>30</v>
      </c>
      <c r="P366" s="13" t="s">
        <v>3961</v>
      </c>
    </row>
    <row r="367" spans="1:16" ht="26.4" x14ac:dyDescent="0.25">
      <c r="A367" s="14" t="str">
        <f t="shared" si="16"/>
        <v>AVT0000366</v>
      </c>
      <c r="B367" s="13" t="str">
        <f>VLOOKUP(D367,'SUPPLIER_ITEMS (1st Tools)'!C480:D2207,2,FALSE)</f>
        <v>1ST-358-479</v>
      </c>
      <c r="C367" s="14" t="s">
        <v>755</v>
      </c>
      <c r="D367" s="18" t="s">
        <v>3053</v>
      </c>
      <c r="F367" s="30" t="str">
        <f t="shared" si="17"/>
        <v>AV222306-01 PE COMPRESSION MALE ADAPTOR W/O STAINLESS 1/2"*1/2"（Φ20*1/2"）</v>
      </c>
      <c r="I367" s="31" t="str">
        <f>VLOOKUP(D367,'[1]NEW PRICE LIST'!$C$4:$D$1917,2,FALSE)</f>
        <v>450PCS/CTN</v>
      </c>
      <c r="J367" s="13" t="s">
        <v>300</v>
      </c>
      <c r="K367" s="32">
        <f>VLOOKUP(D367,'[1]NEW PRICE LIST'!$C$4:$H$1917,3,FALSE)</f>
        <v>40</v>
      </c>
      <c r="L367" s="13">
        <v>100</v>
      </c>
      <c r="M367" s="13">
        <v>0</v>
      </c>
      <c r="N367" s="13">
        <v>30</v>
      </c>
      <c r="P367" s="13" t="s">
        <v>3961</v>
      </c>
    </row>
    <row r="368" spans="1:16" ht="26.4" x14ac:dyDescent="0.25">
      <c r="A368" s="14" t="str">
        <f t="shared" si="16"/>
        <v>AVT0000367</v>
      </c>
      <c r="B368" s="13" t="str">
        <f>VLOOKUP(D368,'SUPPLIER_ITEMS (1st Tools)'!C481:D2208,2,FALSE)</f>
        <v>1ST-358-480</v>
      </c>
      <c r="C368" s="14" t="s">
        <v>755</v>
      </c>
      <c r="D368" s="18" t="s">
        <v>3054</v>
      </c>
      <c r="F368" s="30" t="str">
        <f t="shared" si="17"/>
        <v>AV222306-02 PE COMPRESSION MALE ADAPTOR W/O STAINLESS 3/4"*3/4"（Φ25*3/4"）</v>
      </c>
      <c r="I368" s="31" t="str">
        <f>VLOOKUP(D368,'[1]NEW PRICE LIST'!$C$4:$D$1917,2,FALSE)</f>
        <v>325PCS/CTN</v>
      </c>
      <c r="J368" s="13" t="s">
        <v>300</v>
      </c>
      <c r="K368" s="32">
        <f>VLOOKUP(D368,'[1]NEW PRICE LIST'!$C$4:$H$1917,3,FALSE)</f>
        <v>44</v>
      </c>
      <c r="L368" s="13">
        <v>100</v>
      </c>
      <c r="M368" s="13">
        <v>0</v>
      </c>
      <c r="N368" s="13">
        <v>30</v>
      </c>
      <c r="P368" s="13" t="s">
        <v>3961</v>
      </c>
    </row>
    <row r="369" spans="1:16" ht="26.4" x14ac:dyDescent="0.25">
      <c r="A369" s="14" t="str">
        <f t="shared" si="16"/>
        <v>AVT0000368</v>
      </c>
      <c r="B369" s="13" t="str">
        <f>VLOOKUP(D369,'SUPPLIER_ITEMS (1st Tools)'!C482:D2209,2,FALSE)</f>
        <v>1ST-358-481</v>
      </c>
      <c r="C369" s="14" t="s">
        <v>755</v>
      </c>
      <c r="D369" s="18" t="s">
        <v>3055</v>
      </c>
      <c r="F369" s="30" t="str">
        <f t="shared" si="17"/>
        <v>AV222306-03 PE COMPRESSION MALE ADAPTOR W/O STAINLESS 1"*1"（Φ32*1"）</v>
      </c>
      <c r="I369" s="31" t="str">
        <f>VLOOKUP(D369,'[1]NEW PRICE LIST'!$C$4:$D$1917,2,FALSE)</f>
        <v>160PCS/CTN</v>
      </c>
      <c r="J369" s="13" t="s">
        <v>300</v>
      </c>
      <c r="K369" s="32">
        <f>VLOOKUP(D369,'[1]NEW PRICE LIST'!$C$4:$H$1917,3,FALSE)</f>
        <v>52</v>
      </c>
      <c r="L369" s="13">
        <v>100</v>
      </c>
      <c r="M369" s="13">
        <v>0</v>
      </c>
      <c r="N369" s="13">
        <v>30</v>
      </c>
      <c r="P369" s="13" t="s">
        <v>3961</v>
      </c>
    </row>
    <row r="370" spans="1:16" ht="26.4" x14ac:dyDescent="0.25">
      <c r="A370" s="14" t="str">
        <f t="shared" si="16"/>
        <v>AVT0000369</v>
      </c>
      <c r="B370" s="13" t="str">
        <f>VLOOKUP(D370,'SUPPLIER_ITEMS (1st Tools)'!C483:D2210,2,FALSE)</f>
        <v>1ST-358-482</v>
      </c>
      <c r="C370" s="14" t="s">
        <v>755</v>
      </c>
      <c r="D370" s="18" t="s">
        <v>3056</v>
      </c>
      <c r="F370" s="30" t="str">
        <f t="shared" si="17"/>
        <v>AV222306-04 PE COMPRESSION MALE ADAPTOR W/O STAINLESS 1-1/4"*1-1/4"（Φ40*1-1/4"）</v>
      </c>
      <c r="I370" s="31" t="str">
        <f>VLOOKUP(D370,'[1]NEW PRICE LIST'!$C$4:$D$1917,2,FALSE)</f>
        <v>120PCS/CTN</v>
      </c>
      <c r="J370" s="13" t="s">
        <v>300</v>
      </c>
      <c r="K370" s="32">
        <f>VLOOKUP(D370,'[1]NEW PRICE LIST'!$C$4:$H$1917,3,FALSE)</f>
        <v>149</v>
      </c>
      <c r="L370" s="13">
        <v>100</v>
      </c>
      <c r="M370" s="13">
        <v>0</v>
      </c>
      <c r="N370" s="13">
        <v>30</v>
      </c>
      <c r="P370" s="13" t="s">
        <v>3961</v>
      </c>
    </row>
    <row r="371" spans="1:16" ht="26.4" x14ac:dyDescent="0.25">
      <c r="A371" s="14" t="str">
        <f t="shared" si="16"/>
        <v>AVT0000370</v>
      </c>
      <c r="B371" s="13" t="str">
        <f>VLOOKUP(D371,'SUPPLIER_ITEMS (1st Tools)'!C484:D2211,2,FALSE)</f>
        <v>1ST-358-483</v>
      </c>
      <c r="C371" s="14" t="s">
        <v>755</v>
      </c>
      <c r="D371" s="18" t="s">
        <v>3057</v>
      </c>
      <c r="F371" s="30" t="str">
        <f t="shared" si="17"/>
        <v>AV222306-05 PE COMPRESSION MALE ADAPTOR W/O STAINLESS 1-1/2"*1-1/2"（Φ50*1-1/2"）</v>
      </c>
      <c r="I371" s="31" t="str">
        <f>VLOOKUP(D371,'[1]NEW PRICE LIST'!$C$4:$D$1917,2,FALSE)</f>
        <v>72PCS/CTN</v>
      </c>
      <c r="J371" s="13" t="s">
        <v>300</v>
      </c>
      <c r="K371" s="32">
        <f>VLOOKUP(D371,'[1]NEW PRICE LIST'!$C$4:$H$1917,3,FALSE)</f>
        <v>186</v>
      </c>
      <c r="L371" s="13">
        <v>100</v>
      </c>
      <c r="M371" s="13">
        <v>0</v>
      </c>
      <c r="N371" s="13">
        <v>30</v>
      </c>
      <c r="P371" s="13" t="s">
        <v>3961</v>
      </c>
    </row>
    <row r="372" spans="1:16" ht="26.4" x14ac:dyDescent="0.25">
      <c r="A372" s="14" t="str">
        <f t="shared" si="16"/>
        <v>AVT0000371</v>
      </c>
      <c r="B372" s="13" t="str">
        <f>VLOOKUP(D372,'SUPPLIER_ITEMS (1st Tools)'!C485:D2212,2,FALSE)</f>
        <v>1ST-358-484</v>
      </c>
      <c r="C372" s="14" t="s">
        <v>755</v>
      </c>
      <c r="D372" s="18" t="s">
        <v>3058</v>
      </c>
      <c r="F372" s="30" t="str">
        <f t="shared" si="17"/>
        <v>AV222306-06 PE COMPRESSION MALE ADAPTOR W/O STAINLESS 2"*2"（Φ63*2"）</v>
      </c>
      <c r="I372" s="31" t="str">
        <f>VLOOKUP(D372,'[1]NEW PRICE LIST'!$C$4:$D$1917,2,FALSE)</f>
        <v>45PCS/CTN</v>
      </c>
      <c r="J372" s="13" t="s">
        <v>300</v>
      </c>
      <c r="K372" s="32">
        <f>VLOOKUP(D372,'[1]NEW PRICE LIST'!$C$4:$H$1917,3,FALSE)</f>
        <v>248</v>
      </c>
      <c r="L372" s="13">
        <v>100</v>
      </c>
      <c r="M372" s="13">
        <v>0</v>
      </c>
      <c r="N372" s="13">
        <v>30</v>
      </c>
      <c r="P372" s="13" t="s">
        <v>3961</v>
      </c>
    </row>
    <row r="373" spans="1:16" ht="26.4" x14ac:dyDescent="0.25">
      <c r="A373" s="14" t="str">
        <f t="shared" si="16"/>
        <v>AVT0000372</v>
      </c>
      <c r="B373" s="13" t="str">
        <f>VLOOKUP(D373,'SUPPLIER_ITEMS (1st Tools)'!C486:D2213,2,FALSE)</f>
        <v>1ST-358-485</v>
      </c>
      <c r="C373" s="14" t="s">
        <v>755</v>
      </c>
      <c r="D373" s="18" t="s">
        <v>3059</v>
      </c>
      <c r="F373" s="30" t="str">
        <f t="shared" si="17"/>
        <v>AV222306-07 PE COMPRESSION MALE ADAPTOR W/O STAINLESS 3"*3"（Φ90x3"）</v>
      </c>
      <c r="I373" s="31" t="str">
        <f>VLOOKUP(D373,'[1]NEW PRICE LIST'!$C$4:$D$1917,2,FALSE)</f>
        <v>16PCS/CTN</v>
      </c>
      <c r="J373" s="13" t="s">
        <v>300</v>
      </c>
      <c r="K373" s="32">
        <f>VLOOKUP(D373,'[1]NEW PRICE LIST'!$C$4:$H$1917,3,FALSE)</f>
        <v>1600</v>
      </c>
      <c r="L373" s="13">
        <v>100</v>
      </c>
      <c r="M373" s="13">
        <v>0</v>
      </c>
      <c r="N373" s="13">
        <v>30</v>
      </c>
      <c r="P373" s="13" t="s">
        <v>3961</v>
      </c>
    </row>
    <row r="374" spans="1:16" ht="26.4" x14ac:dyDescent="0.25">
      <c r="A374" s="14" t="str">
        <f t="shared" si="16"/>
        <v>AVT0000373</v>
      </c>
      <c r="B374" s="13" t="str">
        <f>VLOOKUP(D374,'SUPPLIER_ITEMS (1st Tools)'!C487:D2214,2,FALSE)</f>
        <v>1ST-358-486</v>
      </c>
      <c r="C374" s="14" t="s">
        <v>752</v>
      </c>
      <c r="D374" s="18" t="s">
        <v>3060</v>
      </c>
      <c r="F374" s="30" t="str">
        <f t="shared" si="17"/>
        <v>AV222307-01 1/2"*1/2"（Φ20*1/2"）P.E COMPRESSION FEMALE ADAPTOR W/ STAINLESS</v>
      </c>
      <c r="I374" s="31" t="str">
        <f>VLOOKUP(D374,'[1]NEW PRICE LIST'!$C$4:$D$1917,2,FALSE)</f>
        <v>420PCS/CTN</v>
      </c>
      <c r="J374" s="13" t="s">
        <v>300</v>
      </c>
      <c r="K374" s="32">
        <f>VLOOKUP(D374,'[1]NEW PRICE LIST'!$C$4:$H$1917,3,FALSE)</f>
        <v>52</v>
      </c>
      <c r="L374" s="13">
        <v>100</v>
      </c>
      <c r="M374" s="13">
        <v>0</v>
      </c>
      <c r="N374" s="13">
        <v>30</v>
      </c>
      <c r="P374" s="13" t="s">
        <v>3961</v>
      </c>
    </row>
    <row r="375" spans="1:16" ht="26.4" x14ac:dyDescent="0.25">
      <c r="A375" s="14" t="str">
        <f t="shared" si="16"/>
        <v>AVT0000374</v>
      </c>
      <c r="B375" s="13" t="str">
        <f>VLOOKUP(D375,'SUPPLIER_ITEMS (1st Tools)'!C488:D2215,2,FALSE)</f>
        <v>1ST-358-487</v>
      </c>
      <c r="C375" s="14" t="s">
        <v>752</v>
      </c>
      <c r="D375" s="18" t="s">
        <v>3061</v>
      </c>
      <c r="F375" s="30" t="str">
        <f t="shared" si="17"/>
        <v>AV222307-02 3/4"*3/4"（Φ25*3/4"）P.E COMPRESSION FEMALE ADAPTOR W/ STAINLESS</v>
      </c>
      <c r="I375" s="31" t="str">
        <f>VLOOKUP(D375,'[1]NEW PRICE LIST'!$C$4:$D$1917,2,FALSE)</f>
        <v>300PCS/CTN</v>
      </c>
      <c r="J375" s="13" t="s">
        <v>300</v>
      </c>
      <c r="K375" s="32">
        <f>VLOOKUP(D375,'[1]NEW PRICE LIST'!$C$4:$H$1917,3,FALSE)</f>
        <v>58</v>
      </c>
      <c r="L375" s="13">
        <v>100</v>
      </c>
      <c r="M375" s="13">
        <v>0</v>
      </c>
      <c r="N375" s="13">
        <v>30</v>
      </c>
      <c r="P375" s="13" t="s">
        <v>3961</v>
      </c>
    </row>
    <row r="376" spans="1:16" ht="26.4" x14ac:dyDescent="0.25">
      <c r="A376" s="14" t="str">
        <f t="shared" si="16"/>
        <v>AVT0000375</v>
      </c>
      <c r="B376" s="13" t="str">
        <f>VLOOKUP(D376,'SUPPLIER_ITEMS (1st Tools)'!C489:D2216,2,FALSE)</f>
        <v>1ST-358-488</v>
      </c>
      <c r="C376" s="14" t="s">
        <v>752</v>
      </c>
      <c r="D376" s="18" t="s">
        <v>3062</v>
      </c>
      <c r="F376" s="30" t="str">
        <f t="shared" si="17"/>
        <v>AV222307-03 1"*1"（Φ32*1"）P.E COMPRESSION FEMALE ADAPTOR W/ STAINLESS</v>
      </c>
      <c r="I376" s="31" t="str">
        <f>VLOOKUP(D376,'[1]NEW PRICE LIST'!$C$4:$D$1917,2,FALSE)</f>
        <v>180PCS/CTN</v>
      </c>
      <c r="J376" s="13" t="s">
        <v>300</v>
      </c>
      <c r="K376" s="32">
        <f>VLOOKUP(D376,'[1]NEW PRICE LIST'!$C$4:$H$1917,3,FALSE)</f>
        <v>92</v>
      </c>
      <c r="L376" s="13">
        <v>100</v>
      </c>
      <c r="M376" s="13">
        <v>0</v>
      </c>
      <c r="N376" s="13">
        <v>30</v>
      </c>
      <c r="P376" s="13" t="s">
        <v>3961</v>
      </c>
    </row>
    <row r="377" spans="1:16" ht="26.4" x14ac:dyDescent="0.25">
      <c r="A377" s="14" t="str">
        <f t="shared" si="16"/>
        <v>AVT0000376</v>
      </c>
      <c r="B377" s="13" t="str">
        <f>VLOOKUP(D377,'SUPPLIER_ITEMS (1st Tools)'!C490:D2217,2,FALSE)</f>
        <v>1ST-358-489</v>
      </c>
      <c r="C377" s="14" t="s">
        <v>752</v>
      </c>
      <c r="D377" s="18" t="s">
        <v>3063</v>
      </c>
      <c r="F377" s="30" t="str">
        <f t="shared" si="17"/>
        <v>AV222307-04 1-1/4"*1-1/4"（Φ40*1-1/4"）P.E COMPRESSION FEMALE ADAPTOR W/ STAINLESS</v>
      </c>
      <c r="I377" s="31" t="str">
        <f>VLOOKUP(D377,'[1]NEW PRICE LIST'!$C$4:$D$1917,2,FALSE)</f>
        <v>90PCS/CTN</v>
      </c>
      <c r="J377" s="13" t="s">
        <v>300</v>
      </c>
      <c r="K377" s="32">
        <f>VLOOKUP(D377,'[1]NEW PRICE LIST'!$C$4:$H$1917,3,FALSE)</f>
        <v>244</v>
      </c>
      <c r="L377" s="13">
        <v>100</v>
      </c>
      <c r="M377" s="13">
        <v>0</v>
      </c>
      <c r="N377" s="13">
        <v>30</v>
      </c>
      <c r="P377" s="13" t="s">
        <v>3961</v>
      </c>
    </row>
    <row r="378" spans="1:16" ht="26.4" x14ac:dyDescent="0.25">
      <c r="A378" s="14" t="str">
        <f t="shared" si="16"/>
        <v>AVT0000377</v>
      </c>
      <c r="B378" s="13" t="str">
        <f>VLOOKUP(D378,'SUPPLIER_ITEMS (1st Tools)'!C491:D2218,2,FALSE)</f>
        <v>1ST-358-490</v>
      </c>
      <c r="C378" s="14" t="s">
        <v>752</v>
      </c>
      <c r="D378" s="18" t="s">
        <v>3064</v>
      </c>
      <c r="F378" s="30" t="str">
        <f t="shared" si="17"/>
        <v>AV222307-05 1-1/2"*1-1/2"（Φ50*1-1/2"）P.E COMPRESSION FEMALE ADAPTOR W/ STAINLESS</v>
      </c>
      <c r="I378" s="31" t="str">
        <f>VLOOKUP(D378,'[1]NEW PRICE LIST'!$C$4:$D$1917,2,FALSE)</f>
        <v>60PCS/CTN</v>
      </c>
      <c r="J378" s="13" t="s">
        <v>300</v>
      </c>
      <c r="K378" s="32">
        <f>VLOOKUP(D378,'[1]NEW PRICE LIST'!$C$4:$H$1917,3,FALSE)</f>
        <v>290</v>
      </c>
      <c r="L378" s="13">
        <v>100</v>
      </c>
      <c r="M378" s="13">
        <v>0</v>
      </c>
      <c r="N378" s="13">
        <v>30</v>
      </c>
      <c r="P378" s="13" t="s">
        <v>3961</v>
      </c>
    </row>
    <row r="379" spans="1:16" ht="26.4" x14ac:dyDescent="0.25">
      <c r="A379" s="14" t="str">
        <f t="shared" si="16"/>
        <v>AVT0000378</v>
      </c>
      <c r="B379" s="13" t="str">
        <f>VLOOKUP(D379,'SUPPLIER_ITEMS (1st Tools)'!C492:D2219,2,FALSE)</f>
        <v>1ST-358-491</v>
      </c>
      <c r="C379" s="14" t="s">
        <v>752</v>
      </c>
      <c r="D379" s="18" t="s">
        <v>3065</v>
      </c>
      <c r="F379" s="30" t="str">
        <f t="shared" si="17"/>
        <v>AV222307-06 2"*2"（Φ63*2"）P.E COMPRESSION FEMALE ADAPTOR W/ STAINLESS ALL BLACK</v>
      </c>
      <c r="I379" s="31" t="str">
        <f>VLOOKUP(D379,'[1]NEW PRICE LIST'!$C$4:$D$1917,2,FALSE)</f>
        <v>32PCS/CTN</v>
      </c>
      <c r="J379" s="13" t="s">
        <v>300</v>
      </c>
      <c r="K379" s="32">
        <f>VLOOKUP(D379,'[1]NEW PRICE LIST'!$C$4:$H$1917,3,FALSE)</f>
        <v>370</v>
      </c>
      <c r="L379" s="13">
        <v>100</v>
      </c>
      <c r="M379" s="13">
        <v>0</v>
      </c>
      <c r="N379" s="13">
        <v>30</v>
      </c>
      <c r="P379" s="13" t="s">
        <v>3961</v>
      </c>
    </row>
    <row r="380" spans="1:16" ht="26.4" x14ac:dyDescent="0.25">
      <c r="A380" s="14" t="str">
        <f t="shared" si="16"/>
        <v>AVT0000379</v>
      </c>
      <c r="B380" s="13" t="str">
        <f>VLOOKUP(D380,'SUPPLIER_ITEMS (1st Tools)'!C493:D2220,2,FALSE)</f>
        <v>1ST-358-492</v>
      </c>
      <c r="C380" s="14" t="s">
        <v>753</v>
      </c>
      <c r="D380" s="18" t="s">
        <v>3066</v>
      </c>
      <c r="F380" s="30" t="str">
        <f t="shared" si="17"/>
        <v>AV222308-01 1/2"*1/2"（Φ20*1/2"）P.E COMPRESSION MALE ELBOW ALL BLACK</v>
      </c>
      <c r="I380" s="31" t="str">
        <f>VLOOKUP(D380,'[1]NEW PRICE LIST'!$C$4:$D$1917,2,FALSE)</f>
        <v>310PCS/CTN</v>
      </c>
      <c r="J380" s="13" t="s">
        <v>300</v>
      </c>
      <c r="K380" s="32">
        <f>VLOOKUP(D380,'[1]NEW PRICE LIST'!$C$4:$H$1917,3,FALSE)</f>
        <v>64</v>
      </c>
      <c r="L380" s="13">
        <v>100</v>
      </c>
      <c r="M380" s="13">
        <v>0</v>
      </c>
      <c r="N380" s="13">
        <v>30</v>
      </c>
      <c r="P380" s="13" t="s">
        <v>3961</v>
      </c>
    </row>
    <row r="381" spans="1:16" ht="26.4" x14ac:dyDescent="0.25">
      <c r="A381" s="14" t="str">
        <f t="shared" si="16"/>
        <v>AVT0000380</v>
      </c>
      <c r="B381" s="13" t="str">
        <f>VLOOKUP(D381,'SUPPLIER_ITEMS (1st Tools)'!C494:D2221,2,FALSE)</f>
        <v>1ST-358-493</v>
      </c>
      <c r="C381" s="14" t="s">
        <v>753</v>
      </c>
      <c r="D381" s="18" t="s">
        <v>3067</v>
      </c>
      <c r="F381" s="30" t="str">
        <f t="shared" si="17"/>
        <v>AV222308-02 3/4"*3/4"（Φ25*3/4"）P.E COMPRESSION MALE ELBOW ALL BLACK</v>
      </c>
      <c r="I381" s="31" t="str">
        <f>VLOOKUP(D381,'[1]NEW PRICE LIST'!$C$4:$D$1917,2,FALSE)</f>
        <v>200PCS/CTN</v>
      </c>
      <c r="J381" s="13" t="s">
        <v>300</v>
      </c>
      <c r="K381" s="32">
        <f>VLOOKUP(D381,'[1]NEW PRICE LIST'!$C$4:$H$1917,3,FALSE)</f>
        <v>72</v>
      </c>
      <c r="L381" s="13">
        <v>100</v>
      </c>
      <c r="M381" s="13">
        <v>0</v>
      </c>
      <c r="N381" s="13">
        <v>30</v>
      </c>
      <c r="P381" s="13" t="s">
        <v>3961</v>
      </c>
    </row>
    <row r="382" spans="1:16" ht="26.4" x14ac:dyDescent="0.25">
      <c r="A382" s="14" t="str">
        <f t="shared" si="16"/>
        <v>AVT0000381</v>
      </c>
      <c r="B382" s="13" t="str">
        <f>VLOOKUP(D382,'SUPPLIER_ITEMS (1st Tools)'!C495:D2222,2,FALSE)</f>
        <v>1ST-358-494</v>
      </c>
      <c r="C382" s="14" t="s">
        <v>753</v>
      </c>
      <c r="D382" s="18" t="s">
        <v>3068</v>
      </c>
      <c r="F382" s="30" t="str">
        <f t="shared" si="17"/>
        <v>AV222308-03 1"*1"（Φ32*1"）P.E COMPRESSION MALE ELBOW ALL BLACK</v>
      </c>
      <c r="I382" s="31" t="str">
        <f>VLOOKUP(D382,'[1]NEW PRICE LIST'!$C$4:$D$1917,2,FALSE)</f>
        <v>120PCS/CTN</v>
      </c>
      <c r="J382" s="13" t="s">
        <v>300</v>
      </c>
      <c r="K382" s="32">
        <f>VLOOKUP(D382,'[1]NEW PRICE LIST'!$C$4:$H$1917,3,FALSE)</f>
        <v>88</v>
      </c>
      <c r="L382" s="13">
        <v>100</v>
      </c>
      <c r="M382" s="13">
        <v>0</v>
      </c>
      <c r="N382" s="13">
        <v>30</v>
      </c>
      <c r="P382" s="13" t="s">
        <v>3961</v>
      </c>
    </row>
    <row r="383" spans="1:16" ht="26.4" x14ac:dyDescent="0.25">
      <c r="A383" s="14" t="str">
        <f t="shared" si="16"/>
        <v>AVT0000382</v>
      </c>
      <c r="B383" s="13" t="str">
        <f>VLOOKUP(D383,'SUPPLIER_ITEMS (1st Tools)'!C496:D2223,2,FALSE)</f>
        <v>1ST-358-495</v>
      </c>
      <c r="C383" s="14" t="s">
        <v>754</v>
      </c>
      <c r="D383" s="18" t="s">
        <v>3069</v>
      </c>
      <c r="F383" s="30" t="str">
        <f t="shared" si="17"/>
        <v>AV222309-01 1/2"*1/2"（Φ20*1/2"）P.E COMPRESSION FEMALE ELBOW W/ STAINLESS</v>
      </c>
      <c r="I383" s="31" t="str">
        <f>VLOOKUP(D383,'[1]NEW PRICE LIST'!$C$4:$D$1917,2,FALSE)</f>
        <v>310PCS/CTN</v>
      </c>
      <c r="J383" s="13" t="s">
        <v>300</v>
      </c>
      <c r="K383" s="32">
        <f>VLOOKUP(D383,'[1]NEW PRICE LIST'!$C$4:$H$1917,3,FALSE)</f>
        <v>64</v>
      </c>
      <c r="L383" s="13">
        <v>100</v>
      </c>
      <c r="M383" s="13">
        <v>0</v>
      </c>
      <c r="N383" s="13">
        <v>30</v>
      </c>
      <c r="P383" s="13" t="s">
        <v>3961</v>
      </c>
    </row>
    <row r="384" spans="1:16" ht="26.4" x14ac:dyDescent="0.25">
      <c r="A384" s="14" t="str">
        <f t="shared" si="16"/>
        <v>AVT0000383</v>
      </c>
      <c r="B384" s="13" t="str">
        <f>VLOOKUP(D384,'SUPPLIER_ITEMS (1st Tools)'!C497:D2224,2,FALSE)</f>
        <v>1ST-358-496</v>
      </c>
      <c r="C384" s="14" t="s">
        <v>754</v>
      </c>
      <c r="D384" s="18" t="s">
        <v>3070</v>
      </c>
      <c r="F384" s="30" t="str">
        <f t="shared" si="17"/>
        <v>AV222309-02 3/4"*3/4"（Φ25*3/4"）P.E COMPRESSION FEMALE ELBOW W/ STAINLESS</v>
      </c>
      <c r="I384" s="31" t="str">
        <f>VLOOKUP(D384,'[1]NEW PRICE LIST'!$C$4:$D$1917,2,FALSE)</f>
        <v>200PCS/CTN</v>
      </c>
      <c r="J384" s="13" t="s">
        <v>300</v>
      </c>
      <c r="K384" s="32">
        <f>VLOOKUP(D384,'[1]NEW PRICE LIST'!$C$4:$H$1917,3,FALSE)</f>
        <v>72</v>
      </c>
      <c r="L384" s="13">
        <v>100</v>
      </c>
      <c r="M384" s="13">
        <v>0</v>
      </c>
      <c r="N384" s="13">
        <v>30</v>
      </c>
      <c r="P384" s="13" t="s">
        <v>3961</v>
      </c>
    </row>
    <row r="385" spans="1:16" ht="26.4" x14ac:dyDescent="0.25">
      <c r="A385" s="14" t="str">
        <f t="shared" si="16"/>
        <v>AVT0000384</v>
      </c>
      <c r="B385" s="13" t="str">
        <f>VLOOKUP(D385,'SUPPLIER_ITEMS (1st Tools)'!C498:D2225,2,FALSE)</f>
        <v>1ST-358-497</v>
      </c>
      <c r="C385" s="14" t="s">
        <v>754</v>
      </c>
      <c r="D385" s="18" t="s">
        <v>3071</v>
      </c>
      <c r="F385" s="30" t="str">
        <f t="shared" si="17"/>
        <v>AV222309-03 1"*1"（Φ32*1"）P.E COMPRESSION FEMALE ELBOW W/ STAINLESS</v>
      </c>
      <c r="I385" s="31" t="str">
        <f>VLOOKUP(D385,'[1]NEW PRICE LIST'!$C$4:$D$1917,2,FALSE)</f>
        <v>120PCS/CTN</v>
      </c>
      <c r="J385" s="13" t="s">
        <v>300</v>
      </c>
      <c r="K385" s="32">
        <f>VLOOKUP(D385,'[1]NEW PRICE LIST'!$C$4:$H$1917,3,FALSE)</f>
        <v>88</v>
      </c>
      <c r="L385" s="13">
        <v>100</v>
      </c>
      <c r="M385" s="13">
        <v>0</v>
      </c>
      <c r="N385" s="13">
        <v>30</v>
      </c>
      <c r="P385" s="13" t="s">
        <v>3961</v>
      </c>
    </row>
    <row r="386" spans="1:16" ht="26.4" x14ac:dyDescent="0.25">
      <c r="A386" s="14" t="str">
        <f t="shared" si="16"/>
        <v>AVT0000385</v>
      </c>
      <c r="B386" s="13" t="str">
        <f>VLOOKUP(D386,'SUPPLIER_ITEMS (1st Tools)'!C499:D2226,2,FALSE)</f>
        <v>1ST-358-498</v>
      </c>
      <c r="C386" s="14" t="s">
        <v>751</v>
      </c>
      <c r="D386" s="18" t="s">
        <v>3072</v>
      </c>
      <c r="F386" s="30" t="str">
        <f t="shared" si="17"/>
        <v>AV222309-04 1/2"*1/2"（Φ20*1/2"）PE COMPRESSION FEMALE TEE W/ STAINLESS ALL BLACK</v>
      </c>
      <c r="I386" s="31" t="str">
        <f>VLOOKUP(D386,'[1]NEW PRICE LIST'!$C$4:$D$1917,2,FALSE)</f>
        <v>170PCS/CTN</v>
      </c>
      <c r="J386" s="13" t="s">
        <v>300</v>
      </c>
      <c r="K386" s="32">
        <f>VLOOKUP(D386,'[1]NEW PRICE LIST'!$C$4:$H$1917,3,FALSE)</f>
        <v>96</v>
      </c>
      <c r="L386" s="13">
        <v>100</v>
      </c>
      <c r="M386" s="13">
        <v>0</v>
      </c>
      <c r="N386" s="13">
        <v>30</v>
      </c>
      <c r="P386" s="13" t="s">
        <v>3961</v>
      </c>
    </row>
    <row r="387" spans="1:16" ht="26.4" x14ac:dyDescent="0.25">
      <c r="A387" s="14" t="str">
        <f t="shared" si="16"/>
        <v>AVT0000386</v>
      </c>
      <c r="B387" s="13" t="str">
        <f>VLOOKUP(D387,'SUPPLIER_ITEMS (1st Tools)'!C500:D2227,2,FALSE)</f>
        <v>1ST-358-499</v>
      </c>
      <c r="C387" s="14" t="s">
        <v>751</v>
      </c>
      <c r="D387" s="18" t="s">
        <v>3073</v>
      </c>
      <c r="F387" s="30" t="str">
        <f t="shared" si="17"/>
        <v>AV222309-05 3/4"*3/4"（Φ25*3/4"）PE COMPRESSION FEMALE TEE W/ STAINLESS ALL BLACK</v>
      </c>
      <c r="I387" s="31" t="str">
        <f>VLOOKUP(D387,'[1]NEW PRICE LIST'!$C$4:$D$1917,2,FALSE)</f>
        <v>100PCS/CTN</v>
      </c>
      <c r="J387" s="13" t="s">
        <v>300</v>
      </c>
      <c r="K387" s="32">
        <f>VLOOKUP(D387,'[1]NEW PRICE LIST'!$C$4:$H$1917,3,FALSE)</f>
        <v>116</v>
      </c>
      <c r="L387" s="13">
        <v>100</v>
      </c>
      <c r="M387" s="13">
        <v>0</v>
      </c>
      <c r="N387" s="13">
        <v>30</v>
      </c>
      <c r="P387" s="13" t="s">
        <v>3961</v>
      </c>
    </row>
    <row r="388" spans="1:16" ht="26.4" x14ac:dyDescent="0.25">
      <c r="A388" s="14" t="str">
        <f t="shared" ref="A388:A451" si="18">"AVT"&amp;TEXT(RIGHT(A387,LEN(A387)-3)+1,"0000000")</f>
        <v>AVT0000387</v>
      </c>
      <c r="B388" s="13" t="str">
        <f>VLOOKUP(D388,'SUPPLIER_ITEMS (1st Tools)'!C501:D2228,2,FALSE)</f>
        <v>1ST-358-500</v>
      </c>
      <c r="C388" s="14" t="s">
        <v>751</v>
      </c>
      <c r="D388" s="18" t="s">
        <v>3074</v>
      </c>
      <c r="F388" s="30" t="str">
        <f t="shared" si="17"/>
        <v>AV222309-06 1"*1"（Φ32*1"）PE COMPRESSION FEMALE TEE W/ STAINLESS ALL BLACK</v>
      </c>
      <c r="I388" s="31" t="str">
        <f>VLOOKUP(D388,'[1]NEW PRICE LIST'!$C$4:$D$1917,2,FALSE)</f>
        <v>65PCS/CTN</v>
      </c>
      <c r="J388" s="13" t="s">
        <v>300</v>
      </c>
      <c r="K388" s="32">
        <f>VLOOKUP(D388,'[1]NEW PRICE LIST'!$C$4:$H$1917,3,FALSE)</f>
        <v>160</v>
      </c>
      <c r="L388" s="13">
        <v>100</v>
      </c>
      <c r="M388" s="13">
        <v>0</v>
      </c>
      <c r="N388" s="13">
        <v>30</v>
      </c>
      <c r="P388" s="13" t="s">
        <v>3961</v>
      </c>
    </row>
    <row r="389" spans="1:16" ht="26.4" x14ac:dyDescent="0.25">
      <c r="A389" s="14" t="str">
        <f t="shared" si="18"/>
        <v>AVT0000388</v>
      </c>
      <c r="B389" s="13" t="str">
        <f>VLOOKUP(D389,'SUPPLIER_ITEMS (1st Tools)'!C502:D2229,2,FALSE)</f>
        <v>1ST-358-501</v>
      </c>
      <c r="C389" s="14" t="s">
        <v>750</v>
      </c>
      <c r="D389" s="18" t="s">
        <v>3075</v>
      </c>
      <c r="F389" s="30" t="str">
        <f t="shared" si="17"/>
        <v>AV222310-01 1/2"*1/2"（Φ20*1/2"）PE COMPRESSION MALE TEE W/O STAINLESS ALL BLACK</v>
      </c>
      <c r="I389" s="31" t="str">
        <f>VLOOKUP(D389,'[1]NEW PRICE LIST'!$C$4:$D$1917,2,FALSE)</f>
        <v>180PCS/CTN</v>
      </c>
      <c r="J389" s="13" t="s">
        <v>300</v>
      </c>
      <c r="K389" s="32">
        <f>VLOOKUP(D389,'[1]NEW PRICE LIST'!$C$4:$H$1917,3,FALSE)</f>
        <v>96</v>
      </c>
      <c r="L389" s="13">
        <v>100</v>
      </c>
      <c r="M389" s="13">
        <v>0</v>
      </c>
      <c r="N389" s="13">
        <v>30</v>
      </c>
      <c r="P389" s="13" t="s">
        <v>3961</v>
      </c>
    </row>
    <row r="390" spans="1:16" ht="26.4" x14ac:dyDescent="0.25">
      <c r="A390" s="14" t="str">
        <f t="shared" si="18"/>
        <v>AVT0000389</v>
      </c>
      <c r="B390" s="13" t="str">
        <f>VLOOKUP(D390,'SUPPLIER_ITEMS (1st Tools)'!C503:D2230,2,FALSE)</f>
        <v>1ST-358-502</v>
      </c>
      <c r="C390" s="14" t="s">
        <v>750</v>
      </c>
      <c r="D390" s="18" t="s">
        <v>3076</v>
      </c>
      <c r="F390" s="30" t="str">
        <f t="shared" si="17"/>
        <v>AV222310-02 3/4"*3/4"（Φ25*3/4"）PE COMPRESSION MALE TEE W/O STAINLESS ALL BLACK</v>
      </c>
      <c r="I390" s="31" t="str">
        <f>VLOOKUP(D390,'[1]NEW PRICE LIST'!$C$4:$D$1917,2,FALSE)</f>
        <v>120PCS/CTN</v>
      </c>
      <c r="J390" s="13" t="s">
        <v>300</v>
      </c>
      <c r="K390" s="32">
        <f>VLOOKUP(D390,'[1]NEW PRICE LIST'!$C$4:$H$1917,3,FALSE)</f>
        <v>116</v>
      </c>
      <c r="L390" s="13">
        <v>100</v>
      </c>
      <c r="M390" s="13">
        <v>0</v>
      </c>
      <c r="N390" s="13">
        <v>30</v>
      </c>
      <c r="P390" s="13" t="s">
        <v>3961</v>
      </c>
    </row>
    <row r="391" spans="1:16" ht="26.4" x14ac:dyDescent="0.25">
      <c r="A391" s="14" t="str">
        <f t="shared" si="18"/>
        <v>AVT0000390</v>
      </c>
      <c r="B391" s="13" t="str">
        <f>VLOOKUP(D391,'SUPPLIER_ITEMS (1st Tools)'!C504:D2231,2,FALSE)</f>
        <v>1ST-358-503</v>
      </c>
      <c r="C391" s="14" t="s">
        <v>750</v>
      </c>
      <c r="D391" s="18" t="s">
        <v>3077</v>
      </c>
      <c r="F391" s="30" t="str">
        <f t="shared" si="17"/>
        <v>AV222310-03 1"*1"（Φ32*1"）PE COMPRESSION MALE TEE W/O STAINLESS ALL BLACK</v>
      </c>
      <c r="I391" s="31" t="str">
        <f>VLOOKUP(D391,'[1]NEW PRICE LIST'!$C$4:$D$1917,2,FALSE)</f>
        <v>80PCS/CTN</v>
      </c>
      <c r="J391" s="13" t="s">
        <v>300</v>
      </c>
      <c r="K391" s="32">
        <f>VLOOKUP(D391,'[1]NEW PRICE LIST'!$C$4:$H$1917,3,FALSE)</f>
        <v>160</v>
      </c>
      <c r="L391" s="13">
        <v>100</v>
      </c>
      <c r="M391" s="13">
        <v>0</v>
      </c>
      <c r="N391" s="13">
        <v>30</v>
      </c>
      <c r="P391" s="13" t="s">
        <v>3961</v>
      </c>
    </row>
    <row r="392" spans="1:16" ht="26.4" x14ac:dyDescent="0.25">
      <c r="A392" s="14" t="str">
        <f t="shared" si="18"/>
        <v>AVT0000391</v>
      </c>
      <c r="B392" s="13" t="str">
        <f>VLOOKUP(D392,'SUPPLIER_ITEMS (1st Tools)'!C505:D2232,2,FALSE)</f>
        <v>1ST-358-504</v>
      </c>
      <c r="C392" s="14" t="s">
        <v>749</v>
      </c>
      <c r="D392" s="18" t="s">
        <v>3738</v>
      </c>
      <c r="F392" s="30" t="str">
        <f t="shared" si="17"/>
        <v>AV222401-01 25 * 1/2 P.E COMPRESSION SADDLE CLAMP ALL BLACK</v>
      </c>
      <c r="I392" s="31" t="str">
        <f>VLOOKUP(D392,'[1]NEW PRICE LIST'!$C$4:$D$1917,2,FALSE)</f>
        <v>220PCS/CTN</v>
      </c>
      <c r="J392" s="13" t="s">
        <v>300</v>
      </c>
      <c r="K392" s="32">
        <f>VLOOKUP(D392,'[1]NEW PRICE LIST'!$C$4:$H$1917,3,FALSE)</f>
        <v>65</v>
      </c>
      <c r="L392" s="13">
        <v>100</v>
      </c>
      <c r="M392" s="13">
        <v>0</v>
      </c>
      <c r="N392" s="13">
        <v>30</v>
      </c>
      <c r="P392" s="13" t="s">
        <v>3961</v>
      </c>
    </row>
    <row r="393" spans="1:16" ht="26.4" x14ac:dyDescent="0.25">
      <c r="A393" s="14" t="str">
        <f t="shared" si="18"/>
        <v>AVT0000392</v>
      </c>
      <c r="B393" s="13" t="str">
        <f>VLOOKUP(D393,'SUPPLIER_ITEMS (1st Tools)'!C506:D2233,2,FALSE)</f>
        <v>1ST-358-505</v>
      </c>
      <c r="C393" s="14" t="s">
        <v>749</v>
      </c>
      <c r="D393" s="18" t="s">
        <v>3739</v>
      </c>
      <c r="F393" s="30" t="str">
        <f t="shared" si="17"/>
        <v>AV222402-01 32 * 1/2 P.E COMPRESSION SADDLE CLAMP ALL BLACK</v>
      </c>
      <c r="I393" s="31" t="str">
        <f>VLOOKUP(D393,'[1]NEW PRICE LIST'!$C$4:$D$1917,2,FALSE)</f>
        <v>180PCS/CTN</v>
      </c>
      <c r="J393" s="13" t="s">
        <v>300</v>
      </c>
      <c r="K393" s="32">
        <f>VLOOKUP(D393,'[1]NEW PRICE LIST'!$C$4:$H$1917,3,FALSE)</f>
        <v>80</v>
      </c>
      <c r="L393" s="13">
        <v>100</v>
      </c>
      <c r="M393" s="13">
        <v>0</v>
      </c>
      <c r="N393" s="13">
        <v>30</v>
      </c>
      <c r="P393" s="13" t="s">
        <v>3961</v>
      </c>
    </row>
    <row r="394" spans="1:16" ht="26.4" x14ac:dyDescent="0.25">
      <c r="A394" s="14" t="str">
        <f t="shared" si="18"/>
        <v>AVT0000393</v>
      </c>
      <c r="B394" s="13" t="str">
        <f>VLOOKUP(D394,'SUPPLIER_ITEMS (1st Tools)'!C507:D2234,2,FALSE)</f>
        <v>1ST-358-506</v>
      </c>
      <c r="C394" s="14" t="s">
        <v>749</v>
      </c>
      <c r="D394" s="18" t="s">
        <v>3740</v>
      </c>
      <c r="F394" s="30" t="str">
        <f t="shared" si="17"/>
        <v>AV222403-01 40 * 1/2 P.E COMPRESSION SADDLE CLAMP ALL BLACK</v>
      </c>
      <c r="I394" s="31" t="str">
        <f>VLOOKUP(D394,'[1]NEW PRICE LIST'!$C$4:$D$1917,2,FALSE)</f>
        <v>140PCS/CTN</v>
      </c>
      <c r="J394" s="13" t="s">
        <v>300</v>
      </c>
      <c r="K394" s="32">
        <f>VLOOKUP(D394,'[1]NEW PRICE LIST'!$C$4:$H$1917,3,FALSE)</f>
        <v>94</v>
      </c>
      <c r="L394" s="13">
        <v>100</v>
      </c>
      <c r="M394" s="13">
        <v>0</v>
      </c>
      <c r="N394" s="13">
        <v>30</v>
      </c>
      <c r="P394" s="13" t="s">
        <v>3961</v>
      </c>
    </row>
    <row r="395" spans="1:16" ht="26.4" x14ac:dyDescent="0.25">
      <c r="A395" s="14" t="str">
        <f t="shared" si="18"/>
        <v>AVT0000394</v>
      </c>
      <c r="B395" s="13" t="str">
        <f>VLOOKUP(D395,'SUPPLIER_ITEMS (1st Tools)'!C508:D2235,2,FALSE)</f>
        <v>1ST-358-507</v>
      </c>
      <c r="C395" s="14" t="s">
        <v>749</v>
      </c>
      <c r="D395" s="18" t="s">
        <v>3741</v>
      </c>
      <c r="F395" s="30" t="str">
        <f t="shared" si="17"/>
        <v>AV222404-01 50 * 1/2 P.E COMPRESSION SADDLE CLAMP ALL BLACK</v>
      </c>
      <c r="I395" s="31" t="str">
        <f>VLOOKUP(D395,'[1]NEW PRICE LIST'!$C$4:$D$1917,2,FALSE)</f>
        <v>135PCS/CTN</v>
      </c>
      <c r="J395" s="13" t="s">
        <v>300</v>
      </c>
      <c r="K395" s="32">
        <f>VLOOKUP(D395,'[1]NEW PRICE LIST'!$C$4:$H$1917,3,FALSE)</f>
        <v>117</v>
      </c>
      <c r="L395" s="13">
        <v>100</v>
      </c>
      <c r="M395" s="13">
        <v>0</v>
      </c>
      <c r="N395" s="13">
        <v>30</v>
      </c>
      <c r="P395" s="13" t="s">
        <v>3961</v>
      </c>
    </row>
    <row r="396" spans="1:16" ht="26.4" x14ac:dyDescent="0.25">
      <c r="A396" s="14" t="str">
        <f t="shared" si="18"/>
        <v>AVT0000395</v>
      </c>
      <c r="B396" s="13" t="str">
        <f>VLOOKUP(D396,'SUPPLIER_ITEMS (1st Tools)'!C509:D2236,2,FALSE)</f>
        <v>1ST-358-508</v>
      </c>
      <c r="C396" s="14" t="s">
        <v>749</v>
      </c>
      <c r="D396" s="18" t="s">
        <v>3742</v>
      </c>
      <c r="F396" s="30" t="str">
        <f t="shared" si="17"/>
        <v>AV222405-01 63 * 1/2 P.E COMPRESSION SADDLE CLAMP ALL BLACK</v>
      </c>
      <c r="I396" s="31" t="str">
        <f>VLOOKUP(D396,'[1]NEW PRICE LIST'!$C$4:$D$1917,2,FALSE)</f>
        <v>80PCS/CTN</v>
      </c>
      <c r="J396" s="13" t="s">
        <v>300</v>
      </c>
      <c r="K396" s="32">
        <f>VLOOKUP(D396,'[1]NEW PRICE LIST'!$C$4:$H$1917,3,FALSE)</f>
        <v>147</v>
      </c>
      <c r="L396" s="13">
        <v>100</v>
      </c>
      <c r="M396" s="13">
        <v>0</v>
      </c>
      <c r="N396" s="13">
        <v>30</v>
      </c>
      <c r="P396" s="13" t="s">
        <v>3961</v>
      </c>
    </row>
    <row r="397" spans="1:16" ht="26.4" x14ac:dyDescent="0.25">
      <c r="A397" s="14" t="str">
        <f t="shared" si="18"/>
        <v>AVT0000396</v>
      </c>
      <c r="B397" s="13" t="str">
        <f>VLOOKUP(D397,'SUPPLIER_ITEMS (1st Tools)'!C510:D2237,2,FALSE)</f>
        <v>1ST-358-509</v>
      </c>
      <c r="C397" s="14" t="s">
        <v>749</v>
      </c>
      <c r="D397" s="18" t="s">
        <v>3743</v>
      </c>
      <c r="F397" s="30" t="str">
        <f t="shared" si="17"/>
        <v>AV222406-01 75*1/2 P.E COMPRESSION SADDLE CLAMP ALL BLACK</v>
      </c>
      <c r="I397" s="31" t="str">
        <f>VLOOKUP(D397,'[1]NEW PRICE LIST'!$C$4:$D$1917,2,FALSE)</f>
        <v>50PCS/CTN</v>
      </c>
      <c r="J397" s="13" t="s">
        <v>300</v>
      </c>
      <c r="K397" s="32">
        <f>VLOOKUP(D397,'[1]NEW PRICE LIST'!$C$4:$H$1917,3,FALSE)</f>
        <v>230</v>
      </c>
      <c r="L397" s="13">
        <v>100</v>
      </c>
      <c r="M397" s="13">
        <v>0</v>
      </c>
      <c r="N397" s="13">
        <v>30</v>
      </c>
      <c r="P397" s="13" t="s">
        <v>3961</v>
      </c>
    </row>
    <row r="398" spans="1:16" ht="26.4" x14ac:dyDescent="0.25">
      <c r="A398" s="14" t="str">
        <f t="shared" si="18"/>
        <v>AVT0000397</v>
      </c>
      <c r="B398" s="13" t="str">
        <f>VLOOKUP(D398,'SUPPLIER_ITEMS (1st Tools)'!C511:D2238,2,FALSE)</f>
        <v>1ST-358-510</v>
      </c>
      <c r="C398" s="14" t="s">
        <v>749</v>
      </c>
      <c r="D398" s="18" t="s">
        <v>3744</v>
      </c>
      <c r="F398" s="30" t="str">
        <f t="shared" si="17"/>
        <v>AV222407-01 90*1/2 P.E COMPRESSION SADDLE CLAMP ALL BLACK</v>
      </c>
      <c r="I398" s="31" t="str">
        <f>VLOOKUP(D398,'[1]NEW PRICE LIST'!$C$4:$D$1917,2,FALSE)</f>
        <v>36PCS/CTN</v>
      </c>
      <c r="J398" s="13" t="s">
        <v>300</v>
      </c>
      <c r="K398" s="32">
        <f>VLOOKUP(D398,'[1]NEW PRICE LIST'!$C$4:$H$1917,3,FALSE)</f>
        <v>310</v>
      </c>
      <c r="L398" s="13">
        <v>100</v>
      </c>
      <c r="M398" s="13">
        <v>0</v>
      </c>
      <c r="N398" s="13">
        <v>30</v>
      </c>
      <c r="P398" s="13" t="s">
        <v>3961</v>
      </c>
    </row>
    <row r="399" spans="1:16" ht="26.4" x14ac:dyDescent="0.25">
      <c r="A399" s="14" t="str">
        <f t="shared" si="18"/>
        <v>AVT0000398</v>
      </c>
      <c r="B399" s="13" t="str">
        <f>VLOOKUP(D399,'SUPPLIER_ITEMS (1st Tools)'!C512:D2239,2,FALSE)</f>
        <v>1ST-358-511</v>
      </c>
      <c r="C399" s="14" t="s">
        <v>749</v>
      </c>
      <c r="D399" s="18" t="s">
        <v>3745</v>
      </c>
      <c r="F399" s="30" t="str">
        <f t="shared" si="17"/>
        <v>AV222408-01 110*1/2 P.E COMPRESSION SADDLE CLAMP ALL BLACK</v>
      </c>
      <c r="I399" s="31" t="str">
        <f>VLOOKUP(D399,'[1]NEW PRICE LIST'!$C$4:$D$1917,2,FALSE)</f>
        <v>30PCS/CTN</v>
      </c>
      <c r="J399" s="13" t="s">
        <v>300</v>
      </c>
      <c r="K399" s="32">
        <f>VLOOKUP(D399,'[1]NEW PRICE LIST'!$C$4:$H$1917,3,FALSE)</f>
        <v>380</v>
      </c>
      <c r="L399" s="13">
        <v>100</v>
      </c>
      <c r="M399" s="13">
        <v>0</v>
      </c>
      <c r="N399" s="13">
        <v>30</v>
      </c>
      <c r="P399" s="13" t="s">
        <v>3961</v>
      </c>
    </row>
    <row r="400" spans="1:16" ht="26.4" x14ac:dyDescent="0.25">
      <c r="A400" s="14" t="str">
        <f t="shared" si="18"/>
        <v>AVT0000399</v>
      </c>
      <c r="B400" s="13" t="str">
        <f>VLOOKUP(D400,'SUPPLIER_ITEMS (1st Tools)'!C513:D2240,2,FALSE)</f>
        <v>1ST-358-512</v>
      </c>
      <c r="C400" s="14" t="s">
        <v>202</v>
      </c>
      <c r="D400" s="18" t="s">
        <v>3746</v>
      </c>
      <c r="F400" s="30" t="str">
        <f t="shared" si="17"/>
        <v>AV55090-00 G.I HOSE CLAMP 1/2"</v>
      </c>
      <c r="I400" s="31" t="str">
        <f>VLOOKUP(D400,'[1]NEW PRICE LIST'!$C$4:$D$1917,2,FALSE)</f>
        <v>100PCS*30BAGS
/CTN</v>
      </c>
      <c r="J400" s="13" t="s">
        <v>3969</v>
      </c>
      <c r="K400" s="32">
        <f>VLOOKUP(D400,'[1]NEW PRICE LIST'!$C$4:$H$1917,3,FALSE)</f>
        <v>4</v>
      </c>
      <c r="L400" s="13">
        <v>100</v>
      </c>
      <c r="M400" s="13">
        <v>0</v>
      </c>
      <c r="N400" s="13">
        <v>0</v>
      </c>
    </row>
    <row r="401" spans="1:16" ht="26.4" x14ac:dyDescent="0.25">
      <c r="A401" s="14" t="str">
        <f t="shared" si="18"/>
        <v>AVT0000400</v>
      </c>
      <c r="B401" s="13" t="str">
        <f>VLOOKUP(D401,'SUPPLIER_ITEMS (1st Tools)'!C514:D2241,2,FALSE)</f>
        <v>1ST-358-513</v>
      </c>
      <c r="C401" s="14" t="s">
        <v>202</v>
      </c>
      <c r="D401" s="18" t="s">
        <v>1240</v>
      </c>
      <c r="F401" s="30" t="str">
        <f t="shared" si="17"/>
        <v>AV55090-01 G.I HOSE CLAMP 5/8"</v>
      </c>
      <c r="I401" s="31" t="str">
        <f>VLOOKUP(D401,'[1]NEW PRICE LIST'!$C$4:$D$1917,2,FALSE)</f>
        <v>100PCS*30BAGS
/CTN</v>
      </c>
      <c r="J401" s="13" t="s">
        <v>3969</v>
      </c>
      <c r="K401" s="32">
        <f>VLOOKUP(D401,'[1]NEW PRICE LIST'!$C$4:$H$1917,3,FALSE)</f>
        <v>4</v>
      </c>
      <c r="L401" s="13">
        <v>100</v>
      </c>
      <c r="M401" s="13">
        <v>0</v>
      </c>
      <c r="N401" s="13">
        <v>0</v>
      </c>
    </row>
    <row r="402" spans="1:16" ht="26.4" x14ac:dyDescent="0.25">
      <c r="A402" s="14" t="str">
        <f t="shared" si="18"/>
        <v>AVT0000401</v>
      </c>
      <c r="B402" s="13" t="str">
        <f>VLOOKUP(D402,'SUPPLIER_ITEMS (1st Tools)'!C515:D2242,2,FALSE)</f>
        <v>1ST-358-514</v>
      </c>
      <c r="C402" s="14" t="s">
        <v>202</v>
      </c>
      <c r="D402" s="18" t="s">
        <v>1241</v>
      </c>
      <c r="F402" s="30" t="str">
        <f t="shared" ref="F402:F460" si="19">"AV"&amp;RIGHT(D402,LEN(D402)-2)</f>
        <v>AV55090-02 G.I HOSE CLAMP 3/4"</v>
      </c>
      <c r="I402" s="31" t="str">
        <f>VLOOKUP(D402,'[1]NEW PRICE LIST'!$C$4:$D$1917,2,FALSE)</f>
        <v>100PCS*30BAGS
/CTN</v>
      </c>
      <c r="J402" s="13" t="s">
        <v>3969</v>
      </c>
      <c r="K402" s="32">
        <f>VLOOKUP(D402,'[1]NEW PRICE LIST'!$C$4:$H$1917,3,FALSE)</f>
        <v>4</v>
      </c>
      <c r="L402" s="13">
        <v>100</v>
      </c>
      <c r="M402" s="13">
        <v>0</v>
      </c>
      <c r="N402" s="13">
        <v>0</v>
      </c>
    </row>
    <row r="403" spans="1:16" ht="26.4" x14ac:dyDescent="0.25">
      <c r="A403" s="14" t="str">
        <f t="shared" si="18"/>
        <v>AVT0000402</v>
      </c>
      <c r="B403" s="13" t="str">
        <f>VLOOKUP(D403,'SUPPLIER_ITEMS (1st Tools)'!C516:D2243,2,FALSE)</f>
        <v>1ST-358-515</v>
      </c>
      <c r="C403" s="14" t="s">
        <v>202</v>
      </c>
      <c r="D403" s="18" t="s">
        <v>1242</v>
      </c>
      <c r="F403" s="30" t="str">
        <f t="shared" si="19"/>
        <v>AV55090-03 G.I HOSE CLAMP 1"</v>
      </c>
      <c r="I403" s="31" t="str">
        <f>VLOOKUP(D403,'[1]NEW PRICE LIST'!$C$4:$D$1917,2,FALSE)</f>
        <v>100PCS*30BAGS
/CTN</v>
      </c>
      <c r="J403" s="13" t="s">
        <v>3969</v>
      </c>
      <c r="K403" s="32">
        <f>VLOOKUP(D403,'[1]NEW PRICE LIST'!$C$4:$H$1917,3,FALSE)</f>
        <v>7</v>
      </c>
      <c r="L403" s="13">
        <v>100</v>
      </c>
      <c r="M403" s="13">
        <v>0</v>
      </c>
      <c r="N403" s="13">
        <v>0</v>
      </c>
    </row>
    <row r="404" spans="1:16" ht="26.4" x14ac:dyDescent="0.25">
      <c r="A404" s="14" t="str">
        <f t="shared" si="18"/>
        <v>AVT0000403</v>
      </c>
      <c r="B404" s="13" t="str">
        <f>VLOOKUP(D404,'SUPPLIER_ITEMS (1st Tools)'!C517:D2244,2,FALSE)</f>
        <v>1ST-358-516</v>
      </c>
      <c r="C404" s="14" t="s">
        <v>202</v>
      </c>
      <c r="D404" s="18" t="s">
        <v>1244</v>
      </c>
      <c r="F404" s="30" t="str">
        <f t="shared" si="19"/>
        <v>AV55090-04 G.I HOSE CLAMP 1-1/4"</v>
      </c>
      <c r="I404" s="31" t="str">
        <f>VLOOKUP(D404,'[1]NEW PRICE LIST'!$C$4:$D$1917,2,FALSE)</f>
        <v>50PCS*20BAGS
/CTN</v>
      </c>
      <c r="J404" s="13" t="s">
        <v>3969</v>
      </c>
      <c r="K404" s="32">
        <f>VLOOKUP(D404,'[1]NEW PRICE LIST'!$C$4:$H$1917,3,FALSE)</f>
        <v>8</v>
      </c>
      <c r="L404" s="13">
        <v>100</v>
      </c>
      <c r="M404" s="13">
        <v>0</v>
      </c>
      <c r="N404" s="13">
        <v>0</v>
      </c>
    </row>
    <row r="405" spans="1:16" ht="26.4" x14ac:dyDescent="0.25">
      <c r="A405" s="14" t="str">
        <f t="shared" si="18"/>
        <v>AVT0000404</v>
      </c>
      <c r="B405" s="13" t="str">
        <f>VLOOKUP(D405,'SUPPLIER_ITEMS (1st Tools)'!C518:D2245,2,FALSE)</f>
        <v>1ST-358-517</v>
      </c>
      <c r="C405" s="14" t="s">
        <v>202</v>
      </c>
      <c r="D405" s="18" t="s">
        <v>1245</v>
      </c>
      <c r="F405" s="30" t="str">
        <f t="shared" si="19"/>
        <v>AV55090-05 G.I HOSE CLAMP 1-1/2"</v>
      </c>
      <c r="I405" s="31" t="str">
        <f>VLOOKUP(D405,'[1]NEW PRICE LIST'!$C$4:$D$1917,2,FALSE)</f>
        <v>50PCS*20BAGS
/CTN</v>
      </c>
      <c r="J405" s="13" t="s">
        <v>3969</v>
      </c>
      <c r="K405" s="32">
        <f>VLOOKUP(D405,'[1]NEW PRICE LIST'!$C$4:$H$1917,3,FALSE)</f>
        <v>8</v>
      </c>
      <c r="L405" s="13">
        <v>100</v>
      </c>
      <c r="M405" s="13">
        <v>0</v>
      </c>
      <c r="N405" s="13">
        <v>0</v>
      </c>
    </row>
    <row r="406" spans="1:16" ht="26.4" x14ac:dyDescent="0.25">
      <c r="A406" s="14" t="str">
        <f t="shared" si="18"/>
        <v>AVT0000405</v>
      </c>
      <c r="B406" s="13" t="str">
        <f>VLOOKUP(D406,'SUPPLIER_ITEMS (1st Tools)'!C519:D2246,2,FALSE)</f>
        <v>1ST-358-518</v>
      </c>
      <c r="C406" s="14" t="s">
        <v>202</v>
      </c>
      <c r="D406" s="18" t="s">
        <v>1247</v>
      </c>
      <c r="F406" s="30" t="str">
        <f t="shared" si="19"/>
        <v>AV55090-06 G.I HOSE CLAMP 2"</v>
      </c>
      <c r="I406" s="31" t="str">
        <f>VLOOKUP(D406,'[1]NEW PRICE LIST'!$C$4:$D$1917,2,FALSE)</f>
        <v>20PCS*50BAGS
/CTN</v>
      </c>
      <c r="J406" s="13" t="s">
        <v>3969</v>
      </c>
      <c r="K406" s="32">
        <f>VLOOKUP(D406,'[1]NEW PRICE LIST'!$C$4:$H$1917,3,FALSE)</f>
        <v>12</v>
      </c>
      <c r="L406" s="13">
        <v>100</v>
      </c>
      <c r="M406" s="13">
        <v>0</v>
      </c>
      <c r="N406" s="13">
        <v>0</v>
      </c>
    </row>
    <row r="407" spans="1:16" ht="26.4" x14ac:dyDescent="0.25">
      <c r="A407" s="14" t="str">
        <f t="shared" si="18"/>
        <v>AVT0000406</v>
      </c>
      <c r="B407" s="13" t="str">
        <f>VLOOKUP(D407,'SUPPLIER_ITEMS (1st Tools)'!C520:D2247,2,FALSE)</f>
        <v>1ST-358-519</v>
      </c>
      <c r="C407" s="14" t="s">
        <v>202</v>
      </c>
      <c r="D407" s="18" t="s">
        <v>1249</v>
      </c>
      <c r="F407" s="30" t="str">
        <f t="shared" si="19"/>
        <v>AV55090-07 G.I HOSE CLAMP 2-1/2"</v>
      </c>
      <c r="I407" s="31" t="str">
        <f>VLOOKUP(D407,'[1]NEW PRICE LIST'!$C$4:$D$1917,2,FALSE)</f>
        <v>20PCS*50BAGS
/CTN</v>
      </c>
      <c r="J407" s="13" t="s">
        <v>3969</v>
      </c>
      <c r="K407" s="32">
        <f>VLOOKUP(D407,'[1]NEW PRICE LIST'!$C$4:$H$1917,3,FALSE)</f>
        <v>14</v>
      </c>
      <c r="L407" s="13">
        <v>100</v>
      </c>
      <c r="M407" s="13">
        <v>0</v>
      </c>
      <c r="N407" s="13">
        <v>0</v>
      </c>
    </row>
    <row r="408" spans="1:16" ht="26.4" x14ac:dyDescent="0.25">
      <c r="A408" s="14" t="str">
        <f t="shared" si="18"/>
        <v>AVT0000407</v>
      </c>
      <c r="B408" s="13" t="str">
        <f>VLOOKUP(D408,'SUPPLIER_ITEMS (1st Tools)'!C521:D2248,2,FALSE)</f>
        <v>1ST-358-520</v>
      </c>
      <c r="C408" s="14" t="s">
        <v>202</v>
      </c>
      <c r="D408" s="18" t="s">
        <v>1251</v>
      </c>
      <c r="F408" s="30" t="str">
        <f t="shared" si="19"/>
        <v>AV55090-08 G.I HOSE CLAMP 3"</v>
      </c>
      <c r="I408" s="31" t="str">
        <f>VLOOKUP(D408,'[1]NEW PRICE LIST'!$C$4:$D$1917,2,FALSE)</f>
        <v>20PCS*25BAGS
/CTN</v>
      </c>
      <c r="J408" s="13" t="s">
        <v>3969</v>
      </c>
      <c r="K408" s="32">
        <f>VLOOKUP(D408,'[1]NEW PRICE LIST'!$C$4:$H$1917,3,FALSE)</f>
        <v>17</v>
      </c>
      <c r="L408" s="13">
        <v>100</v>
      </c>
      <c r="M408" s="13">
        <v>0</v>
      </c>
      <c r="N408" s="13">
        <v>0</v>
      </c>
    </row>
    <row r="409" spans="1:16" ht="26.4" x14ac:dyDescent="0.25">
      <c r="A409" s="14" t="str">
        <f t="shared" si="18"/>
        <v>AVT0000408</v>
      </c>
      <c r="B409" s="13" t="str">
        <f>VLOOKUP(D409,'SUPPLIER_ITEMS (1st Tools)'!C522:D2249,2,FALSE)</f>
        <v>1ST-358-521</v>
      </c>
      <c r="C409" s="14" t="s">
        <v>202</v>
      </c>
      <c r="D409" s="18" t="s">
        <v>1253</v>
      </c>
      <c r="F409" s="30" t="str">
        <f t="shared" si="19"/>
        <v>AV55090-09 G.I HOSE CLAMP 4"</v>
      </c>
      <c r="I409" s="31" t="str">
        <f>VLOOKUP(D409,'[1]NEW PRICE LIST'!$C$4:$D$1917,2,FALSE)</f>
        <v>20PCS*25BAGS
/CTN</v>
      </c>
      <c r="J409" s="13" t="s">
        <v>3969</v>
      </c>
      <c r="K409" s="32">
        <f>VLOOKUP(D409,'[1]NEW PRICE LIST'!$C$4:$H$1917,3,FALSE)</f>
        <v>22</v>
      </c>
      <c r="L409" s="13">
        <v>100</v>
      </c>
      <c r="M409" s="13">
        <v>0</v>
      </c>
      <c r="N409" s="13">
        <v>0</v>
      </c>
    </row>
    <row r="410" spans="1:16" ht="26.4" x14ac:dyDescent="0.25">
      <c r="A410" s="14" t="str">
        <f t="shared" si="18"/>
        <v>AVT0000409</v>
      </c>
      <c r="B410" s="13" t="str">
        <f>VLOOKUP(D410,'SUPPLIER_ITEMS (1st Tools)'!C525:D2252,2,FALSE)</f>
        <v>1ST-358-524</v>
      </c>
      <c r="C410" s="14" t="s">
        <v>201</v>
      </c>
      <c r="D410" s="18" t="s">
        <v>3748</v>
      </c>
      <c r="F410" s="30" t="str">
        <f t="shared" si="19"/>
        <v>AV22070-05 G.I NIPPLE 1/2"x1"</v>
      </c>
      <c r="I410" s="31" t="str">
        <f>VLOOKUP(D410,'[1]NEW PRICE LIST'!$C$4:$D$1917,2,FALSE)</f>
        <v>10PCS*80BAG/
CTN</v>
      </c>
      <c r="J410" s="13" t="s">
        <v>3970</v>
      </c>
      <c r="K410" s="32">
        <f>VLOOKUP(D410,'[1]NEW PRICE LIST'!$C$4:$H$1917,3,FALSE)</f>
        <v>6.8</v>
      </c>
      <c r="L410" s="13">
        <v>100</v>
      </c>
      <c r="M410" s="13">
        <v>0</v>
      </c>
      <c r="N410" s="13">
        <v>10</v>
      </c>
      <c r="P410" s="13" t="s">
        <v>3962</v>
      </c>
    </row>
    <row r="411" spans="1:16" ht="26.4" x14ac:dyDescent="0.25">
      <c r="A411" s="14" t="str">
        <f t="shared" si="18"/>
        <v>AVT0000410</v>
      </c>
      <c r="B411" s="13" t="str">
        <f>VLOOKUP(D411,'SUPPLIER_ITEMS (1st Tools)'!C526:D2253,2,FALSE)</f>
        <v>1ST-358-525</v>
      </c>
      <c r="C411" s="14" t="s">
        <v>201</v>
      </c>
      <c r="D411" s="18" t="s">
        <v>1259</v>
      </c>
      <c r="F411" s="30" t="str">
        <f t="shared" si="19"/>
        <v>AV22070-06 G.I NIPPLE 1/2"x 2"</v>
      </c>
      <c r="I411" s="31" t="str">
        <f>VLOOKUP(D411,'[1]NEW PRICE LIST'!$C$4:$D$1917,2,FALSE)</f>
        <v>10PCS*40BAG/
CTN</v>
      </c>
      <c r="J411" s="13" t="s">
        <v>3970</v>
      </c>
      <c r="K411" s="32">
        <f>VLOOKUP(D411,'[1]NEW PRICE LIST'!$C$4:$H$1917,3,FALSE)</f>
        <v>8.4</v>
      </c>
      <c r="L411" s="13">
        <v>100</v>
      </c>
      <c r="M411" s="13">
        <v>0</v>
      </c>
      <c r="N411" s="13">
        <v>10</v>
      </c>
      <c r="P411" s="13" t="s">
        <v>3962</v>
      </c>
    </row>
    <row r="412" spans="1:16" ht="26.4" x14ac:dyDescent="0.25">
      <c r="A412" s="14" t="str">
        <f t="shared" si="18"/>
        <v>AVT0000411</v>
      </c>
      <c r="B412" s="13" t="str">
        <f>VLOOKUP(D412,'SUPPLIER_ITEMS (1st Tools)'!C527:D2254,2,FALSE)</f>
        <v>1ST-358-526</v>
      </c>
      <c r="C412" s="14" t="s">
        <v>201</v>
      </c>
      <c r="D412" s="18" t="s">
        <v>3749</v>
      </c>
      <c r="F412" s="30" t="str">
        <f t="shared" si="19"/>
        <v>AV22070-07 G.I NIPPLE 1/2"x 3"</v>
      </c>
      <c r="I412" s="31" t="str">
        <f>VLOOKUP(D412,'[1]NEW PRICE LIST'!$C$4:$D$1917,2,FALSE)</f>
        <v>10PCS*25BAG/
CTN</v>
      </c>
      <c r="J412" s="13" t="s">
        <v>3970</v>
      </c>
      <c r="K412" s="32">
        <f>VLOOKUP(D412,'[1]NEW PRICE LIST'!$C$4:$H$1917,3,FALSE)</f>
        <v>10.6</v>
      </c>
      <c r="L412" s="13">
        <v>100</v>
      </c>
      <c r="M412" s="13">
        <v>0</v>
      </c>
      <c r="N412" s="13">
        <v>10</v>
      </c>
      <c r="P412" s="13" t="s">
        <v>3962</v>
      </c>
    </row>
    <row r="413" spans="1:16" ht="26.4" x14ac:dyDescent="0.25">
      <c r="A413" s="14" t="str">
        <f t="shared" si="18"/>
        <v>AVT0000412</v>
      </c>
      <c r="B413" s="13" t="str">
        <f>VLOOKUP(D413,'SUPPLIER_ITEMS (1st Tools)'!C528:D2255,2,FALSE)</f>
        <v>1ST-358-527</v>
      </c>
      <c r="C413" s="14" t="s">
        <v>201</v>
      </c>
      <c r="D413" s="18" t="s">
        <v>3750</v>
      </c>
      <c r="F413" s="30" t="str">
        <f t="shared" si="19"/>
        <v>AV22070-08 G.I NIPPLE 1/2"x 4"</v>
      </c>
      <c r="I413" s="31" t="str">
        <f>VLOOKUP(D413,'[1]NEW PRICE LIST'!$C$4:$D$1917,2,FALSE)</f>
        <v>10PCS*25BAG/
CTN</v>
      </c>
      <c r="J413" s="13" t="s">
        <v>3970</v>
      </c>
      <c r="K413" s="32">
        <f>VLOOKUP(D413,'[1]NEW PRICE LIST'!$C$4:$H$1917,3,FALSE)</f>
        <v>12.6</v>
      </c>
      <c r="L413" s="13">
        <v>100</v>
      </c>
      <c r="M413" s="13">
        <v>0</v>
      </c>
      <c r="N413" s="13">
        <v>10</v>
      </c>
      <c r="P413" s="13" t="s">
        <v>3962</v>
      </c>
    </row>
    <row r="414" spans="1:16" ht="26.4" x14ac:dyDescent="0.25">
      <c r="A414" s="14" t="str">
        <f t="shared" si="18"/>
        <v>AVT0000413</v>
      </c>
      <c r="B414" s="13" t="str">
        <f>VLOOKUP(D414,'SUPPLIER_ITEMS (1st Tools)'!C529:D2256,2,FALSE)</f>
        <v>1ST-358-528</v>
      </c>
      <c r="C414" s="14" t="s">
        <v>201</v>
      </c>
      <c r="D414" s="18" t="s">
        <v>3751</v>
      </c>
      <c r="F414" s="30" t="str">
        <f t="shared" si="19"/>
        <v>AV22070-09 G.I NIPPLE 1/2"x 5"</v>
      </c>
      <c r="I414" s="31" t="str">
        <f>VLOOKUP(D414,'[1]NEW PRICE LIST'!$C$4:$D$1917,2,FALSE)</f>
        <v>10PCS*20BAG/
CTN</v>
      </c>
      <c r="J414" s="13" t="s">
        <v>3970</v>
      </c>
      <c r="K414" s="32">
        <f>VLOOKUP(D414,'[1]NEW PRICE LIST'!$C$4:$H$1917,3,FALSE)</f>
        <v>17.399999999999999</v>
      </c>
      <c r="L414" s="13">
        <v>100</v>
      </c>
      <c r="M414" s="13">
        <v>0</v>
      </c>
      <c r="N414" s="13">
        <v>10</v>
      </c>
      <c r="P414" s="13" t="s">
        <v>3962</v>
      </c>
    </row>
    <row r="415" spans="1:16" ht="26.4" x14ac:dyDescent="0.25">
      <c r="A415" s="14" t="str">
        <f t="shared" si="18"/>
        <v>AVT0000414</v>
      </c>
      <c r="B415" s="13" t="str">
        <f>VLOOKUP(D415,'SUPPLIER_ITEMS (1st Tools)'!C530:D2257,2,FALSE)</f>
        <v>1ST-358-529</v>
      </c>
      <c r="C415" s="14" t="s">
        <v>201</v>
      </c>
      <c r="D415" s="18" t="s">
        <v>3752</v>
      </c>
      <c r="F415" s="30" t="str">
        <f t="shared" si="19"/>
        <v>AV22070-10 G.I NIPPLE 1/2"x 6"</v>
      </c>
      <c r="I415" s="31" t="str">
        <f>VLOOKUP(D415,'[1]NEW PRICE LIST'!$C$4:$D$1917,2,FALSE)</f>
        <v>10PCS*15BAG/
CTN</v>
      </c>
      <c r="J415" s="13" t="s">
        <v>3970</v>
      </c>
      <c r="K415" s="32">
        <f>VLOOKUP(D415,'[1]NEW PRICE LIST'!$C$4:$H$1917,3,FALSE)</f>
        <v>19.600000000000001</v>
      </c>
      <c r="L415" s="13">
        <v>100</v>
      </c>
      <c r="M415" s="13">
        <v>0</v>
      </c>
      <c r="N415" s="13">
        <v>10</v>
      </c>
      <c r="P415" s="13" t="s">
        <v>3962</v>
      </c>
    </row>
    <row r="416" spans="1:16" ht="26.4" x14ac:dyDescent="0.25">
      <c r="A416" s="14" t="str">
        <f t="shared" si="18"/>
        <v>AVT0000415</v>
      </c>
      <c r="B416" s="13" t="str">
        <f>VLOOKUP(D416,'SUPPLIER_ITEMS (1st Tools)'!C531:D2258,2,FALSE)</f>
        <v>1ST-358-530</v>
      </c>
      <c r="C416" s="14" t="s">
        <v>201</v>
      </c>
      <c r="D416" s="18" t="s">
        <v>3753</v>
      </c>
      <c r="F416" s="30" t="str">
        <f t="shared" si="19"/>
        <v>AV22070-11 G.I NIPPLE 1/2"x 7"</v>
      </c>
      <c r="I416" s="31" t="str">
        <f>VLOOKUP(D416,'[1]NEW PRICE LIST'!$C$4:$D$1917,2,FALSE)</f>
        <v>10PCS*15BAG
/CTN</v>
      </c>
      <c r="J416" s="13" t="s">
        <v>3970</v>
      </c>
      <c r="K416" s="32">
        <f>VLOOKUP(D416,'[1]NEW PRICE LIST'!$C$4:$H$1917,3,FALSE)</f>
        <v>22</v>
      </c>
      <c r="L416" s="13">
        <v>100</v>
      </c>
      <c r="M416" s="13">
        <v>0</v>
      </c>
      <c r="N416" s="13">
        <v>10</v>
      </c>
      <c r="P416" s="13" t="s">
        <v>3962</v>
      </c>
    </row>
    <row r="417" spans="1:16" ht="26.4" x14ac:dyDescent="0.25">
      <c r="A417" s="14" t="str">
        <f t="shared" si="18"/>
        <v>AVT0000416</v>
      </c>
      <c r="B417" s="13" t="str">
        <f>VLOOKUP(D417,'SUPPLIER_ITEMS (1st Tools)'!C532:D2259,2,FALSE)</f>
        <v>1ST-358-531</v>
      </c>
      <c r="C417" s="14" t="s">
        <v>201</v>
      </c>
      <c r="D417" s="18" t="s">
        <v>3754</v>
      </c>
      <c r="F417" s="30" t="str">
        <f t="shared" si="19"/>
        <v>AV22070-13 G.I NIPPLE 1/2"x 9"</v>
      </c>
      <c r="I417" s="31" t="str">
        <f>VLOOKUP(D417,'[1]NEW PRICE LIST'!$C$4:$D$1917,2,FALSE)</f>
        <v>10PCS*10BAG
/CTN</v>
      </c>
      <c r="J417" s="13" t="s">
        <v>3970</v>
      </c>
      <c r="K417" s="32">
        <f>VLOOKUP(D417,'[1]NEW PRICE LIST'!$C$4:$H$1917,3,FALSE)</f>
        <v>29.6</v>
      </c>
      <c r="L417" s="13">
        <v>100</v>
      </c>
      <c r="M417" s="13">
        <v>0</v>
      </c>
      <c r="N417" s="13">
        <v>10</v>
      </c>
      <c r="P417" s="13" t="s">
        <v>3962</v>
      </c>
    </row>
    <row r="418" spans="1:16" ht="26.4" x14ac:dyDescent="0.25">
      <c r="A418" s="14" t="str">
        <f t="shared" si="18"/>
        <v>AVT0000417</v>
      </c>
      <c r="B418" s="13" t="str">
        <f>VLOOKUP(D418,'SUPPLIER_ITEMS (1st Tools)'!C533:D2260,2,FALSE)</f>
        <v>1ST-358-532</v>
      </c>
      <c r="C418" s="14" t="s">
        <v>201</v>
      </c>
      <c r="D418" s="18" t="s">
        <v>3755</v>
      </c>
      <c r="F418" s="30" t="str">
        <f t="shared" si="19"/>
        <v>AV22070-14 G.I NIPPLE 1/2"x 10"</v>
      </c>
      <c r="I418" s="31" t="str">
        <f>VLOOKUP(D418,'[1]NEW PRICE LIST'!$C$4:$D$1917,2,FALSE)</f>
        <v>10PCS*10BAG/
CTN</v>
      </c>
      <c r="J418" s="13" t="s">
        <v>3970</v>
      </c>
      <c r="K418" s="32">
        <f>VLOOKUP(D418,'[1]NEW PRICE LIST'!$C$4:$H$1917,3,FALSE)</f>
        <v>30.8</v>
      </c>
      <c r="L418" s="13">
        <v>100</v>
      </c>
      <c r="M418" s="13">
        <v>0</v>
      </c>
      <c r="N418" s="13">
        <v>10</v>
      </c>
      <c r="P418" s="13" t="s">
        <v>3962</v>
      </c>
    </row>
    <row r="419" spans="1:16" ht="26.4" x14ac:dyDescent="0.25">
      <c r="A419" s="14" t="str">
        <f t="shared" si="18"/>
        <v>AVT0000418</v>
      </c>
      <c r="B419" s="13" t="str">
        <f>VLOOKUP(D419,'SUPPLIER_ITEMS (1st Tools)'!C534:D2261,2,FALSE)</f>
        <v>1ST-358-533</v>
      </c>
      <c r="C419" s="14" t="s">
        <v>201</v>
      </c>
      <c r="D419" s="18" t="s">
        <v>3756</v>
      </c>
      <c r="F419" s="30" t="str">
        <f t="shared" si="19"/>
        <v>AV22070-15 G.I NIPPLE 1/2"x 12"</v>
      </c>
      <c r="I419" s="31" t="str">
        <f>VLOOKUP(D419,'[1]NEW PRICE LIST'!$C$4:$D$1917,2,FALSE)</f>
        <v>10PCS*10BAG/
CTN</v>
      </c>
      <c r="J419" s="13" t="s">
        <v>3970</v>
      </c>
      <c r="K419" s="32">
        <f>VLOOKUP(D419,'[1]NEW PRICE LIST'!$C$4:$H$1917,3,FALSE)</f>
        <v>35.200000000000003</v>
      </c>
      <c r="L419" s="13">
        <v>100</v>
      </c>
      <c r="M419" s="13">
        <v>0</v>
      </c>
      <c r="N419" s="13">
        <v>10</v>
      </c>
      <c r="P419" s="13" t="s">
        <v>3962</v>
      </c>
    </row>
    <row r="420" spans="1:16" x14ac:dyDescent="0.25">
      <c r="A420" s="14" t="str">
        <f t="shared" si="18"/>
        <v>AVT0000419</v>
      </c>
      <c r="B420" s="13" t="str">
        <f>VLOOKUP(D420,'SUPPLIER_ITEMS (1st Tools)'!C535:D2262,2,FALSE)</f>
        <v>1ST-358-534</v>
      </c>
      <c r="C420" s="14" t="s">
        <v>201</v>
      </c>
      <c r="D420" s="18" t="s">
        <v>3757</v>
      </c>
      <c r="F420" s="30" t="str">
        <f t="shared" si="19"/>
        <v>AV22070-16 G.I NIPPLE 1/2"x 20"</v>
      </c>
      <c r="I420" s="31" t="str">
        <f>VLOOKUP(D420,'[1]NEW PRICE LIST'!$C$4:$D$1917,2,FALSE)</f>
        <v>50PCS/CTN</v>
      </c>
      <c r="J420" s="13" t="s">
        <v>300</v>
      </c>
      <c r="K420" s="32">
        <f>VLOOKUP(D420,'[1]NEW PRICE LIST'!$C$4:$H$1917,3,FALSE)</f>
        <v>8.4</v>
      </c>
      <c r="L420" s="13">
        <v>100</v>
      </c>
      <c r="M420" s="13">
        <v>0</v>
      </c>
      <c r="N420" s="13">
        <v>10</v>
      </c>
      <c r="P420" s="13" t="s">
        <v>3962</v>
      </c>
    </row>
    <row r="421" spans="1:16" ht="26.4" x14ac:dyDescent="0.25">
      <c r="A421" s="14" t="str">
        <f t="shared" si="18"/>
        <v>AVT0000420</v>
      </c>
      <c r="B421" s="13" t="str">
        <f>VLOOKUP(D421,'SUPPLIER_ITEMS (1st Tools)'!C536:D2263,2,FALSE)</f>
        <v>1ST-358-535</v>
      </c>
      <c r="C421" s="14" t="s">
        <v>201</v>
      </c>
      <c r="D421" s="18" t="s">
        <v>3758</v>
      </c>
      <c r="F421" s="30" t="str">
        <f t="shared" si="19"/>
        <v>AV22070-18 G.I NIPPLE 3/4"x 2"</v>
      </c>
      <c r="I421" s="31" t="str">
        <f>VLOOKUP(D421,'[1]NEW PRICE LIST'!$C$4:$D$1917,2,FALSE)</f>
        <v>10PCS*30BAG/
CTN</v>
      </c>
      <c r="J421" s="13" t="s">
        <v>3970</v>
      </c>
      <c r="K421" s="32">
        <f>VLOOKUP(D421,'[1]NEW PRICE LIST'!$C$4:$H$1917,3,FALSE)</f>
        <v>9.8000000000000007</v>
      </c>
      <c r="L421" s="13">
        <v>100</v>
      </c>
      <c r="M421" s="13">
        <v>0</v>
      </c>
      <c r="N421" s="13">
        <v>10</v>
      </c>
      <c r="P421" s="13" t="s">
        <v>3962</v>
      </c>
    </row>
    <row r="422" spans="1:16" ht="26.4" x14ac:dyDescent="0.25">
      <c r="A422" s="14" t="str">
        <f t="shared" si="18"/>
        <v>AVT0000421</v>
      </c>
      <c r="B422" s="13" t="str">
        <f>VLOOKUP(D422,'SUPPLIER_ITEMS (1st Tools)'!C537:D2264,2,FALSE)</f>
        <v>1ST-358-536</v>
      </c>
      <c r="C422" s="14" t="s">
        <v>201</v>
      </c>
      <c r="D422" s="18" t="s">
        <v>3759</v>
      </c>
      <c r="F422" s="30" t="str">
        <f t="shared" si="19"/>
        <v>AV22070-19 G.I NIPPLE 3/4"x 3"</v>
      </c>
      <c r="I422" s="31" t="str">
        <f>VLOOKUP(D422,'[1]NEW PRICE LIST'!$C$4:$D$1917,2,FALSE)</f>
        <v>10PCS*20BAG/
CTN</v>
      </c>
      <c r="J422" s="13" t="s">
        <v>3970</v>
      </c>
      <c r="K422" s="32">
        <f>VLOOKUP(D422,'[1]NEW PRICE LIST'!$C$4:$H$1917,3,FALSE)</f>
        <v>12.4</v>
      </c>
      <c r="L422" s="13">
        <v>100</v>
      </c>
      <c r="M422" s="13">
        <v>0</v>
      </c>
      <c r="N422" s="13">
        <v>10</v>
      </c>
      <c r="P422" s="13" t="s">
        <v>3962</v>
      </c>
    </row>
    <row r="423" spans="1:16" ht="26.4" x14ac:dyDescent="0.25">
      <c r="A423" s="14" t="str">
        <f t="shared" si="18"/>
        <v>AVT0000422</v>
      </c>
      <c r="B423" s="13" t="str">
        <f>VLOOKUP(D423,'SUPPLIER_ITEMS (1st Tools)'!C538:D2265,2,FALSE)</f>
        <v>1ST-358-537</v>
      </c>
      <c r="C423" s="14" t="s">
        <v>201</v>
      </c>
      <c r="D423" s="18" t="s">
        <v>3760</v>
      </c>
      <c r="F423" s="30" t="str">
        <f t="shared" si="19"/>
        <v>AV22070-20 G.I NIPPLE 3/4"x 4"</v>
      </c>
      <c r="I423" s="31" t="str">
        <f>VLOOKUP(D423,'[1]NEW PRICE LIST'!$C$4:$D$1917,2,FALSE)</f>
        <v>10PCS*15BAG/
CTN</v>
      </c>
      <c r="J423" s="13" t="s">
        <v>3970</v>
      </c>
      <c r="K423" s="32">
        <f>VLOOKUP(D423,'[1]NEW PRICE LIST'!$C$4:$H$1917,3,FALSE)</f>
        <v>16</v>
      </c>
      <c r="L423" s="13">
        <v>100</v>
      </c>
      <c r="M423" s="13">
        <v>0</v>
      </c>
      <c r="N423" s="13">
        <v>10</v>
      </c>
      <c r="P423" s="13" t="s">
        <v>3962</v>
      </c>
    </row>
    <row r="424" spans="1:16" ht="26.4" x14ac:dyDescent="0.25">
      <c r="A424" s="14" t="str">
        <f t="shared" si="18"/>
        <v>AVT0000423</v>
      </c>
      <c r="B424" s="13" t="str">
        <f>VLOOKUP(D424,'SUPPLIER_ITEMS (1st Tools)'!C539:D2266,2,FALSE)</f>
        <v>1ST-358-538</v>
      </c>
      <c r="C424" s="14" t="s">
        <v>201</v>
      </c>
      <c r="D424" s="18" t="s">
        <v>3761</v>
      </c>
      <c r="F424" s="30" t="str">
        <f t="shared" si="19"/>
        <v>AV22070-21 G.I NIPPLE 3/4"x 5"</v>
      </c>
      <c r="I424" s="31" t="str">
        <f>VLOOKUP(D424,'[1]NEW PRICE LIST'!$C$4:$D$1917,2,FALSE)</f>
        <v>10PCS*15BAG/
CTN</v>
      </c>
      <c r="J424" s="13" t="s">
        <v>3970</v>
      </c>
      <c r="K424" s="32">
        <f>VLOOKUP(D424,'[1]NEW PRICE LIST'!$C$4:$H$1917,3,FALSE)</f>
        <v>21.2</v>
      </c>
      <c r="L424" s="13">
        <v>100</v>
      </c>
      <c r="M424" s="13">
        <v>0</v>
      </c>
      <c r="N424" s="13">
        <v>10</v>
      </c>
      <c r="P424" s="13" t="s">
        <v>3962</v>
      </c>
    </row>
    <row r="425" spans="1:16" ht="26.4" x14ac:dyDescent="0.25">
      <c r="A425" s="14" t="str">
        <f t="shared" si="18"/>
        <v>AVT0000424</v>
      </c>
      <c r="B425" s="13" t="str">
        <f>VLOOKUP(D425,'SUPPLIER_ITEMS (1st Tools)'!C540:D2267,2,FALSE)</f>
        <v>1ST-358-539</v>
      </c>
      <c r="C425" s="14" t="s">
        <v>201</v>
      </c>
      <c r="D425" s="18" t="s">
        <v>3762</v>
      </c>
      <c r="F425" s="30" t="str">
        <f t="shared" si="19"/>
        <v>AV22070-22 G.I NIPPLE 3/4"x 6"</v>
      </c>
      <c r="I425" s="31" t="str">
        <f>VLOOKUP(D425,'[1]NEW PRICE LIST'!$C$4:$D$1917,2,FALSE)</f>
        <v>10PCS*10BAG/
CTN</v>
      </c>
      <c r="J425" s="13" t="s">
        <v>3970</v>
      </c>
      <c r="K425" s="32">
        <f>VLOOKUP(D425,'[1]NEW PRICE LIST'!$C$4:$H$1917,3,FALSE)</f>
        <v>26.8</v>
      </c>
      <c r="L425" s="13">
        <v>100</v>
      </c>
      <c r="M425" s="13">
        <v>0</v>
      </c>
      <c r="N425" s="13">
        <v>10</v>
      </c>
      <c r="P425" s="13" t="s">
        <v>3962</v>
      </c>
    </row>
    <row r="426" spans="1:16" ht="26.4" x14ac:dyDescent="0.25">
      <c r="A426" s="14" t="str">
        <f t="shared" si="18"/>
        <v>AVT0000425</v>
      </c>
      <c r="B426" s="13" t="str">
        <f>VLOOKUP(D426,'SUPPLIER_ITEMS (1st Tools)'!C541:D2268,2,FALSE)</f>
        <v>1ST-358-540</v>
      </c>
      <c r="C426" s="14" t="s">
        <v>201</v>
      </c>
      <c r="D426" s="18" t="s">
        <v>1272</v>
      </c>
      <c r="F426" s="30" t="str">
        <f t="shared" si="19"/>
        <v>AV22070-24 G.I NIPPLE 3/4"x 8"</v>
      </c>
      <c r="I426" s="31" t="str">
        <f>VLOOKUP(D426,'[1]NEW PRICE LIST'!$C$4:$D$1917,2,FALSE)</f>
        <v>10PCS*8BAG/
CTN</v>
      </c>
      <c r="J426" s="13" t="s">
        <v>3970</v>
      </c>
      <c r="K426" s="32">
        <f>VLOOKUP(D426,'[1]NEW PRICE LIST'!$C$4:$H$1917,3,FALSE)</f>
        <v>32.200000000000003</v>
      </c>
      <c r="L426" s="13">
        <v>100</v>
      </c>
      <c r="M426" s="13">
        <v>0</v>
      </c>
      <c r="N426" s="13">
        <v>10</v>
      </c>
      <c r="P426" s="13" t="s">
        <v>3962</v>
      </c>
    </row>
    <row r="427" spans="1:16" ht="26.4" x14ac:dyDescent="0.25">
      <c r="A427" s="14" t="str">
        <f t="shared" si="18"/>
        <v>AVT0000426</v>
      </c>
      <c r="B427" s="13" t="str">
        <f>VLOOKUP(D427,'SUPPLIER_ITEMS (1st Tools)'!C542:D2269,2,FALSE)</f>
        <v>1ST-358-541</v>
      </c>
      <c r="C427" s="14" t="s">
        <v>201</v>
      </c>
      <c r="D427" s="18" t="s">
        <v>3763</v>
      </c>
      <c r="F427" s="30" t="str">
        <f t="shared" si="19"/>
        <v>AV22070-26 G.I NIPPLE 3/4"x 10"</v>
      </c>
      <c r="I427" s="31" t="str">
        <f>VLOOKUP(D427,'[1]NEW PRICE LIST'!$C$4:$D$1917,2,FALSE)</f>
        <v>10PCS*5BAG/
CTN</v>
      </c>
      <c r="J427" s="13" t="s">
        <v>3970</v>
      </c>
      <c r="K427" s="32">
        <f>VLOOKUP(D427,'[1]NEW PRICE LIST'!$C$4:$H$1917,3,FALSE)</f>
        <v>34.6</v>
      </c>
      <c r="L427" s="13">
        <v>100</v>
      </c>
      <c r="M427" s="13">
        <v>0</v>
      </c>
      <c r="N427" s="13">
        <v>10</v>
      </c>
      <c r="P427" s="13" t="s">
        <v>3962</v>
      </c>
    </row>
    <row r="428" spans="1:16" x14ac:dyDescent="0.25">
      <c r="A428" s="14" t="str">
        <f t="shared" si="18"/>
        <v>AVT0000427</v>
      </c>
      <c r="B428" s="13" t="str">
        <f>VLOOKUP(D428,'SUPPLIER_ITEMS (1st Tools)'!C543:D2270,2,FALSE)</f>
        <v>1ST-358-542</v>
      </c>
      <c r="C428" s="14" t="s">
        <v>201</v>
      </c>
      <c r="D428" s="18" t="s">
        <v>3764</v>
      </c>
      <c r="F428" s="30" t="str">
        <f t="shared" si="19"/>
        <v>AV22070-27 G.I NIPPLE 3/4"x 12"</v>
      </c>
      <c r="I428" s="31" t="str">
        <f>VLOOKUP(D428,'[1]NEW PRICE LIST'!$C$4:$D$1917,2,FALSE)</f>
        <v>10PCS*5BAG/CTN</v>
      </c>
      <c r="J428" s="13" t="s">
        <v>3970</v>
      </c>
      <c r="K428" s="32">
        <f>VLOOKUP(D428,'[1]NEW PRICE LIST'!$C$4:$H$1917,3,FALSE)</f>
        <v>46</v>
      </c>
      <c r="L428" s="13">
        <v>100</v>
      </c>
      <c r="M428" s="13">
        <v>0</v>
      </c>
      <c r="N428" s="13">
        <v>10</v>
      </c>
      <c r="P428" s="13" t="s">
        <v>3962</v>
      </c>
    </row>
    <row r="429" spans="1:16" ht="26.4" x14ac:dyDescent="0.25">
      <c r="A429" s="14" t="str">
        <f t="shared" si="18"/>
        <v>AVT0000428</v>
      </c>
      <c r="B429" s="13" t="str">
        <f>VLOOKUP(D429,'SUPPLIER_ITEMS (1st Tools)'!C544:D2271,2,FALSE)</f>
        <v>1ST-358-543</v>
      </c>
      <c r="C429" s="14" t="s">
        <v>201</v>
      </c>
      <c r="D429" s="18" t="s">
        <v>3765</v>
      </c>
      <c r="F429" s="30" t="str">
        <f t="shared" si="19"/>
        <v>AV22070-29 G.I NIPPLE 1"x 2"</v>
      </c>
      <c r="I429" s="31" t="str">
        <f>VLOOKUP(D429,'[1]NEW PRICE LIST'!$C$4:$D$1917,2,FALSE)</f>
        <v>10PCS*15BAG/CT
N</v>
      </c>
      <c r="J429" s="13" t="s">
        <v>3970</v>
      </c>
      <c r="K429" s="32">
        <f>VLOOKUP(D429,'[1]NEW PRICE LIST'!$C$4:$H$1917,3,FALSE)</f>
        <v>17.600000000000001</v>
      </c>
      <c r="L429" s="13">
        <v>100</v>
      </c>
      <c r="M429" s="13">
        <v>0</v>
      </c>
      <c r="N429" s="13">
        <v>10</v>
      </c>
      <c r="P429" s="13" t="s">
        <v>3962</v>
      </c>
    </row>
    <row r="430" spans="1:16" ht="26.4" x14ac:dyDescent="0.25">
      <c r="A430" s="14" t="str">
        <f t="shared" si="18"/>
        <v>AVT0000429</v>
      </c>
      <c r="B430" s="13" t="str">
        <f>VLOOKUP(D430,'SUPPLIER_ITEMS (1st Tools)'!C545:D2272,2,FALSE)</f>
        <v>1ST-358-544</v>
      </c>
      <c r="C430" s="14" t="s">
        <v>201</v>
      </c>
      <c r="D430" s="18" t="s">
        <v>3766</v>
      </c>
      <c r="F430" s="30" t="str">
        <f t="shared" si="19"/>
        <v>AV22070-30 G.I NIPPLE 1"x 3"</v>
      </c>
      <c r="I430" s="31" t="str">
        <f>VLOOKUP(D430,'[1]NEW PRICE LIST'!$C$4:$D$1917,2,FALSE)</f>
        <v>10PCS*10BAG/CT
N</v>
      </c>
      <c r="J430" s="13" t="s">
        <v>3970</v>
      </c>
      <c r="K430" s="32">
        <f>VLOOKUP(D430,'[1]NEW PRICE LIST'!$C$4:$H$1917,3,FALSE)</f>
        <v>21</v>
      </c>
      <c r="L430" s="13">
        <v>100</v>
      </c>
      <c r="M430" s="13">
        <v>0</v>
      </c>
      <c r="N430" s="13">
        <v>10</v>
      </c>
      <c r="P430" s="13" t="s">
        <v>3962</v>
      </c>
    </row>
    <row r="431" spans="1:16" ht="26.4" x14ac:dyDescent="0.25">
      <c r="A431" s="14" t="str">
        <f t="shared" si="18"/>
        <v>AVT0000430</v>
      </c>
      <c r="B431" s="13" t="str">
        <f>VLOOKUP(D431,'SUPPLIER_ITEMS (1st Tools)'!C546:D2273,2,FALSE)</f>
        <v>1ST-358-545</v>
      </c>
      <c r="C431" s="14" t="s">
        <v>201</v>
      </c>
      <c r="D431" s="18" t="s">
        <v>3767</v>
      </c>
      <c r="F431" s="30" t="str">
        <f t="shared" si="19"/>
        <v>AV22070-31 G.I NIPPLE 1"x 4"</v>
      </c>
      <c r="I431" s="31" t="str">
        <f>VLOOKUP(D431,'[1]NEW PRICE LIST'!$C$4:$D$1917,2,FALSE)</f>
        <v>10PCS*10BAG/CT
N</v>
      </c>
      <c r="J431" s="13" t="s">
        <v>3970</v>
      </c>
      <c r="K431" s="32">
        <f>VLOOKUP(D431,'[1]NEW PRICE LIST'!$C$4:$H$1917,3,FALSE)</f>
        <v>29.8</v>
      </c>
      <c r="L431" s="13">
        <v>100</v>
      </c>
      <c r="M431" s="13">
        <v>0</v>
      </c>
      <c r="N431" s="13">
        <v>10</v>
      </c>
      <c r="P431" s="13" t="s">
        <v>3962</v>
      </c>
    </row>
    <row r="432" spans="1:16" x14ac:dyDescent="0.25">
      <c r="A432" s="14" t="str">
        <f t="shared" si="18"/>
        <v>AVT0000431</v>
      </c>
      <c r="B432" s="13" t="str">
        <f>VLOOKUP(D432,'SUPPLIER_ITEMS (1st Tools)'!C547:D2274,2,FALSE)</f>
        <v>1ST-358-546</v>
      </c>
      <c r="C432" s="14" t="s">
        <v>201</v>
      </c>
      <c r="D432" s="18" t="s">
        <v>3768</v>
      </c>
      <c r="F432" s="30" t="str">
        <f t="shared" si="19"/>
        <v>AV22070-32 G.I NIPPLE 1"x 5"</v>
      </c>
      <c r="I432" s="31" t="str">
        <f>VLOOKUP(D432,'[1]NEW PRICE LIST'!$C$4:$D$1917,2,FALSE)</f>
        <v>10PCS*8BAG/CTN</v>
      </c>
      <c r="J432" s="13" t="s">
        <v>3970</v>
      </c>
      <c r="K432" s="32">
        <f>VLOOKUP(D432,'[1]NEW PRICE LIST'!$C$4:$H$1917,3,FALSE)</f>
        <v>44.4</v>
      </c>
      <c r="L432" s="13">
        <v>100</v>
      </c>
      <c r="M432" s="13">
        <v>0</v>
      </c>
      <c r="N432" s="13">
        <v>10</v>
      </c>
      <c r="P432" s="13" t="s">
        <v>3962</v>
      </c>
    </row>
    <row r="433" spans="1:16" x14ac:dyDescent="0.25">
      <c r="A433" s="14" t="str">
        <f t="shared" si="18"/>
        <v>AVT0000432</v>
      </c>
      <c r="B433" s="13" t="str">
        <f>VLOOKUP(D433,'SUPPLIER_ITEMS (1st Tools)'!C548:D2275,2,FALSE)</f>
        <v>1ST-358-547</v>
      </c>
      <c r="C433" s="14" t="s">
        <v>201</v>
      </c>
      <c r="D433" s="18" t="s">
        <v>3769</v>
      </c>
      <c r="F433" s="30" t="str">
        <f t="shared" si="19"/>
        <v>AV22070-33 G.I NIPPLE 1"x 6"</v>
      </c>
      <c r="I433" s="31" t="str">
        <f>VLOOKUP(D433,'[1]NEW PRICE LIST'!$C$4:$D$1917,2,FALSE)</f>
        <v>10PCS*6BAG/CTN</v>
      </c>
      <c r="J433" s="13" t="s">
        <v>3970</v>
      </c>
      <c r="K433" s="32">
        <f>VLOOKUP(D433,'[1]NEW PRICE LIST'!$C$4:$H$1917,3,FALSE)</f>
        <v>51.4</v>
      </c>
      <c r="L433" s="13">
        <v>100</v>
      </c>
      <c r="M433" s="13">
        <v>0</v>
      </c>
      <c r="N433" s="13">
        <v>10</v>
      </c>
      <c r="P433" s="13" t="s">
        <v>3962</v>
      </c>
    </row>
    <row r="434" spans="1:16" x14ac:dyDescent="0.25">
      <c r="A434" s="14" t="str">
        <f t="shared" si="18"/>
        <v>AVT0000433</v>
      </c>
      <c r="B434" s="13" t="str">
        <f>VLOOKUP(D434,'SUPPLIER_ITEMS (1st Tools)'!C549:D2276,2,FALSE)</f>
        <v>1ST-358-548</v>
      </c>
      <c r="C434" s="14" t="s">
        <v>201</v>
      </c>
      <c r="D434" s="18" t="s">
        <v>3770</v>
      </c>
      <c r="F434" s="30" t="str">
        <f t="shared" si="19"/>
        <v>AV22070-35 G.I NIPPLE 1"x 8"</v>
      </c>
      <c r="I434" s="31" t="str">
        <f>VLOOKUP(D434,'[1]NEW PRICE LIST'!$C$4:$D$1917,2,FALSE)</f>
        <v>10PCS*4BAG/CTN</v>
      </c>
      <c r="J434" s="13" t="s">
        <v>3970</v>
      </c>
      <c r="K434" s="32">
        <f>VLOOKUP(D434,'[1]NEW PRICE LIST'!$C$4:$H$1917,3,FALSE)</f>
        <v>52.6</v>
      </c>
      <c r="L434" s="13">
        <v>100</v>
      </c>
      <c r="M434" s="13">
        <v>0</v>
      </c>
      <c r="N434" s="13">
        <v>10</v>
      </c>
      <c r="P434" s="13" t="s">
        <v>3962</v>
      </c>
    </row>
    <row r="435" spans="1:16" x14ac:dyDescent="0.25">
      <c r="A435" s="14" t="str">
        <f t="shared" si="18"/>
        <v>AVT0000434</v>
      </c>
      <c r="B435" s="13" t="str">
        <f>VLOOKUP(D435,'SUPPLIER_ITEMS (1st Tools)'!C550:D2277,2,FALSE)</f>
        <v>1ST-358-549</v>
      </c>
      <c r="C435" s="14" t="s">
        <v>201</v>
      </c>
      <c r="D435" s="18" t="s">
        <v>1280</v>
      </c>
      <c r="F435" s="30" t="str">
        <f t="shared" si="19"/>
        <v>AV22070-37 G.I NIPPLE 1"x 10"</v>
      </c>
      <c r="I435" s="31" t="str">
        <f>VLOOKUP(D435,'[1]NEW PRICE LIST'!$C$4:$D$1917,2,FALSE)</f>
        <v>10PCS*3BAG/CTN</v>
      </c>
      <c r="J435" s="13" t="s">
        <v>3970</v>
      </c>
      <c r="K435" s="32">
        <f>VLOOKUP(D435,'[1]NEW PRICE LIST'!$C$4:$H$1917,3,FALSE)</f>
        <v>72</v>
      </c>
      <c r="L435" s="13">
        <v>100</v>
      </c>
      <c r="M435" s="13">
        <v>0</v>
      </c>
      <c r="N435" s="13">
        <v>10</v>
      </c>
      <c r="P435" s="13" t="s">
        <v>3962</v>
      </c>
    </row>
    <row r="436" spans="1:16" x14ac:dyDescent="0.25">
      <c r="A436" s="14" t="str">
        <f t="shared" si="18"/>
        <v>AVT0000435</v>
      </c>
      <c r="B436" s="13" t="str">
        <f>VLOOKUP(D436,'SUPPLIER_ITEMS (1st Tools)'!C551:D2278,2,FALSE)</f>
        <v>1ST-358-550</v>
      </c>
      <c r="C436" s="14" t="s">
        <v>201</v>
      </c>
      <c r="D436" s="18" t="s">
        <v>3771</v>
      </c>
      <c r="F436" s="30" t="str">
        <f t="shared" si="19"/>
        <v>AV22070-38 G.I NIPPLE 1"x 12"</v>
      </c>
      <c r="I436" s="31" t="str">
        <f>VLOOKUP(D436,'[1]NEW PRICE LIST'!$C$4:$D$1917,2,FALSE)</f>
        <v>10PCS*3BAG/CTN</v>
      </c>
      <c r="J436" s="13" t="s">
        <v>3970</v>
      </c>
      <c r="K436" s="32">
        <f>VLOOKUP(D436,'[1]NEW PRICE LIST'!$C$4:$H$1917,3,FALSE)</f>
        <v>80</v>
      </c>
      <c r="L436" s="13">
        <v>100</v>
      </c>
      <c r="M436" s="13">
        <v>0</v>
      </c>
      <c r="N436" s="13">
        <v>10</v>
      </c>
      <c r="P436" s="13" t="s">
        <v>3962</v>
      </c>
    </row>
    <row r="437" spans="1:16" x14ac:dyDescent="0.25">
      <c r="A437" s="14" t="str">
        <f t="shared" si="18"/>
        <v>AVT0000436</v>
      </c>
      <c r="B437" s="13" t="str">
        <f>VLOOKUP(D437,'SUPPLIER_ITEMS (1st Tools)'!C552:D2279,2,FALSE)</f>
        <v>1ST-358-551</v>
      </c>
      <c r="C437" s="14" t="s">
        <v>201</v>
      </c>
      <c r="D437" s="18" t="s">
        <v>3772</v>
      </c>
      <c r="F437" s="30" t="str">
        <f t="shared" si="19"/>
        <v>AV22070-39 G.I NIPPLE 1-1/4"*2"</v>
      </c>
      <c r="I437" s="31" t="str">
        <f>VLOOKUP(D437,'[1]NEW PRICE LIST'!$C$4:$D$1917,2,FALSE)</f>
        <v>150PCS/CTN</v>
      </c>
      <c r="J437" s="13" t="s">
        <v>300</v>
      </c>
      <c r="K437" s="32">
        <f>VLOOKUP(D437,'[1]NEW PRICE LIST'!$C$4:$H$1917,3,FALSE)</f>
        <v>23</v>
      </c>
      <c r="L437" s="13">
        <v>100</v>
      </c>
      <c r="M437" s="13">
        <v>0</v>
      </c>
      <c r="N437" s="13">
        <v>10</v>
      </c>
      <c r="P437" s="13" t="s">
        <v>3962</v>
      </c>
    </row>
    <row r="438" spans="1:16" x14ac:dyDescent="0.25">
      <c r="A438" s="14" t="str">
        <f t="shared" si="18"/>
        <v>AVT0000437</v>
      </c>
      <c r="B438" s="13" t="str">
        <f>VLOOKUP(D438,'SUPPLIER_ITEMS (1st Tools)'!C553:D2280,2,FALSE)</f>
        <v>1ST-358-552</v>
      </c>
      <c r="C438" s="14" t="s">
        <v>201</v>
      </c>
      <c r="D438" s="18" t="s">
        <v>3773</v>
      </c>
      <c r="F438" s="30" t="str">
        <f t="shared" si="19"/>
        <v>AV22070-40 G.I NIPPLE 1-1/4"x 3"</v>
      </c>
      <c r="I438" s="31" t="str">
        <f>VLOOKUP(D438,'[1]NEW PRICE LIST'!$C$4:$D$1917,2,FALSE)</f>
        <v>100PCS/CTN</v>
      </c>
      <c r="J438" s="13" t="s">
        <v>300</v>
      </c>
      <c r="K438" s="32">
        <f>VLOOKUP(D438,'[1]NEW PRICE LIST'!$C$4:$H$1917,3,FALSE)</f>
        <v>28.2</v>
      </c>
      <c r="L438" s="13">
        <v>100</v>
      </c>
      <c r="M438" s="13">
        <v>0</v>
      </c>
      <c r="N438" s="13">
        <v>10</v>
      </c>
      <c r="P438" s="13" t="s">
        <v>3962</v>
      </c>
    </row>
    <row r="439" spans="1:16" x14ac:dyDescent="0.25">
      <c r="A439" s="14" t="str">
        <f t="shared" si="18"/>
        <v>AVT0000438</v>
      </c>
      <c r="B439" s="13" t="str">
        <f>VLOOKUP(D439,'SUPPLIER_ITEMS (1st Tools)'!C554:D2281,2,FALSE)</f>
        <v>1ST-358-553</v>
      </c>
      <c r="C439" s="14" t="s">
        <v>201</v>
      </c>
      <c r="D439" s="18" t="s">
        <v>1282</v>
      </c>
      <c r="F439" s="30" t="str">
        <f t="shared" si="19"/>
        <v>AV22070-41 G.I NIPPLE 1-1/4"*4"</v>
      </c>
      <c r="I439" s="31" t="str">
        <f>VLOOKUP(D439,'[1]NEW PRICE LIST'!$C$4:$D$1917,2,FALSE)</f>
        <v>70PCS/CTN</v>
      </c>
      <c r="J439" s="13" t="s">
        <v>300</v>
      </c>
      <c r="K439" s="32">
        <f>VLOOKUP(D439,'[1]NEW PRICE LIST'!$C$4:$H$1917,3,FALSE)</f>
        <v>39</v>
      </c>
      <c r="L439" s="13">
        <v>100</v>
      </c>
      <c r="M439" s="13">
        <v>0</v>
      </c>
      <c r="N439" s="13">
        <v>10</v>
      </c>
      <c r="P439" s="13" t="s">
        <v>3962</v>
      </c>
    </row>
    <row r="440" spans="1:16" x14ac:dyDescent="0.25">
      <c r="A440" s="14" t="str">
        <f t="shared" si="18"/>
        <v>AVT0000439</v>
      </c>
      <c r="B440" s="13" t="str">
        <f>VLOOKUP(D440,'SUPPLIER_ITEMS (1st Tools)'!C555:D2282,2,FALSE)</f>
        <v>1ST-358-554</v>
      </c>
      <c r="C440" s="14" t="s">
        <v>201</v>
      </c>
      <c r="D440" s="18" t="s">
        <v>3774</v>
      </c>
      <c r="F440" s="30" t="str">
        <f t="shared" si="19"/>
        <v>AV22070-42 G.I NIPPLE 1-1/4"x5"</v>
      </c>
      <c r="I440" s="31" t="str">
        <f>VLOOKUP(D440,'[1]NEW PRICE LIST'!$C$4:$D$1917,2,FALSE)</f>
        <v>50PCS/CTN</v>
      </c>
      <c r="J440" s="13" t="s">
        <v>300</v>
      </c>
      <c r="K440" s="32">
        <f>VLOOKUP(D440,'[1]NEW PRICE LIST'!$C$4:$H$1917,3,FALSE)</f>
        <v>47.6</v>
      </c>
      <c r="L440" s="13">
        <v>100</v>
      </c>
      <c r="M440" s="13">
        <v>0</v>
      </c>
      <c r="N440" s="13">
        <v>10</v>
      </c>
      <c r="P440" s="13" t="s">
        <v>3962</v>
      </c>
    </row>
    <row r="441" spans="1:16" x14ac:dyDescent="0.25">
      <c r="A441" s="14" t="str">
        <f t="shared" si="18"/>
        <v>AVT0000440</v>
      </c>
      <c r="B441" s="13" t="str">
        <f>VLOOKUP(D441,'SUPPLIER_ITEMS (1st Tools)'!C556:D2283,2,FALSE)</f>
        <v>1ST-358-555</v>
      </c>
      <c r="C441" s="14" t="s">
        <v>201</v>
      </c>
      <c r="D441" s="18" t="s">
        <v>3775</v>
      </c>
      <c r="F441" s="30" t="str">
        <f t="shared" si="19"/>
        <v>AV22070-43 G.I NIPPLE 1-1/4"*6"</v>
      </c>
      <c r="I441" s="31" t="str">
        <f>VLOOKUP(D441,'[1]NEW PRICE LIST'!$C$4:$D$1917,2,FALSE)</f>
        <v>45PCS/CTN</v>
      </c>
      <c r="J441" s="13" t="s">
        <v>300</v>
      </c>
      <c r="K441" s="32">
        <f>VLOOKUP(D441,'[1]NEW PRICE LIST'!$C$4:$H$1917,3,FALSE)</f>
        <v>59.4</v>
      </c>
      <c r="L441" s="13">
        <v>100</v>
      </c>
      <c r="M441" s="13">
        <v>0</v>
      </c>
      <c r="N441" s="13">
        <v>10</v>
      </c>
      <c r="P441" s="13" t="s">
        <v>3962</v>
      </c>
    </row>
    <row r="442" spans="1:16" x14ac:dyDescent="0.25">
      <c r="A442" s="14" t="str">
        <f t="shared" si="18"/>
        <v>AVT0000441</v>
      </c>
      <c r="B442" s="13" t="str">
        <f>VLOOKUP(D442,'SUPPLIER_ITEMS (1st Tools)'!C557:D2284,2,FALSE)</f>
        <v>1ST-358-556</v>
      </c>
      <c r="C442" s="14" t="s">
        <v>201</v>
      </c>
      <c r="D442" s="18" t="s">
        <v>3776</v>
      </c>
      <c r="F442" s="30" t="str">
        <f t="shared" si="19"/>
        <v>AV22070-45 G.I NIPPLE 1-1/4"*8"</v>
      </c>
      <c r="I442" s="31" t="str">
        <f>VLOOKUP(D442,'[1]NEW PRICE LIST'!$C$4:$D$1917,2,FALSE)</f>
        <v>32PCS/CTN</v>
      </c>
      <c r="J442" s="13" t="s">
        <v>300</v>
      </c>
      <c r="K442" s="32">
        <f>VLOOKUP(D442,'[1]NEW PRICE LIST'!$C$4:$H$1917,3,FALSE)</f>
        <v>73.400000000000006</v>
      </c>
      <c r="L442" s="13">
        <v>100</v>
      </c>
      <c r="M442" s="13">
        <v>0</v>
      </c>
      <c r="N442" s="13">
        <v>10</v>
      </c>
      <c r="P442" s="13" t="s">
        <v>3962</v>
      </c>
    </row>
    <row r="443" spans="1:16" x14ac:dyDescent="0.25">
      <c r="A443" s="14" t="str">
        <f t="shared" si="18"/>
        <v>AVT0000442</v>
      </c>
      <c r="B443" s="13" t="str">
        <f>VLOOKUP(D443,'SUPPLIER_ITEMS (1st Tools)'!C558:D2285,2,FALSE)</f>
        <v>1ST-358-557</v>
      </c>
      <c r="C443" s="14" t="s">
        <v>201</v>
      </c>
      <c r="D443" s="18" t="s">
        <v>3777</v>
      </c>
      <c r="F443" s="30" t="str">
        <f t="shared" si="19"/>
        <v>AV22070-46 G.I NIPPLE 1-1/4"x 9"</v>
      </c>
      <c r="I443" s="31" t="str">
        <f>VLOOKUP(D443,'[1]NEW PRICE LIST'!$C$4:$D$1917,2,FALSE)</f>
        <v>25PCS/CTN</v>
      </c>
      <c r="J443" s="13" t="s">
        <v>300</v>
      </c>
      <c r="K443" s="32">
        <f>VLOOKUP(D443,'[1]NEW PRICE LIST'!$C$4:$H$1917,3,FALSE)</f>
        <v>82.4</v>
      </c>
      <c r="L443" s="13">
        <v>100</v>
      </c>
      <c r="M443" s="13">
        <v>0</v>
      </c>
      <c r="N443" s="13">
        <v>10</v>
      </c>
      <c r="P443" s="13" t="s">
        <v>3962</v>
      </c>
    </row>
    <row r="444" spans="1:16" x14ac:dyDescent="0.25">
      <c r="A444" s="14" t="str">
        <f t="shared" si="18"/>
        <v>AVT0000443</v>
      </c>
      <c r="B444" s="13" t="str">
        <f>VLOOKUP(D444,'SUPPLIER_ITEMS (1st Tools)'!C559:D2286,2,FALSE)</f>
        <v>1ST-358-558</v>
      </c>
      <c r="C444" s="14" t="s">
        <v>201</v>
      </c>
      <c r="D444" s="18" t="s">
        <v>3778</v>
      </c>
      <c r="F444" s="30" t="str">
        <f t="shared" si="19"/>
        <v>AV22070-47 G.I NIPPLE 1-1/4"*10"</v>
      </c>
      <c r="I444" s="31" t="str">
        <f>VLOOKUP(D444,'[1]NEW PRICE LIST'!$C$4:$D$1917,2,FALSE)</f>
        <v>24PCS/CTN</v>
      </c>
      <c r="J444" s="13" t="s">
        <v>300</v>
      </c>
      <c r="K444" s="32">
        <f>VLOOKUP(D444,'[1]NEW PRICE LIST'!$C$4:$H$1917,3,FALSE)</f>
        <v>88.8</v>
      </c>
      <c r="L444" s="13">
        <v>100</v>
      </c>
      <c r="M444" s="13">
        <v>0</v>
      </c>
      <c r="N444" s="13">
        <v>10</v>
      </c>
      <c r="P444" s="13" t="s">
        <v>3962</v>
      </c>
    </row>
    <row r="445" spans="1:16" x14ac:dyDescent="0.25">
      <c r="A445" s="14" t="str">
        <f t="shared" si="18"/>
        <v>AVT0000444</v>
      </c>
      <c r="B445" s="13" t="str">
        <f>VLOOKUP(D445,'SUPPLIER_ITEMS (1st Tools)'!C560:D2287,2,FALSE)</f>
        <v>1ST-358-559</v>
      </c>
      <c r="C445" s="14" t="s">
        <v>201</v>
      </c>
      <c r="D445" s="18" t="s">
        <v>3779</v>
      </c>
      <c r="F445" s="30" t="str">
        <f t="shared" si="19"/>
        <v>AV22070-48 G.I NIPPLE 1-1/4"x 12"</v>
      </c>
      <c r="I445" s="31" t="str">
        <f>VLOOKUP(D445,'[1]NEW PRICE LIST'!$C$4:$D$1917,2,FALSE)</f>
        <v>24PCS/CTN</v>
      </c>
      <c r="J445" s="13" t="s">
        <v>300</v>
      </c>
      <c r="K445" s="32">
        <f>VLOOKUP(D445,'[1]NEW PRICE LIST'!$C$4:$H$1917,3,FALSE)</f>
        <v>104.4</v>
      </c>
      <c r="L445" s="13">
        <v>100</v>
      </c>
      <c r="M445" s="13">
        <v>0</v>
      </c>
      <c r="N445" s="13">
        <v>10</v>
      </c>
      <c r="P445" s="13" t="s">
        <v>3962</v>
      </c>
    </row>
    <row r="446" spans="1:16" x14ac:dyDescent="0.25">
      <c r="A446" s="14" t="str">
        <f t="shared" si="18"/>
        <v>AVT0000445</v>
      </c>
      <c r="B446" s="13" t="str">
        <f>VLOOKUP(D446,'SUPPLIER_ITEMS (1st Tools)'!C561:D2288,2,FALSE)</f>
        <v>1ST-358-560</v>
      </c>
      <c r="C446" s="14" t="s">
        <v>201</v>
      </c>
      <c r="D446" s="18" t="s">
        <v>3780</v>
      </c>
      <c r="F446" s="30" t="str">
        <f t="shared" si="19"/>
        <v>AV22070-49 G.I NIPPLE 1-1/2"*2"</v>
      </c>
      <c r="I446" s="31" t="str">
        <f>VLOOKUP(D446,'[1]NEW PRICE LIST'!$C$4:$D$1917,2,FALSE)</f>
        <v>100PCS/CTN</v>
      </c>
      <c r="J446" s="13" t="s">
        <v>300</v>
      </c>
      <c r="K446" s="32">
        <f>VLOOKUP(D446,'[1]NEW PRICE LIST'!$C$4:$H$1917,3,FALSE)</f>
        <v>28.5</v>
      </c>
      <c r="L446" s="13">
        <v>100</v>
      </c>
      <c r="M446" s="13">
        <v>0</v>
      </c>
      <c r="N446" s="13">
        <v>10</v>
      </c>
      <c r="P446" s="13" t="s">
        <v>3962</v>
      </c>
    </row>
    <row r="447" spans="1:16" x14ac:dyDescent="0.25">
      <c r="A447" s="14" t="str">
        <f t="shared" si="18"/>
        <v>AVT0000446</v>
      </c>
      <c r="B447" s="13" t="str">
        <f>VLOOKUP(D447,'SUPPLIER_ITEMS (1st Tools)'!C562:D2289,2,FALSE)</f>
        <v>1ST-358-561</v>
      </c>
      <c r="C447" s="14" t="s">
        <v>201</v>
      </c>
      <c r="D447" s="18" t="s">
        <v>3781</v>
      </c>
      <c r="F447" s="30" t="str">
        <f t="shared" si="19"/>
        <v>AV22070-50 G.I NIPPLE 1-1/2"x 3"</v>
      </c>
      <c r="I447" s="31" t="str">
        <f>VLOOKUP(D447,'[1]NEW PRICE LIST'!$C$4:$D$1917,2,FALSE)</f>
        <v>80PCS/CTN</v>
      </c>
      <c r="J447" s="13" t="s">
        <v>300</v>
      </c>
      <c r="K447" s="32">
        <f>VLOOKUP(D447,'[1]NEW PRICE LIST'!$C$4:$H$1917,3,FALSE)</f>
        <v>32.200000000000003</v>
      </c>
      <c r="L447" s="13">
        <v>100</v>
      </c>
      <c r="M447" s="13">
        <v>0</v>
      </c>
      <c r="N447" s="13">
        <v>10</v>
      </c>
      <c r="P447" s="13" t="s">
        <v>3962</v>
      </c>
    </row>
    <row r="448" spans="1:16" x14ac:dyDescent="0.25">
      <c r="A448" s="14" t="str">
        <f t="shared" si="18"/>
        <v>AVT0000447</v>
      </c>
      <c r="B448" s="13" t="str">
        <f>VLOOKUP(D448,'SUPPLIER_ITEMS (1st Tools)'!C563:D2290,2,FALSE)</f>
        <v>1ST-358-562</v>
      </c>
      <c r="C448" s="14" t="s">
        <v>201</v>
      </c>
      <c r="D448" s="19" t="s">
        <v>1290</v>
      </c>
      <c r="F448" s="30" t="str">
        <f t="shared" si="19"/>
        <v>AV22070-51 G.I NIPPLE 1-1/2"*4"</v>
      </c>
      <c r="I448" s="31" t="str">
        <f>VLOOKUP(D448,'[1]NEW PRICE LIST'!$C$4:$D$1917,2,FALSE)</f>
        <v>60PCS/CTN</v>
      </c>
      <c r="J448" s="13" t="s">
        <v>300</v>
      </c>
      <c r="K448" s="32">
        <f>VLOOKUP(D448,'[1]NEW PRICE LIST'!$C$4:$H$1917,3,FALSE)</f>
        <v>46</v>
      </c>
      <c r="L448" s="13">
        <v>100</v>
      </c>
      <c r="M448" s="13">
        <v>0</v>
      </c>
      <c r="N448" s="13">
        <v>10</v>
      </c>
      <c r="P448" s="13" t="s">
        <v>3962</v>
      </c>
    </row>
    <row r="449" spans="1:16" x14ac:dyDescent="0.25">
      <c r="A449" s="14" t="str">
        <f t="shared" si="18"/>
        <v>AVT0000448</v>
      </c>
      <c r="B449" s="13" t="str">
        <f>VLOOKUP(D449,'SUPPLIER_ITEMS (1st Tools)'!C564:D2291,2,FALSE)</f>
        <v>1ST-358-563</v>
      </c>
      <c r="C449" s="14" t="s">
        <v>201</v>
      </c>
      <c r="D449" s="18" t="s">
        <v>3782</v>
      </c>
      <c r="F449" s="30" t="str">
        <f t="shared" si="19"/>
        <v>AV22070-52 G.I NIPPLE 1-1/2"x 5"</v>
      </c>
      <c r="I449" s="31" t="str">
        <f>VLOOKUP(D449,'[1]NEW PRICE LIST'!$C$4:$D$1917,2,FALSE)</f>
        <v>50BAG/CTN</v>
      </c>
      <c r="J449" s="13" t="s">
        <v>3970</v>
      </c>
      <c r="K449" s="32">
        <f>VLOOKUP(D449,'[1]NEW PRICE LIST'!$C$4:$H$1917,3,FALSE)</f>
        <v>57.4</v>
      </c>
      <c r="L449" s="13">
        <v>100</v>
      </c>
      <c r="M449" s="13">
        <v>0</v>
      </c>
      <c r="N449" s="13">
        <v>10</v>
      </c>
      <c r="P449" s="13" t="s">
        <v>3962</v>
      </c>
    </row>
    <row r="450" spans="1:16" x14ac:dyDescent="0.25">
      <c r="A450" s="14" t="str">
        <f t="shared" si="18"/>
        <v>AVT0000449</v>
      </c>
      <c r="B450" s="13" t="str">
        <f>VLOOKUP(D450,'SUPPLIER_ITEMS (1st Tools)'!C565:D2292,2,FALSE)</f>
        <v>1ST-358-564</v>
      </c>
      <c r="C450" s="14" t="s">
        <v>201</v>
      </c>
      <c r="D450" s="19" t="s">
        <v>1292</v>
      </c>
      <c r="F450" s="30" t="str">
        <f t="shared" si="19"/>
        <v>AV22070-53 G.I NIPPLE 1-1/2"*6"</v>
      </c>
      <c r="I450" s="31" t="str">
        <f>VLOOKUP(D450,'[1]NEW PRICE LIST'!$C$4:$D$1917,2,FALSE)</f>
        <v>40BAG/CTN</v>
      </c>
      <c r="J450" s="13" t="s">
        <v>3970</v>
      </c>
      <c r="K450" s="32">
        <f>VLOOKUP(D450,'[1]NEW PRICE LIST'!$C$4:$H$1917,3,FALSE)</f>
        <v>67.8</v>
      </c>
      <c r="L450" s="13">
        <v>100</v>
      </c>
      <c r="M450" s="13">
        <v>0</v>
      </c>
      <c r="N450" s="13">
        <v>10</v>
      </c>
      <c r="P450" s="13" t="s">
        <v>3962</v>
      </c>
    </row>
    <row r="451" spans="1:16" x14ac:dyDescent="0.25">
      <c r="A451" s="14" t="str">
        <f t="shared" si="18"/>
        <v>AVT0000450</v>
      </c>
      <c r="B451" s="13" t="str">
        <f>VLOOKUP(D451,'SUPPLIER_ITEMS (1st Tools)'!C566:D2293,2,FALSE)</f>
        <v>1ST-358-565</v>
      </c>
      <c r="C451" s="14" t="s">
        <v>201</v>
      </c>
      <c r="D451" s="19" t="s">
        <v>3783</v>
      </c>
      <c r="F451" s="30" t="str">
        <f t="shared" si="19"/>
        <v>AV22070-55 G.I NIPPLE 1-1/2"*8"</v>
      </c>
      <c r="I451" s="31" t="str">
        <f>VLOOKUP(D451,'[1]NEW PRICE LIST'!$C$4:$D$1917,2,FALSE)</f>
        <v>32BAG/CTN</v>
      </c>
      <c r="J451" s="13" t="s">
        <v>3970</v>
      </c>
      <c r="K451" s="32">
        <f>VLOOKUP(D451,'[1]NEW PRICE LIST'!$C$4:$H$1917,3,FALSE)</f>
        <v>88.8</v>
      </c>
      <c r="L451" s="13">
        <v>100</v>
      </c>
      <c r="M451" s="13">
        <v>0</v>
      </c>
      <c r="N451" s="13">
        <v>10</v>
      </c>
      <c r="P451" s="13" t="s">
        <v>3962</v>
      </c>
    </row>
    <row r="452" spans="1:16" x14ac:dyDescent="0.25">
      <c r="A452" s="14" t="str">
        <f t="shared" ref="A452:A515" si="20">"AVT"&amp;TEXT(RIGHT(A451,LEN(A451)-3)+1,"0000000")</f>
        <v>AVT0000451</v>
      </c>
      <c r="B452" s="13" t="str">
        <f>VLOOKUP(D452,'SUPPLIER_ITEMS (1st Tools)'!C567:D2294,2,FALSE)</f>
        <v>1ST-358-566</v>
      </c>
      <c r="C452" s="14" t="s">
        <v>201</v>
      </c>
      <c r="D452" s="19" t="s">
        <v>3784</v>
      </c>
      <c r="F452" s="30" t="str">
        <f t="shared" si="19"/>
        <v>AV22070-57 G.I NIPPLE 1-1/2"*10"</v>
      </c>
      <c r="I452" s="31" t="str">
        <f>VLOOKUP(D452,'[1]NEW PRICE LIST'!$C$4:$D$1917,2,FALSE)</f>
        <v>24BAG/CTN</v>
      </c>
      <c r="J452" s="13" t="s">
        <v>3970</v>
      </c>
      <c r="K452" s="32">
        <f>VLOOKUP(D452,'[1]NEW PRICE LIST'!$C$4:$H$1917,3,FALSE)</f>
        <v>107.8</v>
      </c>
      <c r="L452" s="13">
        <v>100</v>
      </c>
      <c r="M452" s="13">
        <v>0</v>
      </c>
      <c r="N452" s="13">
        <v>10</v>
      </c>
      <c r="P452" s="13" t="s">
        <v>3962</v>
      </c>
    </row>
    <row r="453" spans="1:16" x14ac:dyDescent="0.25">
      <c r="A453" s="14" t="str">
        <f t="shared" si="20"/>
        <v>AVT0000452</v>
      </c>
      <c r="B453" s="13" t="str">
        <f>VLOOKUP(D453,'SUPPLIER_ITEMS (1st Tools)'!C568:D2295,2,FALSE)</f>
        <v>1ST-358-567</v>
      </c>
      <c r="C453" s="14" t="s">
        <v>201</v>
      </c>
      <c r="D453" s="19" t="s">
        <v>1295</v>
      </c>
      <c r="F453" s="30" t="str">
        <f t="shared" si="19"/>
        <v>AV22070-58 G.I NIPPLE 1-1/2"x 12"</v>
      </c>
      <c r="I453" s="31" t="str">
        <f>VLOOKUP(D453,'[1]NEW PRICE LIST'!$C$4:$D$1917,2,FALSE)</f>
        <v>24BAG/CTN</v>
      </c>
      <c r="J453" s="13" t="s">
        <v>3970</v>
      </c>
      <c r="K453" s="32">
        <f>VLOOKUP(D453,'[1]NEW PRICE LIST'!$C$4:$H$1917,3,FALSE)</f>
        <v>126.5</v>
      </c>
      <c r="L453" s="13">
        <v>100</v>
      </c>
      <c r="M453" s="13">
        <v>0</v>
      </c>
      <c r="N453" s="13">
        <v>10</v>
      </c>
      <c r="P453" s="13" t="s">
        <v>3962</v>
      </c>
    </row>
    <row r="454" spans="1:16" x14ac:dyDescent="0.25">
      <c r="A454" s="14" t="str">
        <f t="shared" si="20"/>
        <v>AVT0000453</v>
      </c>
      <c r="B454" s="13" t="str">
        <f>VLOOKUP(D454,'SUPPLIER_ITEMS (1st Tools)'!C569:D2296,2,FALSE)</f>
        <v>1ST-358-568</v>
      </c>
      <c r="C454" s="14" t="s">
        <v>201</v>
      </c>
      <c r="D454" s="19" t="s">
        <v>3785</v>
      </c>
      <c r="F454" s="30" t="str">
        <f t="shared" si="19"/>
        <v>AV22070-59 G.I NIPPLE 2"*2"</v>
      </c>
      <c r="I454" s="31" t="str">
        <f>VLOOKUP(D454,'[1]NEW PRICE LIST'!$C$4:$D$1917,2,FALSE)</f>
        <v>60BAG/CTN</v>
      </c>
      <c r="J454" s="13" t="s">
        <v>3970</v>
      </c>
      <c r="K454" s="32">
        <f>VLOOKUP(D454,'[1]NEW PRICE LIST'!$C$4:$H$1917,3,FALSE)</f>
        <v>34</v>
      </c>
      <c r="L454" s="13">
        <v>100</v>
      </c>
      <c r="M454" s="13">
        <v>0</v>
      </c>
      <c r="N454" s="13">
        <v>10</v>
      </c>
      <c r="P454" s="13" t="s">
        <v>3962</v>
      </c>
    </row>
    <row r="455" spans="1:16" x14ac:dyDescent="0.25">
      <c r="A455" s="14" t="str">
        <f t="shared" si="20"/>
        <v>AVT0000454</v>
      </c>
      <c r="B455" s="13" t="str">
        <f>VLOOKUP(D455,'SUPPLIER_ITEMS (1st Tools)'!C570:D2297,2,FALSE)</f>
        <v>1ST-358-569</v>
      </c>
      <c r="C455" s="14" t="s">
        <v>201</v>
      </c>
      <c r="D455" s="19" t="s">
        <v>1297</v>
      </c>
      <c r="F455" s="30" t="str">
        <f t="shared" si="19"/>
        <v>AV22070-60 G.I NIPPLE 2"x 3"</v>
      </c>
      <c r="I455" s="31" t="str">
        <f>VLOOKUP(D455,'[1]NEW PRICE LIST'!$C$4:$D$1917,2,FALSE)</f>
        <v>50BAG/CTN</v>
      </c>
      <c r="J455" s="13" t="s">
        <v>3970</v>
      </c>
      <c r="K455" s="32">
        <f>VLOOKUP(D455,'[1]NEW PRICE LIST'!$C$4:$H$1917,3,FALSE)</f>
        <v>40.799999999999997</v>
      </c>
      <c r="L455" s="13">
        <v>100</v>
      </c>
      <c r="M455" s="13">
        <v>0</v>
      </c>
      <c r="N455" s="13">
        <v>10</v>
      </c>
      <c r="P455" s="13" t="s">
        <v>3962</v>
      </c>
    </row>
    <row r="456" spans="1:16" x14ac:dyDescent="0.25">
      <c r="A456" s="14" t="str">
        <f t="shared" si="20"/>
        <v>AVT0000455</v>
      </c>
      <c r="B456" s="13" t="str">
        <f>VLOOKUP(D456,'SUPPLIER_ITEMS (1st Tools)'!C571:D2298,2,FALSE)</f>
        <v>1ST-358-570</v>
      </c>
      <c r="C456" s="14" t="s">
        <v>201</v>
      </c>
      <c r="D456" s="19" t="s">
        <v>3786</v>
      </c>
      <c r="F456" s="30" t="str">
        <f t="shared" si="19"/>
        <v>AV22070-61 G.I NIPPLE 2"*4"</v>
      </c>
      <c r="I456" s="31" t="str">
        <f>VLOOKUP(D456,'[1]NEW PRICE LIST'!$C$4:$D$1917,2,FALSE)</f>
        <v>36BAG/CTN</v>
      </c>
      <c r="J456" s="13" t="s">
        <v>3970</v>
      </c>
      <c r="K456" s="32">
        <f>VLOOKUP(D456,'[1]NEW PRICE LIST'!$C$4:$H$1917,3,FALSE)</f>
        <v>53</v>
      </c>
      <c r="L456" s="13">
        <v>100</v>
      </c>
      <c r="M456" s="13">
        <v>0</v>
      </c>
      <c r="N456" s="13">
        <v>10</v>
      </c>
      <c r="P456" s="13" t="s">
        <v>3962</v>
      </c>
    </row>
    <row r="457" spans="1:16" x14ac:dyDescent="0.25">
      <c r="A457" s="14" t="str">
        <f t="shared" si="20"/>
        <v>AVT0000456</v>
      </c>
      <c r="B457" s="13" t="str">
        <f>VLOOKUP(D457,'SUPPLIER_ITEMS (1st Tools)'!C572:D2299,2,FALSE)</f>
        <v>1ST-358-571</v>
      </c>
      <c r="C457" s="14" t="s">
        <v>201</v>
      </c>
      <c r="D457" s="19" t="s">
        <v>1299</v>
      </c>
      <c r="F457" s="30" t="str">
        <f t="shared" si="19"/>
        <v>AV22070-62 G.I NIPPLE 2"x 5"</v>
      </c>
      <c r="I457" s="31" t="str">
        <f>VLOOKUP(D457,'[1]NEW PRICE LIST'!$C$4:$D$1917,2,FALSE)</f>
        <v>30BAG/CTN</v>
      </c>
      <c r="J457" s="13" t="s">
        <v>3970</v>
      </c>
      <c r="K457" s="32">
        <f>VLOOKUP(D457,'[1]NEW PRICE LIST'!$C$4:$H$1917,3,FALSE)</f>
        <v>67.2</v>
      </c>
      <c r="L457" s="13">
        <v>100</v>
      </c>
      <c r="M457" s="13">
        <v>0</v>
      </c>
      <c r="N457" s="13">
        <v>10</v>
      </c>
      <c r="P457" s="13" t="s">
        <v>3962</v>
      </c>
    </row>
    <row r="458" spans="1:16" x14ac:dyDescent="0.25">
      <c r="A458" s="14" t="str">
        <f t="shared" si="20"/>
        <v>AVT0000457</v>
      </c>
      <c r="B458" s="13" t="str">
        <f>VLOOKUP(D458,'SUPPLIER_ITEMS (1st Tools)'!C573:D2300,2,FALSE)</f>
        <v>1ST-358-572</v>
      </c>
      <c r="C458" s="14" t="s">
        <v>201</v>
      </c>
      <c r="D458" s="18" t="s">
        <v>3787</v>
      </c>
      <c r="F458" s="30" t="str">
        <f t="shared" si="19"/>
        <v>AV2270-63 G.I NIPPLE 2"*6"</v>
      </c>
      <c r="I458" s="31" t="str">
        <f>VLOOKUP(D458,'[1]NEW PRICE LIST'!$C$4:$D$1917,2,FALSE)</f>
        <v>24BAG/CTN</v>
      </c>
      <c r="J458" s="13" t="s">
        <v>3970</v>
      </c>
      <c r="K458" s="32">
        <f>VLOOKUP(D458,'[1]NEW PRICE LIST'!$C$4:$H$1917,3,FALSE)</f>
        <v>86</v>
      </c>
      <c r="L458" s="13">
        <v>100</v>
      </c>
      <c r="M458" s="13">
        <v>0</v>
      </c>
      <c r="N458" s="13">
        <v>10</v>
      </c>
      <c r="P458" s="13" t="s">
        <v>3962</v>
      </c>
    </row>
    <row r="459" spans="1:16" x14ac:dyDescent="0.25">
      <c r="A459" s="14" t="str">
        <f t="shared" si="20"/>
        <v>AVT0000458</v>
      </c>
      <c r="B459" s="13" t="str">
        <f>VLOOKUP(D459,'SUPPLIER_ITEMS (1st Tools)'!C574:D2301,2,FALSE)</f>
        <v>1ST-358-573</v>
      </c>
      <c r="C459" s="14" t="s">
        <v>201</v>
      </c>
      <c r="D459" s="19" t="s">
        <v>3788</v>
      </c>
      <c r="F459" s="30" t="str">
        <f t="shared" si="19"/>
        <v>AV22070-65 G.I NIPPLE 2"*8"</v>
      </c>
      <c r="I459" s="31" t="str">
        <f>VLOOKUP(D459,'[1]NEW PRICE LIST'!$C$4:$D$1917,2,FALSE)</f>
        <v>18BAG/CTN</v>
      </c>
      <c r="J459" s="13" t="s">
        <v>3970</v>
      </c>
      <c r="K459" s="32">
        <f>VLOOKUP(D459,'[1]NEW PRICE LIST'!$C$4:$H$1917,3,FALSE)</f>
        <v>109.6</v>
      </c>
      <c r="L459" s="13">
        <v>100</v>
      </c>
      <c r="M459" s="13">
        <v>0</v>
      </c>
      <c r="N459" s="13">
        <v>10</v>
      </c>
      <c r="P459" s="13" t="s">
        <v>3962</v>
      </c>
    </row>
    <row r="460" spans="1:16" x14ac:dyDescent="0.25">
      <c r="A460" s="14" t="str">
        <f t="shared" si="20"/>
        <v>AVT0000459</v>
      </c>
      <c r="B460" s="13" t="str">
        <f>VLOOKUP(D460,'SUPPLIER_ITEMS (1st Tools)'!C575:D2302,2,FALSE)</f>
        <v>1ST-358-574</v>
      </c>
      <c r="C460" s="14" t="s">
        <v>201</v>
      </c>
      <c r="D460" s="19" t="s">
        <v>3789</v>
      </c>
      <c r="F460" s="30" t="str">
        <f t="shared" si="19"/>
        <v>AV22070-67 G.I NIPPLE 2"*10"</v>
      </c>
      <c r="I460" s="31" t="str">
        <f>VLOOKUP(D460,'[1]NEW PRICE LIST'!$C$4:$D$1917,2,FALSE)</f>
        <v>12BAG/CTN</v>
      </c>
      <c r="J460" s="13" t="s">
        <v>3970</v>
      </c>
      <c r="K460" s="32">
        <f>VLOOKUP(D460,'[1]NEW PRICE LIST'!$C$4:$H$1917,3,FALSE)</f>
        <v>132.19999999999999</v>
      </c>
      <c r="L460" s="13">
        <v>100</v>
      </c>
      <c r="M460" s="13">
        <v>0</v>
      </c>
      <c r="N460" s="13">
        <v>10</v>
      </c>
      <c r="P460" s="13" t="s">
        <v>3962</v>
      </c>
    </row>
    <row r="461" spans="1:16" x14ac:dyDescent="0.25">
      <c r="A461" s="14" t="str">
        <f t="shared" si="20"/>
        <v>AVT0000460</v>
      </c>
      <c r="B461" s="13" t="str">
        <f>VLOOKUP(D461,'SUPPLIER_ITEMS (1st Tools)'!C604:D2331,2,FALSE)</f>
        <v>1ST-358-603</v>
      </c>
      <c r="C461" s="14" t="s">
        <v>784</v>
      </c>
      <c r="D461" s="18" t="s">
        <v>1331</v>
      </c>
      <c r="F461" s="30" t="str">
        <f t="shared" ref="F461:F497" si="21">"AV"&amp;RIGHT(D461,LEN(D461)-2)</f>
        <v>AV22071-005 G.I BUSHING 3/4''*1/2''</v>
      </c>
      <c r="I461" s="31" t="str">
        <f>VLOOKUP(D461,'[1]NEW PRICE LIST'!$C$4:$D$1917,2,FALSE)</f>
        <v>600PCS/BAG</v>
      </c>
      <c r="J461" s="13" t="s">
        <v>301</v>
      </c>
      <c r="K461" s="32">
        <f>VLOOKUP(D461,'[1]NEW PRICE LIST'!$C$4:$H$1917,3,FALSE)</f>
        <v>28.9</v>
      </c>
      <c r="L461" s="13">
        <v>100</v>
      </c>
      <c r="M461" s="13">
        <v>0</v>
      </c>
      <c r="N461" s="13">
        <v>10</v>
      </c>
      <c r="O461" s="13" t="s">
        <v>3962</v>
      </c>
      <c r="P461" s="13" t="s">
        <v>3962</v>
      </c>
    </row>
    <row r="462" spans="1:16" x14ac:dyDescent="0.25">
      <c r="A462" s="14" t="str">
        <f t="shared" si="20"/>
        <v>AVT0000461</v>
      </c>
      <c r="B462" s="13" t="str">
        <f>VLOOKUP(D462,'SUPPLIER_ITEMS (1st Tools)'!C607:D2334,2,FALSE)</f>
        <v>1ST-358-606</v>
      </c>
      <c r="C462" s="14" t="s">
        <v>784</v>
      </c>
      <c r="D462" s="18" t="s">
        <v>1336</v>
      </c>
      <c r="F462" s="30" t="str">
        <f t="shared" si="21"/>
        <v>AV22071-008 GI BUSHING 1"*1/2"</v>
      </c>
      <c r="I462" s="31" t="str">
        <f>VLOOKUP(D462,'[1]NEW PRICE LIST'!$C$4:$D$1917,2,FALSE)</f>
        <v>400PCS/BAG</v>
      </c>
      <c r="J462" s="13" t="s">
        <v>301</v>
      </c>
      <c r="K462" s="32">
        <f>VLOOKUP(D462,'[1]NEW PRICE LIST'!$C$4:$H$1917,3,FALSE)</f>
        <v>41.6</v>
      </c>
      <c r="L462" s="13">
        <v>100</v>
      </c>
      <c r="M462" s="13">
        <v>0</v>
      </c>
      <c r="N462" s="13">
        <v>10</v>
      </c>
      <c r="O462" s="13" t="s">
        <v>3962</v>
      </c>
      <c r="P462" s="13" t="s">
        <v>3962</v>
      </c>
    </row>
    <row r="463" spans="1:16" x14ac:dyDescent="0.25">
      <c r="A463" s="14" t="str">
        <f t="shared" si="20"/>
        <v>AVT0000462</v>
      </c>
      <c r="B463" s="13" t="str">
        <f>VLOOKUP(D463,'SUPPLIER_ITEMS (1st Tools)'!C608:D2335,2,FALSE)</f>
        <v>1ST-358-607</v>
      </c>
      <c r="C463" s="14" t="s">
        <v>784</v>
      </c>
      <c r="D463" s="18" t="s">
        <v>1337</v>
      </c>
      <c r="F463" s="30" t="str">
        <f t="shared" si="21"/>
        <v>AV22071-009 GI BUSHING 1"*3/4"</v>
      </c>
      <c r="I463" s="31" t="str">
        <f>VLOOKUP(D463,'[1]NEW PRICE LIST'!$C$4:$D$1917,2,FALSE)</f>
        <v>400PCS/BAG</v>
      </c>
      <c r="J463" s="13" t="s">
        <v>301</v>
      </c>
      <c r="K463" s="32">
        <f>VLOOKUP(D463,'[1]NEW PRICE LIST'!$C$4:$H$1917,3,FALSE)</f>
        <v>41.6</v>
      </c>
      <c r="L463" s="13">
        <v>100</v>
      </c>
      <c r="M463" s="13">
        <v>0</v>
      </c>
      <c r="N463" s="13">
        <v>10</v>
      </c>
      <c r="O463" s="13" t="s">
        <v>3962</v>
      </c>
      <c r="P463" s="13" t="s">
        <v>3962</v>
      </c>
    </row>
    <row r="464" spans="1:16" x14ac:dyDescent="0.25">
      <c r="A464" s="14" t="str">
        <f t="shared" si="20"/>
        <v>AVT0000463</v>
      </c>
      <c r="B464" s="13" t="str">
        <f>VLOOKUP(D464,'SUPPLIER_ITEMS (1st Tools)'!C609:D2336,2,FALSE)</f>
        <v>1ST-358-608</v>
      </c>
      <c r="C464" s="14" t="s">
        <v>784</v>
      </c>
      <c r="D464" s="18" t="s">
        <v>1338</v>
      </c>
      <c r="F464" s="30" t="str">
        <f t="shared" si="21"/>
        <v>AV22071-010 GI BUSHING 1-1/4"*1/2"</v>
      </c>
      <c r="I464" s="31" t="str">
        <f>VLOOKUP(D464,'[1]NEW PRICE LIST'!$C$4:$D$1917,2,FALSE)</f>
        <v>180PCS/BAG</v>
      </c>
      <c r="J464" s="13" t="s">
        <v>301</v>
      </c>
      <c r="K464" s="32">
        <f>VLOOKUP(D464,'[1]NEW PRICE LIST'!$C$4:$H$1917,3,FALSE)</f>
        <v>70.11</v>
      </c>
      <c r="L464" s="13">
        <v>100</v>
      </c>
      <c r="M464" s="13">
        <v>0</v>
      </c>
      <c r="N464" s="13">
        <v>10</v>
      </c>
      <c r="O464" s="13" t="s">
        <v>3962</v>
      </c>
      <c r="P464" s="13" t="s">
        <v>3962</v>
      </c>
    </row>
    <row r="465" spans="1:16" x14ac:dyDescent="0.25">
      <c r="A465" s="14" t="str">
        <f t="shared" si="20"/>
        <v>AVT0000464</v>
      </c>
      <c r="B465" s="13" t="str">
        <f>VLOOKUP(D465,'SUPPLIER_ITEMS (1st Tools)'!C610:D2337,2,FALSE)</f>
        <v>1ST-358-609</v>
      </c>
      <c r="C465" s="14" t="s">
        <v>784</v>
      </c>
      <c r="D465" s="18" t="s">
        <v>1340</v>
      </c>
      <c r="F465" s="30" t="str">
        <f t="shared" si="21"/>
        <v>AV22071-011 GI BUSHING 1-1/4"*3/4"</v>
      </c>
      <c r="I465" s="31" t="str">
        <f>VLOOKUP(D465,'[1]NEW PRICE LIST'!$C$4:$D$1917,2,FALSE)</f>
        <v>180PCS/BAG</v>
      </c>
      <c r="J465" s="13" t="s">
        <v>301</v>
      </c>
      <c r="K465" s="32">
        <f>VLOOKUP(D465,'[1]NEW PRICE LIST'!$C$4:$H$1917,3,FALSE)</f>
        <v>70.11</v>
      </c>
      <c r="L465" s="13">
        <v>100</v>
      </c>
      <c r="M465" s="13">
        <v>0</v>
      </c>
      <c r="N465" s="13">
        <v>10</v>
      </c>
      <c r="O465" s="13" t="s">
        <v>3962</v>
      </c>
      <c r="P465" s="13" t="s">
        <v>3962</v>
      </c>
    </row>
    <row r="466" spans="1:16" x14ac:dyDescent="0.25">
      <c r="A466" s="14" t="str">
        <f t="shared" si="20"/>
        <v>AVT0000465</v>
      </c>
      <c r="B466" s="13" t="str">
        <f>VLOOKUP(D466,'SUPPLIER_ITEMS (1st Tools)'!C611:D2338,2,FALSE)</f>
        <v>1ST-358-610</v>
      </c>
      <c r="C466" s="14" t="s">
        <v>784</v>
      </c>
      <c r="D466" s="18" t="s">
        <v>1341</v>
      </c>
      <c r="F466" s="30" t="str">
        <f t="shared" si="21"/>
        <v>AV22071-012 GI BUSHING 1-1/4"*1"</v>
      </c>
      <c r="I466" s="31" t="str">
        <f>VLOOKUP(D466,'[1]NEW PRICE LIST'!$C$4:$D$1917,2,FALSE)</f>
        <v>180PCS/BAG</v>
      </c>
      <c r="J466" s="13" t="s">
        <v>301</v>
      </c>
      <c r="K466" s="32">
        <f>VLOOKUP(D466,'[1]NEW PRICE LIST'!$C$4:$H$1917,3,FALSE)</f>
        <v>70.11</v>
      </c>
      <c r="L466" s="13">
        <v>100</v>
      </c>
      <c r="M466" s="13">
        <v>0</v>
      </c>
      <c r="N466" s="13">
        <v>10</v>
      </c>
      <c r="O466" s="13" t="s">
        <v>3962</v>
      </c>
      <c r="P466" s="13" t="s">
        <v>3962</v>
      </c>
    </row>
    <row r="467" spans="1:16" x14ac:dyDescent="0.25">
      <c r="A467" s="14" t="str">
        <f t="shared" si="20"/>
        <v>AVT0000466</v>
      </c>
      <c r="B467" s="13" t="str">
        <f>VLOOKUP(D467,'SUPPLIER_ITEMS (1st Tools)'!C612:D2339,2,FALSE)</f>
        <v>1ST-358-611</v>
      </c>
      <c r="C467" s="14" t="s">
        <v>784</v>
      </c>
      <c r="D467" s="18" t="s">
        <v>1342</v>
      </c>
      <c r="F467" s="30" t="str">
        <f t="shared" si="21"/>
        <v>AV22071-013 G.I BUSHING 1-1/2''*1/2</v>
      </c>
      <c r="I467" s="31" t="str">
        <f>VLOOKUP(D467,'[1]NEW PRICE LIST'!$C$4:$D$1917,2,FALSE)</f>
        <v>140PCS/BAG</v>
      </c>
      <c r="J467" s="13" t="s">
        <v>301</v>
      </c>
      <c r="K467" s="32">
        <f>VLOOKUP(D467,'[1]NEW PRICE LIST'!$C$4:$H$1917,3,FALSE)</f>
        <v>83.27</v>
      </c>
      <c r="L467" s="13">
        <v>100</v>
      </c>
      <c r="M467" s="13">
        <v>0</v>
      </c>
      <c r="N467" s="13">
        <v>10</v>
      </c>
      <c r="O467" s="13" t="s">
        <v>3962</v>
      </c>
      <c r="P467" s="13" t="s">
        <v>3962</v>
      </c>
    </row>
    <row r="468" spans="1:16" x14ac:dyDescent="0.25">
      <c r="A468" s="14" t="str">
        <f t="shared" si="20"/>
        <v>AVT0000467</v>
      </c>
      <c r="B468" s="13" t="str">
        <f>VLOOKUP(D468,'SUPPLIER_ITEMS (1st Tools)'!C613:D2340,2,FALSE)</f>
        <v>1ST-358-612</v>
      </c>
      <c r="C468" s="14" t="s">
        <v>784</v>
      </c>
      <c r="D468" s="18" t="s">
        <v>1344</v>
      </c>
      <c r="F468" s="30" t="str">
        <f t="shared" si="21"/>
        <v>AV22071-014 G.I BUSHING 1-1/2''*3/4</v>
      </c>
      <c r="I468" s="31" t="str">
        <f>VLOOKUP(D468,'[1]NEW PRICE LIST'!$C$4:$D$1917,2,FALSE)</f>
        <v>140PCS/BAG</v>
      </c>
      <c r="J468" s="13" t="s">
        <v>301</v>
      </c>
      <c r="K468" s="32">
        <f>VLOOKUP(D468,'[1]NEW PRICE LIST'!$C$4:$H$1917,3,FALSE)</f>
        <v>83.27</v>
      </c>
      <c r="L468" s="13">
        <v>100</v>
      </c>
      <c r="M468" s="13">
        <v>0</v>
      </c>
      <c r="N468" s="13">
        <v>10</v>
      </c>
      <c r="O468" s="13" t="s">
        <v>3962</v>
      </c>
      <c r="P468" s="13" t="s">
        <v>3962</v>
      </c>
    </row>
    <row r="469" spans="1:16" x14ac:dyDescent="0.25">
      <c r="A469" s="14" t="str">
        <f t="shared" si="20"/>
        <v>AVT0000468</v>
      </c>
      <c r="B469" s="13" t="str">
        <f>VLOOKUP(D469,'SUPPLIER_ITEMS (1st Tools)'!C614:D2341,2,FALSE)</f>
        <v>1ST-358-613</v>
      </c>
      <c r="C469" s="14" t="s">
        <v>784</v>
      </c>
      <c r="D469" s="18" t="s">
        <v>1345</v>
      </c>
      <c r="F469" s="30" t="str">
        <f t="shared" si="21"/>
        <v>AV22071-015 G.I BUSHING 1-1/2''*1''</v>
      </c>
      <c r="I469" s="31" t="str">
        <f>VLOOKUP(D469,'[1]NEW PRICE LIST'!$C$4:$D$1917,2,FALSE)</f>
        <v>140PCS/BAG</v>
      </c>
      <c r="J469" s="13" t="s">
        <v>301</v>
      </c>
      <c r="K469" s="32">
        <f>VLOOKUP(D469,'[1]NEW PRICE LIST'!$C$4:$H$1917,3,FALSE)</f>
        <v>83.27</v>
      </c>
      <c r="L469" s="13">
        <v>100</v>
      </c>
      <c r="M469" s="13">
        <v>0</v>
      </c>
      <c r="N469" s="13">
        <v>10</v>
      </c>
      <c r="O469" s="13" t="s">
        <v>3962</v>
      </c>
      <c r="P469" s="13" t="s">
        <v>3962</v>
      </c>
    </row>
    <row r="470" spans="1:16" x14ac:dyDescent="0.25">
      <c r="A470" s="14" t="str">
        <f t="shared" si="20"/>
        <v>AVT0000469</v>
      </c>
      <c r="B470" s="13" t="str">
        <f>VLOOKUP(D470,'SUPPLIER_ITEMS (1st Tools)'!C615:D2342,2,FALSE)</f>
        <v>1ST-358-614</v>
      </c>
      <c r="C470" s="14" t="s">
        <v>784</v>
      </c>
      <c r="D470" s="18" t="s">
        <v>1346</v>
      </c>
      <c r="F470" s="30" t="str">
        <f t="shared" si="21"/>
        <v>AV22071-016 G.I BUSHING 1-1/2''*1-1/4</v>
      </c>
      <c r="I470" s="31" t="str">
        <f>VLOOKUP(D470,'[1]NEW PRICE LIST'!$C$4:$D$1917,2,FALSE)</f>
        <v>140PCS/BAG</v>
      </c>
      <c r="J470" s="13" t="s">
        <v>301</v>
      </c>
      <c r="K470" s="32">
        <f>VLOOKUP(D470,'[1]NEW PRICE LIST'!$C$4:$H$1917,3,FALSE)</f>
        <v>83.27</v>
      </c>
      <c r="L470" s="13">
        <v>100</v>
      </c>
      <c r="M470" s="13">
        <v>0</v>
      </c>
      <c r="N470" s="13">
        <v>10</v>
      </c>
      <c r="O470" s="13" t="s">
        <v>3962</v>
      </c>
      <c r="P470" s="13" t="s">
        <v>3962</v>
      </c>
    </row>
    <row r="471" spans="1:16" x14ac:dyDescent="0.25">
      <c r="A471" s="14" t="str">
        <f t="shared" si="20"/>
        <v>AVT0000470</v>
      </c>
      <c r="B471" s="13" t="str">
        <f>VLOOKUP(D471,'SUPPLIER_ITEMS (1st Tools)'!C616:D2343,2,FALSE)</f>
        <v>1ST-358-615</v>
      </c>
      <c r="C471" s="14" t="s">
        <v>784</v>
      </c>
      <c r="D471" s="18" t="s">
        <v>1347</v>
      </c>
      <c r="F471" s="30" t="str">
        <f t="shared" si="21"/>
        <v>AV22071-017 G.I BUSHING 2''*1/2</v>
      </c>
      <c r="I471" s="31" t="str">
        <f>VLOOKUP(D471,'[1]NEW PRICE LIST'!$C$4:$D$1917,2,FALSE)</f>
        <v>80PCS/BAG</v>
      </c>
      <c r="J471" s="13" t="s">
        <v>301</v>
      </c>
      <c r="K471" s="32">
        <f>VLOOKUP(D471,'[1]NEW PRICE LIST'!$C$4:$H$1917,3,FALSE)</f>
        <v>138.5</v>
      </c>
      <c r="L471" s="13">
        <v>100</v>
      </c>
      <c r="M471" s="13">
        <v>0</v>
      </c>
      <c r="N471" s="13">
        <v>10</v>
      </c>
      <c r="O471" s="13" t="s">
        <v>3962</v>
      </c>
      <c r="P471" s="13" t="s">
        <v>3962</v>
      </c>
    </row>
    <row r="472" spans="1:16" x14ac:dyDescent="0.25">
      <c r="A472" s="14" t="str">
        <f t="shared" si="20"/>
        <v>AVT0000471</v>
      </c>
      <c r="B472" s="13" t="str">
        <f>VLOOKUP(D472,'SUPPLIER_ITEMS (1st Tools)'!C617:D2344,2,FALSE)</f>
        <v>1ST-358-616</v>
      </c>
      <c r="C472" s="14" t="s">
        <v>784</v>
      </c>
      <c r="D472" s="18" t="s">
        <v>1349</v>
      </c>
      <c r="F472" s="30" t="str">
        <f t="shared" si="21"/>
        <v>AV22071-018 G.I BUSHING 2''*3/4''</v>
      </c>
      <c r="I472" s="31" t="str">
        <f>VLOOKUP(D472,'[1]NEW PRICE LIST'!$C$4:$D$1917,2,FALSE)</f>
        <v>80PCS/BAG</v>
      </c>
      <c r="J472" s="13" t="s">
        <v>301</v>
      </c>
      <c r="K472" s="32">
        <f>VLOOKUP(D472,'[1]NEW PRICE LIST'!$C$4:$H$1917,3,FALSE)</f>
        <v>138.5</v>
      </c>
      <c r="L472" s="13">
        <v>100</v>
      </c>
      <c r="M472" s="13">
        <v>0</v>
      </c>
      <c r="N472" s="13">
        <v>10</v>
      </c>
      <c r="O472" s="13" t="s">
        <v>3962</v>
      </c>
      <c r="P472" s="13" t="s">
        <v>3962</v>
      </c>
    </row>
    <row r="473" spans="1:16" x14ac:dyDescent="0.25">
      <c r="A473" s="14" t="str">
        <f t="shared" si="20"/>
        <v>AVT0000472</v>
      </c>
      <c r="B473" s="13" t="str">
        <f>VLOOKUP(D473,'SUPPLIER_ITEMS (1st Tools)'!C618:D2345,2,FALSE)</f>
        <v>1ST-358-617</v>
      </c>
      <c r="C473" s="14" t="s">
        <v>784</v>
      </c>
      <c r="D473" s="18" t="s">
        <v>3791</v>
      </c>
      <c r="F473" s="30" t="str">
        <f t="shared" si="21"/>
        <v>AV22071-019 G.I BUSHING 2''*1''</v>
      </c>
      <c r="I473" s="31" t="str">
        <f>VLOOKUP(D473,'[1]NEW PRICE LIST'!$C$4:$D$1917,2,FALSE)</f>
        <v>80PCS/BAG</v>
      </c>
      <c r="J473" s="13" t="s">
        <v>301</v>
      </c>
      <c r="K473" s="32">
        <f>VLOOKUP(D473,'[1]NEW PRICE LIST'!$C$4:$H$1917,3,FALSE)</f>
        <v>138.5</v>
      </c>
      <c r="L473" s="13">
        <v>100</v>
      </c>
      <c r="M473" s="13">
        <v>0</v>
      </c>
      <c r="N473" s="13">
        <v>10</v>
      </c>
      <c r="O473" s="13" t="s">
        <v>3962</v>
      </c>
      <c r="P473" s="13" t="s">
        <v>3962</v>
      </c>
    </row>
    <row r="474" spans="1:16" x14ac:dyDescent="0.25">
      <c r="A474" s="14" t="str">
        <f t="shared" si="20"/>
        <v>AVT0000473</v>
      </c>
      <c r="B474" s="13" t="str">
        <f>VLOOKUP(D474,'SUPPLIER_ITEMS (1st Tools)'!C619:D2346,2,FALSE)</f>
        <v>1ST-358-618</v>
      </c>
      <c r="C474" s="14" t="s">
        <v>784</v>
      </c>
      <c r="D474" s="18" t="s">
        <v>1350</v>
      </c>
      <c r="F474" s="30" t="str">
        <f t="shared" si="21"/>
        <v>AV22071-020 G.I BUSHING 2''*1-1/4''</v>
      </c>
      <c r="I474" s="31" t="str">
        <f>VLOOKUP(D474,'[1]NEW PRICE LIST'!$C$4:$D$1917,2,FALSE)</f>
        <v>80PCS/BAG</v>
      </c>
      <c r="J474" s="13" t="s">
        <v>301</v>
      </c>
      <c r="K474" s="32">
        <f>VLOOKUP(D474,'[1]NEW PRICE LIST'!$C$4:$H$1917,3,FALSE)</f>
        <v>138.5</v>
      </c>
      <c r="L474" s="13">
        <v>100</v>
      </c>
      <c r="M474" s="13">
        <v>0</v>
      </c>
      <c r="N474" s="13">
        <v>10</v>
      </c>
      <c r="O474" s="13" t="s">
        <v>3962</v>
      </c>
      <c r="P474" s="13" t="s">
        <v>3962</v>
      </c>
    </row>
    <row r="475" spans="1:16" x14ac:dyDescent="0.25">
      <c r="A475" s="14" t="str">
        <f t="shared" si="20"/>
        <v>AVT0000474</v>
      </c>
      <c r="B475" s="13" t="str">
        <f>VLOOKUP(D475,'SUPPLIER_ITEMS (1st Tools)'!C620:D2347,2,FALSE)</f>
        <v>1ST-358-619</v>
      </c>
      <c r="C475" s="14" t="s">
        <v>784</v>
      </c>
      <c r="D475" s="18" t="s">
        <v>1351</v>
      </c>
      <c r="F475" s="30" t="str">
        <f t="shared" si="21"/>
        <v>AV22071-021 G.I BUSHING 2''*1-1/2</v>
      </c>
      <c r="I475" s="31" t="str">
        <f>VLOOKUP(D475,'[1]NEW PRICE LIST'!$C$4:$D$1917,2,FALSE)</f>
        <v>80PCS/BAG</v>
      </c>
      <c r="J475" s="13" t="s">
        <v>301</v>
      </c>
      <c r="K475" s="32">
        <f>VLOOKUP(D475,'[1]NEW PRICE LIST'!$C$4:$H$1917,3,FALSE)</f>
        <v>138.5</v>
      </c>
      <c r="L475" s="13">
        <v>100</v>
      </c>
      <c r="M475" s="13">
        <v>0</v>
      </c>
      <c r="N475" s="13">
        <v>10</v>
      </c>
      <c r="O475" s="13" t="s">
        <v>3962</v>
      </c>
      <c r="P475" s="13" t="s">
        <v>3962</v>
      </c>
    </row>
    <row r="476" spans="1:16" x14ac:dyDescent="0.25">
      <c r="A476" s="14" t="str">
        <f t="shared" si="20"/>
        <v>AVT0000475</v>
      </c>
      <c r="B476" s="13" t="str">
        <f>VLOOKUP(D476,'SUPPLIER_ITEMS (1st Tools)'!C621:D2348,2,FALSE)</f>
        <v>1ST-358-620</v>
      </c>
      <c r="C476" s="14" t="s">
        <v>783</v>
      </c>
      <c r="D476" s="18" t="s">
        <v>1352</v>
      </c>
      <c r="F476" s="30" t="str">
        <f t="shared" si="21"/>
        <v>AV22071-022 G.I CAP 1/2''</v>
      </c>
      <c r="I476" s="31" t="str">
        <f>VLOOKUP(D476,'[1]NEW PRICE LIST'!$C$4:$D$1917,2,FALSE)</f>
        <v>600PCS/BAG</v>
      </c>
      <c r="J476" s="13" t="s">
        <v>301</v>
      </c>
      <c r="K476" s="32">
        <f>VLOOKUP(D476,'[1]NEW PRICE LIST'!$C$4:$H$1917,3,FALSE)</f>
        <v>24.75</v>
      </c>
      <c r="L476" s="13">
        <v>100</v>
      </c>
      <c r="M476" s="13">
        <v>0</v>
      </c>
      <c r="N476" s="13">
        <v>10</v>
      </c>
      <c r="O476" s="13" t="s">
        <v>3962</v>
      </c>
      <c r="P476" s="13" t="s">
        <v>3962</v>
      </c>
    </row>
    <row r="477" spans="1:16" x14ac:dyDescent="0.25">
      <c r="A477" s="14" t="str">
        <f t="shared" si="20"/>
        <v>AVT0000476</v>
      </c>
      <c r="B477" s="13" t="str">
        <f>VLOOKUP(D477,'SUPPLIER_ITEMS (1st Tools)'!C622:D2349,2,FALSE)</f>
        <v>1ST-358-621</v>
      </c>
      <c r="C477" s="14" t="s">
        <v>783</v>
      </c>
      <c r="D477" s="18" t="s">
        <v>1354</v>
      </c>
      <c r="F477" s="30" t="str">
        <f t="shared" si="21"/>
        <v>AV22071-023 G.I CAP 3/4''</v>
      </c>
      <c r="I477" s="31" t="str">
        <f>VLOOKUP(D477,'[1]NEW PRICE LIST'!$C$4:$D$1917,2,FALSE)</f>
        <v>350PCS/BAG</v>
      </c>
      <c r="J477" s="13" t="s">
        <v>301</v>
      </c>
      <c r="K477" s="32">
        <f>VLOOKUP(D477,'[1]NEW PRICE LIST'!$C$4:$H$1917,3,FALSE)</f>
        <v>33.75</v>
      </c>
      <c r="L477" s="13">
        <v>100</v>
      </c>
      <c r="M477" s="13">
        <v>0</v>
      </c>
      <c r="N477" s="13">
        <v>10</v>
      </c>
      <c r="O477" s="13" t="s">
        <v>3962</v>
      </c>
      <c r="P477" s="13" t="s">
        <v>3962</v>
      </c>
    </row>
    <row r="478" spans="1:16" x14ac:dyDescent="0.25">
      <c r="A478" s="14" t="str">
        <f t="shared" si="20"/>
        <v>AVT0000477</v>
      </c>
      <c r="B478" s="13" t="str">
        <f>VLOOKUP(D478,'SUPPLIER_ITEMS (1st Tools)'!C623:D2350,2,FALSE)</f>
        <v>1ST-358-622</v>
      </c>
      <c r="C478" s="14" t="s">
        <v>783</v>
      </c>
      <c r="D478" s="18" t="s">
        <v>1356</v>
      </c>
      <c r="F478" s="30" t="str">
        <f t="shared" si="21"/>
        <v>AV22071-024 G.I CAP 1''</v>
      </c>
      <c r="I478" s="31" t="str">
        <f>VLOOKUP(D478,'[1]NEW PRICE LIST'!$C$4:$D$1917,2,FALSE)</f>
        <v>240PCS/BAG</v>
      </c>
      <c r="J478" s="13" t="s">
        <v>301</v>
      </c>
      <c r="K478" s="32">
        <f>VLOOKUP(D478,'[1]NEW PRICE LIST'!$C$4:$H$1917,3,FALSE)</f>
        <v>48.5</v>
      </c>
      <c r="L478" s="13">
        <v>100</v>
      </c>
      <c r="M478" s="13">
        <v>0</v>
      </c>
      <c r="N478" s="13">
        <v>10</v>
      </c>
      <c r="O478" s="13" t="s">
        <v>3962</v>
      </c>
      <c r="P478" s="13" t="s">
        <v>3962</v>
      </c>
    </row>
    <row r="479" spans="1:16" x14ac:dyDescent="0.25">
      <c r="A479" s="14" t="str">
        <f t="shared" si="20"/>
        <v>AVT0000478</v>
      </c>
      <c r="B479" s="13" t="str">
        <f>VLOOKUP(D479,'SUPPLIER_ITEMS (1st Tools)'!C624:D2351,2,FALSE)</f>
        <v>1ST-358-623</v>
      </c>
      <c r="C479" s="14" t="s">
        <v>783</v>
      </c>
      <c r="D479" s="18" t="s">
        <v>1358</v>
      </c>
      <c r="F479" s="30" t="str">
        <f t="shared" si="21"/>
        <v>AV22071-025 G.I CAP 1-1/4</v>
      </c>
      <c r="I479" s="31" t="str">
        <f>VLOOKUP(D479,'[1]NEW PRICE LIST'!$C$4:$D$1917,2,FALSE)</f>
        <v>140PCS/BAG</v>
      </c>
      <c r="J479" s="13" t="s">
        <v>301</v>
      </c>
      <c r="K479" s="32">
        <f>VLOOKUP(D479,'[1]NEW PRICE LIST'!$C$4:$H$1917,3,FALSE)</f>
        <v>74.25</v>
      </c>
      <c r="L479" s="13">
        <v>100</v>
      </c>
      <c r="M479" s="13">
        <v>0</v>
      </c>
      <c r="N479" s="13">
        <v>10</v>
      </c>
      <c r="O479" s="13" t="s">
        <v>3962</v>
      </c>
      <c r="P479" s="13" t="s">
        <v>3962</v>
      </c>
    </row>
    <row r="480" spans="1:16" x14ac:dyDescent="0.25">
      <c r="A480" s="14" t="str">
        <f t="shared" si="20"/>
        <v>AVT0000479</v>
      </c>
      <c r="B480" s="13" t="str">
        <f>VLOOKUP(D480,'SUPPLIER_ITEMS (1st Tools)'!C625:D2352,2,FALSE)</f>
        <v>1ST-358-624</v>
      </c>
      <c r="C480" s="14" t="s">
        <v>783</v>
      </c>
      <c r="D480" s="18" t="s">
        <v>1360</v>
      </c>
      <c r="F480" s="30" t="str">
        <f t="shared" si="21"/>
        <v>AV22071-026 G.I CAP 1-1/2''</v>
      </c>
      <c r="I480" s="31" t="str">
        <f>VLOOKUP(D480,'[1]NEW PRICE LIST'!$C$4:$D$1917,2,FALSE)</f>
        <v>120PCS/BAG</v>
      </c>
      <c r="J480" s="13" t="s">
        <v>301</v>
      </c>
      <c r="K480" s="32">
        <f>VLOOKUP(D480,'[1]NEW PRICE LIST'!$C$4:$H$1917,3,FALSE)</f>
        <v>96.75</v>
      </c>
      <c r="L480" s="13">
        <v>100</v>
      </c>
      <c r="M480" s="13">
        <v>0</v>
      </c>
      <c r="N480" s="13">
        <v>10</v>
      </c>
      <c r="O480" s="13" t="s">
        <v>3962</v>
      </c>
      <c r="P480" s="13" t="s">
        <v>3962</v>
      </c>
    </row>
    <row r="481" spans="1:16" x14ac:dyDescent="0.25">
      <c r="A481" s="14" t="str">
        <f t="shared" si="20"/>
        <v>AVT0000480</v>
      </c>
      <c r="B481" s="13" t="str">
        <f>VLOOKUP(D481,'SUPPLIER_ITEMS (1st Tools)'!C626:D2353,2,FALSE)</f>
        <v>1ST-358-625</v>
      </c>
      <c r="C481" s="14" t="s">
        <v>783</v>
      </c>
      <c r="D481" s="18" t="s">
        <v>1362</v>
      </c>
      <c r="F481" s="30" t="str">
        <f t="shared" si="21"/>
        <v>AV22071-027 G.I CAP 2''</v>
      </c>
      <c r="I481" s="31" t="str">
        <f>VLOOKUP(D481,'[1]NEW PRICE LIST'!$C$4:$D$1917,2,FALSE)</f>
        <v>90PCS/BAG</v>
      </c>
      <c r="J481" s="13" t="s">
        <v>301</v>
      </c>
      <c r="K481" s="32">
        <f>VLOOKUP(D481,'[1]NEW PRICE LIST'!$C$4:$H$1917,3,FALSE)</f>
        <v>130.5</v>
      </c>
      <c r="L481" s="13">
        <v>100</v>
      </c>
      <c r="M481" s="13">
        <v>0</v>
      </c>
      <c r="N481" s="13">
        <v>10</v>
      </c>
      <c r="O481" s="13" t="s">
        <v>3962</v>
      </c>
      <c r="P481" s="13" t="s">
        <v>3962</v>
      </c>
    </row>
    <row r="482" spans="1:16" x14ac:dyDescent="0.25">
      <c r="A482" s="14" t="str">
        <f t="shared" si="20"/>
        <v>AVT0000481</v>
      </c>
      <c r="B482" s="13" t="str">
        <f>VLOOKUP(D482,'SUPPLIER_ITEMS (1st Tools)'!C627:D2354,2,FALSE)</f>
        <v>1ST-358-626</v>
      </c>
      <c r="C482" s="14" t="s">
        <v>782</v>
      </c>
      <c r="D482" s="18" t="s">
        <v>1364</v>
      </c>
      <c r="F482" s="30" t="str">
        <f t="shared" si="21"/>
        <v>AV22071-030 GI COUPLING 1/2''</v>
      </c>
      <c r="I482" s="31" t="str">
        <f>VLOOKUP(D482,'[1]NEW PRICE LIST'!$C$4:$D$1917,2,FALSE)</f>
        <v>400PCS/BAG</v>
      </c>
      <c r="J482" s="13" t="s">
        <v>301</v>
      </c>
      <c r="K482" s="32">
        <f>VLOOKUP(D482,'[1]NEW PRICE LIST'!$C$4:$H$1917,3,FALSE)</f>
        <v>23.75</v>
      </c>
      <c r="L482" s="13">
        <v>100</v>
      </c>
      <c r="M482" s="13">
        <v>0</v>
      </c>
      <c r="N482" s="13">
        <v>10</v>
      </c>
      <c r="O482" s="13" t="s">
        <v>3962</v>
      </c>
      <c r="P482" s="13" t="s">
        <v>3962</v>
      </c>
    </row>
    <row r="483" spans="1:16" x14ac:dyDescent="0.25">
      <c r="A483" s="14" t="str">
        <f t="shared" si="20"/>
        <v>AVT0000482</v>
      </c>
      <c r="B483" s="13" t="str">
        <f>VLOOKUP(D483,'SUPPLIER_ITEMS (1st Tools)'!C628:D2355,2,FALSE)</f>
        <v>1ST-358-627</v>
      </c>
      <c r="C483" s="14" t="s">
        <v>782</v>
      </c>
      <c r="D483" s="18" t="s">
        <v>1366</v>
      </c>
      <c r="F483" s="30" t="str">
        <f t="shared" si="21"/>
        <v>AV22071-031 GI COUPLING 3/4''</v>
      </c>
      <c r="I483" s="31" t="str">
        <f>VLOOKUP(D483,'[1]NEW PRICE LIST'!$C$4:$D$1917,2,FALSE)</f>
        <v>250PCS/BAG</v>
      </c>
      <c r="J483" s="13" t="s">
        <v>301</v>
      </c>
      <c r="K483" s="32">
        <f>VLOOKUP(D483,'[1]NEW PRICE LIST'!$C$4:$H$1917,3,FALSE)</f>
        <v>30.5</v>
      </c>
      <c r="L483" s="13">
        <v>100</v>
      </c>
      <c r="M483" s="13">
        <v>0</v>
      </c>
      <c r="N483" s="13">
        <v>10</v>
      </c>
      <c r="O483" s="13" t="s">
        <v>3962</v>
      </c>
      <c r="P483" s="13" t="s">
        <v>3962</v>
      </c>
    </row>
    <row r="484" spans="1:16" x14ac:dyDescent="0.25">
      <c r="A484" s="14" t="str">
        <f t="shared" si="20"/>
        <v>AVT0000483</v>
      </c>
      <c r="B484" s="13" t="str">
        <f>VLOOKUP(D484,'SUPPLIER_ITEMS (1st Tools)'!C629:D2356,2,FALSE)</f>
        <v>1ST-358-628</v>
      </c>
      <c r="C484" s="14" t="s">
        <v>782</v>
      </c>
      <c r="D484" s="18" t="s">
        <v>1368</v>
      </c>
      <c r="F484" s="30" t="str">
        <f t="shared" si="21"/>
        <v>AV22071-032 G.I COUPLING 1''</v>
      </c>
      <c r="I484" s="31" t="str">
        <f>VLOOKUP(D484,'[1]NEW PRICE LIST'!$C$4:$D$1917,2,FALSE)</f>
        <v>150PCS/BAG</v>
      </c>
      <c r="J484" s="13" t="s">
        <v>301</v>
      </c>
      <c r="K484" s="32">
        <f>VLOOKUP(D484,'[1]NEW PRICE LIST'!$C$4:$H$1917,3,FALSE)</f>
        <v>50.75</v>
      </c>
      <c r="L484" s="13">
        <v>100</v>
      </c>
      <c r="M484" s="13">
        <v>0</v>
      </c>
      <c r="N484" s="13">
        <v>10</v>
      </c>
      <c r="O484" s="13" t="s">
        <v>3962</v>
      </c>
      <c r="P484" s="13" t="s">
        <v>3962</v>
      </c>
    </row>
    <row r="485" spans="1:16" x14ac:dyDescent="0.25">
      <c r="A485" s="14" t="str">
        <f t="shared" si="20"/>
        <v>AVT0000484</v>
      </c>
      <c r="B485" s="13" t="str">
        <f>VLOOKUP(D485,'SUPPLIER_ITEMS (1st Tools)'!C630:D2357,2,FALSE)</f>
        <v>1ST-358-629</v>
      </c>
      <c r="C485" s="14" t="s">
        <v>782</v>
      </c>
      <c r="D485" s="18" t="s">
        <v>1370</v>
      </c>
      <c r="F485" s="30" t="str">
        <f t="shared" si="21"/>
        <v>AV22071-033 G.I COUPLING 1-1/4''</v>
      </c>
      <c r="I485" s="31" t="str">
        <f>VLOOKUP(D485,'[1]NEW PRICE LIST'!$C$4:$D$1917,2,FALSE)</f>
        <v>100PCS/BAG</v>
      </c>
      <c r="J485" s="13" t="s">
        <v>301</v>
      </c>
      <c r="K485" s="32">
        <f>VLOOKUP(D485,'[1]NEW PRICE LIST'!$C$4:$H$1917,3,FALSE)</f>
        <v>72</v>
      </c>
      <c r="L485" s="13">
        <v>100</v>
      </c>
      <c r="M485" s="13">
        <v>0</v>
      </c>
      <c r="N485" s="13">
        <v>10</v>
      </c>
      <c r="O485" s="13" t="s">
        <v>3962</v>
      </c>
      <c r="P485" s="13" t="s">
        <v>3962</v>
      </c>
    </row>
    <row r="486" spans="1:16" x14ac:dyDescent="0.25">
      <c r="A486" s="14" t="str">
        <f t="shared" si="20"/>
        <v>AVT0000485</v>
      </c>
      <c r="B486" s="13" t="str">
        <f>VLOOKUP(D486,'SUPPLIER_ITEMS (1st Tools)'!C631:D2358,2,FALSE)</f>
        <v>1ST-358-630</v>
      </c>
      <c r="C486" s="14" t="s">
        <v>782</v>
      </c>
      <c r="D486" s="18" t="s">
        <v>1372</v>
      </c>
      <c r="F486" s="30" t="str">
        <f t="shared" si="21"/>
        <v>AV22071-034 G.I COUPLING 1-1/2''</v>
      </c>
      <c r="I486" s="31" t="str">
        <f>VLOOKUP(D486,'[1]NEW PRICE LIST'!$C$4:$D$1917,2,FALSE)</f>
        <v>80PCS/BAG</v>
      </c>
      <c r="J486" s="13" t="s">
        <v>301</v>
      </c>
      <c r="K486" s="32">
        <f>VLOOKUP(D486,'[1]NEW PRICE LIST'!$C$4:$H$1917,3,FALSE)</f>
        <v>87</v>
      </c>
      <c r="L486" s="13">
        <v>100</v>
      </c>
      <c r="M486" s="13">
        <v>0</v>
      </c>
      <c r="N486" s="13">
        <v>10</v>
      </c>
      <c r="O486" s="13" t="s">
        <v>3962</v>
      </c>
      <c r="P486" s="13" t="s">
        <v>3962</v>
      </c>
    </row>
    <row r="487" spans="1:16" x14ac:dyDescent="0.25">
      <c r="A487" s="14" t="str">
        <f t="shared" si="20"/>
        <v>AVT0000486</v>
      </c>
      <c r="B487" s="13" t="str">
        <f>VLOOKUP(D487,'SUPPLIER_ITEMS (1st Tools)'!C632:D2359,2,FALSE)</f>
        <v>1ST-358-631</v>
      </c>
      <c r="C487" s="14" t="s">
        <v>782</v>
      </c>
      <c r="D487" s="18" t="s">
        <v>1374</v>
      </c>
      <c r="F487" s="30" t="str">
        <f t="shared" si="21"/>
        <v>AV22071-035 G.I COUPLING 2''</v>
      </c>
      <c r="I487" s="31" t="str">
        <f>VLOOKUP(D487,'[1]NEW PRICE LIST'!$C$4:$D$1917,2,FALSE)</f>
        <v>50PCS/BAG</v>
      </c>
      <c r="J487" s="13" t="s">
        <v>301</v>
      </c>
      <c r="K487" s="32">
        <f>VLOOKUP(D487,'[1]NEW PRICE LIST'!$C$4:$H$1917,3,FALSE)</f>
        <v>137.25</v>
      </c>
      <c r="L487" s="13">
        <v>100</v>
      </c>
      <c r="M487" s="13">
        <v>0</v>
      </c>
      <c r="N487" s="13">
        <v>10</v>
      </c>
      <c r="O487" s="13" t="s">
        <v>3962</v>
      </c>
      <c r="P487" s="13" t="s">
        <v>3962</v>
      </c>
    </row>
    <row r="488" spans="1:16" x14ac:dyDescent="0.25">
      <c r="A488" s="14" t="str">
        <f t="shared" si="20"/>
        <v>AVT0000487</v>
      </c>
      <c r="B488" s="13" t="str">
        <f>VLOOKUP(D488,'SUPPLIER_ITEMS (1st Tools)'!C633:D2360,2,FALSE)</f>
        <v>1ST-358-632</v>
      </c>
      <c r="C488" s="14" t="s">
        <v>781</v>
      </c>
      <c r="D488" s="18" t="s">
        <v>1376</v>
      </c>
      <c r="F488" s="30" t="str">
        <f t="shared" si="21"/>
        <v>AV22071-043 GI COUPLING REDUCER 3/4"*1/2"</v>
      </c>
      <c r="I488" s="31" t="str">
        <f>VLOOKUP(D488,'[1]NEW PRICE LIST'!$C$4:$D$1917,2,FALSE)</f>
        <v>270PCS/BAG</v>
      </c>
      <c r="J488" s="13" t="s">
        <v>301</v>
      </c>
      <c r="K488" s="32">
        <f>VLOOKUP(D488,'[1]NEW PRICE LIST'!$C$4:$H$1917,3,FALSE)</f>
        <v>40.1</v>
      </c>
      <c r="L488" s="13">
        <v>100</v>
      </c>
      <c r="M488" s="13">
        <v>0</v>
      </c>
      <c r="N488" s="13">
        <v>10</v>
      </c>
      <c r="O488" s="13" t="s">
        <v>3962</v>
      </c>
      <c r="P488" s="13" t="s">
        <v>3962</v>
      </c>
    </row>
    <row r="489" spans="1:16" x14ac:dyDescent="0.25">
      <c r="A489" s="14" t="str">
        <f t="shared" si="20"/>
        <v>AVT0000488</v>
      </c>
      <c r="B489" s="13" t="str">
        <f>VLOOKUP(D489,'SUPPLIER_ITEMS (1st Tools)'!C634:D2361,2,FALSE)</f>
        <v>1ST-358-633</v>
      </c>
      <c r="C489" s="14" t="s">
        <v>781</v>
      </c>
      <c r="D489" s="18" t="s">
        <v>1378</v>
      </c>
      <c r="F489" s="30" t="str">
        <f t="shared" si="21"/>
        <v>AV22071-046 GI COUPLING REDUCER 1"*1/2"</v>
      </c>
      <c r="I489" s="31" t="str">
        <f>VLOOKUP(D489,'[1]NEW PRICE LIST'!$C$4:$D$1917,2,FALSE)</f>
        <v>170PCS/BAG</v>
      </c>
      <c r="J489" s="13" t="s">
        <v>301</v>
      </c>
      <c r="K489" s="32">
        <f>VLOOKUP(D489,'[1]NEW PRICE LIST'!$C$4:$H$1917,3,FALSE)</f>
        <v>54.25</v>
      </c>
      <c r="L489" s="13">
        <v>100</v>
      </c>
      <c r="M489" s="13">
        <v>0</v>
      </c>
      <c r="N489" s="13">
        <v>10</v>
      </c>
      <c r="O489" s="13" t="s">
        <v>3962</v>
      </c>
      <c r="P489" s="13" t="s">
        <v>3962</v>
      </c>
    </row>
    <row r="490" spans="1:16" x14ac:dyDescent="0.25">
      <c r="A490" s="14" t="str">
        <f t="shared" si="20"/>
        <v>AVT0000489</v>
      </c>
      <c r="B490" s="13" t="str">
        <f>VLOOKUP(D490,'SUPPLIER_ITEMS (1st Tools)'!C635:D2362,2,FALSE)</f>
        <v>1ST-358-634</v>
      </c>
      <c r="C490" s="14" t="s">
        <v>781</v>
      </c>
      <c r="D490" s="18" t="s">
        <v>1380</v>
      </c>
      <c r="F490" s="30" t="str">
        <f t="shared" si="21"/>
        <v>AV22071-047 GI COUPLING REDUCER 1"*3/4"</v>
      </c>
      <c r="I490" s="31" t="str">
        <f>VLOOKUP(D490,'[1]NEW PRICE LIST'!$C$4:$D$1917,2,FALSE)</f>
        <v>170PCS/BAG</v>
      </c>
      <c r="J490" s="13" t="s">
        <v>301</v>
      </c>
      <c r="K490" s="32">
        <f>VLOOKUP(D490,'[1]NEW PRICE LIST'!$C$4:$H$1917,3,FALSE)</f>
        <v>54.25</v>
      </c>
      <c r="L490" s="13">
        <v>100</v>
      </c>
      <c r="M490" s="13">
        <v>0</v>
      </c>
      <c r="N490" s="13">
        <v>10</v>
      </c>
      <c r="O490" s="13" t="s">
        <v>3962</v>
      </c>
      <c r="P490" s="13" t="s">
        <v>3962</v>
      </c>
    </row>
    <row r="491" spans="1:16" x14ac:dyDescent="0.25">
      <c r="A491" s="14" t="str">
        <f t="shared" si="20"/>
        <v>AVT0000490</v>
      </c>
      <c r="B491" s="13" t="str">
        <f>VLOOKUP(D491,'SUPPLIER_ITEMS (1st Tools)'!C636:D2363,2,FALSE)</f>
        <v>1ST-358-635</v>
      </c>
      <c r="C491" s="14" t="s">
        <v>781</v>
      </c>
      <c r="D491" s="18" t="s">
        <v>1381</v>
      </c>
      <c r="F491" s="30" t="str">
        <f t="shared" si="21"/>
        <v>AV22071-048 GI COUPLING REDUCER 1-1/4"*1/2"</v>
      </c>
      <c r="I491" s="31" t="str">
        <f>VLOOKUP(D491,'[1]NEW PRICE LIST'!$C$4:$D$1917,2,FALSE)</f>
        <v>130PCS/BAG</v>
      </c>
      <c r="J491" s="13" t="s">
        <v>301</v>
      </c>
      <c r="K491" s="32">
        <f>VLOOKUP(D491,'[1]NEW PRICE LIST'!$C$4:$H$1917,3,FALSE)</f>
        <v>80.75</v>
      </c>
      <c r="L491" s="13">
        <v>100</v>
      </c>
      <c r="M491" s="13">
        <v>0</v>
      </c>
      <c r="N491" s="13">
        <v>10</v>
      </c>
      <c r="O491" s="13" t="s">
        <v>3962</v>
      </c>
      <c r="P491" s="13" t="s">
        <v>3962</v>
      </c>
    </row>
    <row r="492" spans="1:16" x14ac:dyDescent="0.25">
      <c r="A492" s="14" t="str">
        <f t="shared" si="20"/>
        <v>AVT0000491</v>
      </c>
      <c r="B492" s="13" t="str">
        <f>VLOOKUP(D492,'SUPPLIER_ITEMS (1st Tools)'!C637:D2364,2,FALSE)</f>
        <v>1ST-358-636</v>
      </c>
      <c r="C492" s="14" t="s">
        <v>781</v>
      </c>
      <c r="D492" s="18" t="s">
        <v>3792</v>
      </c>
      <c r="F492" s="30" t="str">
        <f t="shared" si="21"/>
        <v>AV22071-049 GI COUPLING REDUCER 1-1/4"*3/4"</v>
      </c>
      <c r="I492" s="31" t="str">
        <f>VLOOKUP(D492,'[1]NEW PRICE LIST'!$C$4:$D$1917,2,FALSE)</f>
        <v>130PCS/BAG</v>
      </c>
      <c r="J492" s="13" t="s">
        <v>301</v>
      </c>
      <c r="K492" s="32">
        <f>VLOOKUP(D492,'[1]NEW PRICE LIST'!$C$4:$H$1917,3,FALSE)</f>
        <v>80.75</v>
      </c>
      <c r="L492" s="13">
        <v>100</v>
      </c>
      <c r="M492" s="13">
        <v>0</v>
      </c>
      <c r="N492" s="13">
        <v>10</v>
      </c>
      <c r="O492" s="13" t="s">
        <v>3962</v>
      </c>
      <c r="P492" s="13" t="s">
        <v>3962</v>
      </c>
    </row>
    <row r="493" spans="1:16" x14ac:dyDescent="0.25">
      <c r="A493" s="14" t="str">
        <f t="shared" si="20"/>
        <v>AVT0000492</v>
      </c>
      <c r="B493" s="13" t="str">
        <f>VLOOKUP(D493,'SUPPLIER_ITEMS (1st Tools)'!C638:D2365,2,FALSE)</f>
        <v>1ST-358-637</v>
      </c>
      <c r="C493" s="14" t="s">
        <v>781</v>
      </c>
      <c r="D493" s="18" t="s">
        <v>1383</v>
      </c>
      <c r="F493" s="30" t="str">
        <f t="shared" si="21"/>
        <v>AV22071-050 GI COUPLING REDUCER 1-1/4"*1"</v>
      </c>
      <c r="I493" s="31" t="str">
        <f>VLOOKUP(D493,'[1]NEW PRICE LIST'!$C$4:$D$1917,2,FALSE)</f>
        <v>130PCS/BAG</v>
      </c>
      <c r="J493" s="13" t="s">
        <v>301</v>
      </c>
      <c r="K493" s="32">
        <f>VLOOKUP(D493,'[1]NEW PRICE LIST'!$C$4:$H$1917,3,FALSE)</f>
        <v>80.75</v>
      </c>
      <c r="L493" s="13">
        <v>100</v>
      </c>
      <c r="M493" s="13">
        <v>0</v>
      </c>
      <c r="N493" s="13">
        <v>10</v>
      </c>
      <c r="O493" s="13" t="s">
        <v>3962</v>
      </c>
      <c r="P493" s="13" t="s">
        <v>3962</v>
      </c>
    </row>
    <row r="494" spans="1:16" x14ac:dyDescent="0.25">
      <c r="A494" s="14" t="str">
        <f t="shared" si="20"/>
        <v>AVT0000493</v>
      </c>
      <c r="B494" s="13" t="str">
        <f>VLOOKUP(D494,'SUPPLIER_ITEMS (1st Tools)'!C639:D2366,2,FALSE)</f>
        <v>1ST-358-638</v>
      </c>
      <c r="C494" s="14" t="s">
        <v>781</v>
      </c>
      <c r="D494" s="18" t="s">
        <v>1384</v>
      </c>
      <c r="F494" s="30" t="str">
        <f t="shared" si="21"/>
        <v>AV22071-051 GI COUPLING REDUCER 1-1/2"*1/2"</v>
      </c>
      <c r="I494" s="31" t="str">
        <f>VLOOKUP(D494,'[1]NEW PRICE LIST'!$C$4:$D$1917,2,FALSE)</f>
        <v>90PCS/BAG</v>
      </c>
      <c r="J494" s="13" t="s">
        <v>301</v>
      </c>
      <c r="K494" s="32">
        <f>VLOOKUP(D494,'[1]NEW PRICE LIST'!$C$4:$H$1917,3,FALSE)</f>
        <v>103.25</v>
      </c>
      <c r="L494" s="13">
        <v>100</v>
      </c>
      <c r="M494" s="13">
        <v>0</v>
      </c>
      <c r="N494" s="13">
        <v>10</v>
      </c>
      <c r="O494" s="13" t="s">
        <v>3962</v>
      </c>
      <c r="P494" s="13" t="s">
        <v>3962</v>
      </c>
    </row>
    <row r="495" spans="1:16" x14ac:dyDescent="0.25">
      <c r="A495" s="14" t="str">
        <f t="shared" si="20"/>
        <v>AVT0000494</v>
      </c>
      <c r="B495" s="13" t="str">
        <f>VLOOKUP(D495,'SUPPLIER_ITEMS (1st Tools)'!C640:D2367,2,FALSE)</f>
        <v>1ST-358-639</v>
      </c>
      <c r="C495" s="14" t="s">
        <v>781</v>
      </c>
      <c r="D495" s="18" t="s">
        <v>1386</v>
      </c>
      <c r="F495" s="30" t="str">
        <f t="shared" si="21"/>
        <v>AV22071-052 GI COUPLING REDUCER 1-1/2"*3/4"</v>
      </c>
      <c r="I495" s="31" t="str">
        <f>VLOOKUP(D495,'[1]NEW PRICE LIST'!$C$4:$D$1917,2,FALSE)</f>
        <v>90PCS/BAG</v>
      </c>
      <c r="J495" s="13" t="s">
        <v>301</v>
      </c>
      <c r="K495" s="32">
        <f>VLOOKUP(D495,'[1]NEW PRICE LIST'!$C$4:$H$1917,3,FALSE)</f>
        <v>103.25</v>
      </c>
      <c r="L495" s="13">
        <v>100</v>
      </c>
      <c r="M495" s="13">
        <v>0</v>
      </c>
      <c r="N495" s="13">
        <v>10</v>
      </c>
      <c r="O495" s="13" t="s">
        <v>3962</v>
      </c>
      <c r="P495" s="13" t="s">
        <v>3962</v>
      </c>
    </row>
    <row r="496" spans="1:16" x14ac:dyDescent="0.25">
      <c r="A496" s="14" t="str">
        <f t="shared" si="20"/>
        <v>AVT0000495</v>
      </c>
      <c r="B496" s="13" t="str">
        <f>VLOOKUP(D496,'SUPPLIER_ITEMS (1st Tools)'!C641:D2368,2,FALSE)</f>
        <v>1ST-358-640</v>
      </c>
      <c r="C496" s="14" t="s">
        <v>781</v>
      </c>
      <c r="D496" s="18" t="s">
        <v>1387</v>
      </c>
      <c r="F496" s="30" t="str">
        <f t="shared" si="21"/>
        <v>AV22071-053 GI COUPLING REDUCER 1-1/2"*1"</v>
      </c>
      <c r="I496" s="31" t="str">
        <f>VLOOKUP(D496,'[1]NEW PRICE LIST'!$C$4:$D$1917,2,FALSE)</f>
        <v>90PCS/BAG</v>
      </c>
      <c r="J496" s="13" t="s">
        <v>301</v>
      </c>
      <c r="K496" s="32">
        <f>VLOOKUP(D496,'[1]NEW PRICE LIST'!$C$4:$H$1917,3,FALSE)</f>
        <v>103.25</v>
      </c>
      <c r="L496" s="13">
        <v>100</v>
      </c>
      <c r="M496" s="13">
        <v>0</v>
      </c>
      <c r="N496" s="13">
        <v>10</v>
      </c>
      <c r="O496" s="13" t="s">
        <v>3962</v>
      </c>
      <c r="P496" s="13" t="s">
        <v>3962</v>
      </c>
    </row>
    <row r="497" spans="1:16" x14ac:dyDescent="0.25">
      <c r="A497" s="14" t="str">
        <f t="shared" si="20"/>
        <v>AVT0000496</v>
      </c>
      <c r="B497" s="13" t="str">
        <f>VLOOKUP(D497,'SUPPLIER_ITEMS (1st Tools)'!C642:D2369,2,FALSE)</f>
        <v>1ST-358-641</v>
      </c>
      <c r="C497" s="14" t="s">
        <v>781</v>
      </c>
      <c r="D497" s="18" t="s">
        <v>1388</v>
      </c>
      <c r="F497" s="30" t="str">
        <f t="shared" si="21"/>
        <v>AV22071-054 GI COUPLING REDUCER 1-1/2"*1-1/4"</v>
      </c>
      <c r="I497" s="31" t="str">
        <f>VLOOKUP(D497,'[1]NEW PRICE LIST'!$C$4:$D$1917,2,FALSE)</f>
        <v>80PCS/BAG</v>
      </c>
      <c r="J497" s="13" t="s">
        <v>301</v>
      </c>
      <c r="K497" s="32">
        <f>VLOOKUP(D497,'[1]NEW PRICE LIST'!$C$4:$H$1917,3,FALSE)</f>
        <v>103.25</v>
      </c>
      <c r="L497" s="13">
        <v>100</v>
      </c>
      <c r="M497" s="13">
        <v>0</v>
      </c>
      <c r="N497" s="13">
        <v>10</v>
      </c>
      <c r="O497" s="13" t="s">
        <v>3962</v>
      </c>
      <c r="P497" s="13" t="s">
        <v>3962</v>
      </c>
    </row>
    <row r="498" spans="1:16" x14ac:dyDescent="0.25">
      <c r="A498" s="14" t="str">
        <f t="shared" si="20"/>
        <v>AVT0000497</v>
      </c>
      <c r="B498" s="13" t="str">
        <f>VLOOKUP(D498,'SUPPLIER_ITEMS (1st Tools)'!C643:D2370,2,FALSE)</f>
        <v>1ST-358-642</v>
      </c>
      <c r="C498" s="14" t="s">
        <v>781</v>
      </c>
      <c r="D498" s="18" t="s">
        <v>1389</v>
      </c>
      <c r="F498" s="30" t="str">
        <f t="shared" ref="F498:F561" si="22">"AV"&amp;RIGHT(D498,LEN(D498)-2)</f>
        <v>AV22071-055 GI COUPLING REDUCER 2"*1/2"</v>
      </c>
      <c r="I498" s="31" t="str">
        <f>VLOOKUP(D498,'[1]NEW PRICE LIST'!$C$4:$D$1917,2,FALSE)</f>
        <v>55PCS/BAG</v>
      </c>
      <c r="J498" s="13" t="s">
        <v>301</v>
      </c>
      <c r="K498" s="32">
        <f>VLOOKUP(D498,'[1]NEW PRICE LIST'!$C$4:$H$1917,3,FALSE)</f>
        <v>150</v>
      </c>
      <c r="L498" s="13">
        <v>100</v>
      </c>
      <c r="M498" s="13">
        <v>0</v>
      </c>
      <c r="N498" s="13">
        <v>10</v>
      </c>
      <c r="O498" s="13" t="s">
        <v>3962</v>
      </c>
      <c r="P498" s="13" t="s">
        <v>3962</v>
      </c>
    </row>
    <row r="499" spans="1:16" x14ac:dyDescent="0.25">
      <c r="A499" s="14" t="str">
        <f t="shared" si="20"/>
        <v>AVT0000498</v>
      </c>
      <c r="B499" s="13" t="str">
        <f>VLOOKUP(D499,'SUPPLIER_ITEMS (1st Tools)'!C644:D2371,2,FALSE)</f>
        <v>1ST-358-643</v>
      </c>
      <c r="C499" s="14" t="s">
        <v>781</v>
      </c>
      <c r="D499" s="18" t="s">
        <v>1391</v>
      </c>
      <c r="F499" s="30" t="str">
        <f t="shared" si="22"/>
        <v>AV22071-056 GI COUPLING REDUCER 2"*3/4"</v>
      </c>
      <c r="I499" s="31" t="str">
        <f>VLOOKUP(D499,'[1]NEW PRICE LIST'!$C$4:$D$1917,2,FALSE)</f>
        <v>55PCS/BAG</v>
      </c>
      <c r="J499" s="13" t="s">
        <v>301</v>
      </c>
      <c r="K499" s="32">
        <f>VLOOKUP(D499,'[1]NEW PRICE LIST'!$C$4:$H$1917,3,FALSE)</f>
        <v>150</v>
      </c>
      <c r="L499" s="13">
        <v>100</v>
      </c>
      <c r="M499" s="13">
        <v>0</v>
      </c>
      <c r="N499" s="13">
        <v>10</v>
      </c>
      <c r="O499" s="13" t="s">
        <v>3962</v>
      </c>
      <c r="P499" s="13" t="s">
        <v>3962</v>
      </c>
    </row>
    <row r="500" spans="1:16" x14ac:dyDescent="0.25">
      <c r="A500" s="14" t="str">
        <f t="shared" si="20"/>
        <v>AVT0000499</v>
      </c>
      <c r="B500" s="13" t="str">
        <f>VLOOKUP(D500,'SUPPLIER_ITEMS (1st Tools)'!C645:D2372,2,FALSE)</f>
        <v>1ST-358-644</v>
      </c>
      <c r="C500" s="14" t="s">
        <v>781</v>
      </c>
      <c r="D500" s="18" t="s">
        <v>3793</v>
      </c>
      <c r="F500" s="30" t="str">
        <f t="shared" si="22"/>
        <v>AV22071-057 GI COUPLING REDUCER 2"*1"</v>
      </c>
      <c r="I500" s="31" t="str">
        <f>VLOOKUP(D500,'[1]NEW PRICE LIST'!$C$4:$D$1917,2,FALSE)</f>
        <v>55PCS/BAG</v>
      </c>
      <c r="J500" s="13" t="s">
        <v>301</v>
      </c>
      <c r="K500" s="32">
        <f>VLOOKUP(D500,'[1]NEW PRICE LIST'!$C$4:$H$1917,3,FALSE)</f>
        <v>150</v>
      </c>
      <c r="L500" s="13">
        <v>100</v>
      </c>
      <c r="M500" s="13">
        <v>0</v>
      </c>
      <c r="N500" s="13">
        <v>10</v>
      </c>
      <c r="O500" s="13" t="s">
        <v>3962</v>
      </c>
      <c r="P500" s="13" t="s">
        <v>3962</v>
      </c>
    </row>
    <row r="501" spans="1:16" x14ac:dyDescent="0.25">
      <c r="A501" s="14" t="str">
        <f t="shared" si="20"/>
        <v>AVT0000500</v>
      </c>
      <c r="B501" s="13" t="str">
        <f>VLOOKUP(D501,'SUPPLIER_ITEMS (1st Tools)'!C646:D2373,2,FALSE)</f>
        <v>1ST-358-645</v>
      </c>
      <c r="C501" s="14" t="s">
        <v>781</v>
      </c>
      <c r="D501" s="18" t="s">
        <v>3794</v>
      </c>
      <c r="F501" s="30" t="str">
        <f t="shared" si="22"/>
        <v>AV22071-058 GI COUPLING REDUCER 2"*1-1/4"</v>
      </c>
      <c r="I501" s="31" t="str">
        <f>VLOOKUP(D501,'[1]NEW PRICE LIST'!$C$4:$D$1917,2,FALSE)</f>
        <v>50PCS/BAG</v>
      </c>
      <c r="J501" s="13" t="s">
        <v>301</v>
      </c>
      <c r="K501" s="32">
        <f>VLOOKUP(D501,'[1]NEW PRICE LIST'!$C$4:$H$1917,3,FALSE)</f>
        <v>150</v>
      </c>
      <c r="L501" s="13">
        <v>100</v>
      </c>
      <c r="M501" s="13">
        <v>0</v>
      </c>
      <c r="N501" s="13">
        <v>10</v>
      </c>
      <c r="O501" s="13" t="s">
        <v>3962</v>
      </c>
      <c r="P501" s="13" t="s">
        <v>3962</v>
      </c>
    </row>
    <row r="502" spans="1:16" x14ac:dyDescent="0.25">
      <c r="A502" s="14" t="str">
        <f t="shared" si="20"/>
        <v>AVT0000501</v>
      </c>
      <c r="B502" s="13" t="str">
        <f>VLOOKUP(D502,'SUPPLIER_ITEMS (1st Tools)'!C647:D2374,2,FALSE)</f>
        <v>1ST-358-646</v>
      </c>
      <c r="C502" s="14" t="s">
        <v>781</v>
      </c>
      <c r="D502" s="18" t="s">
        <v>1392</v>
      </c>
      <c r="F502" s="30" t="str">
        <f t="shared" si="22"/>
        <v>AV22071-059 GI COUPLING REDUCER 2"*1-1/2"</v>
      </c>
      <c r="I502" s="31" t="str">
        <f>VLOOKUP(D502,'[1]NEW PRICE LIST'!$C$4:$D$1917,2,FALSE)</f>
        <v>50PCS/BAG</v>
      </c>
      <c r="J502" s="13" t="s">
        <v>301</v>
      </c>
      <c r="K502" s="32">
        <f>VLOOKUP(D502,'[1]NEW PRICE LIST'!$C$4:$H$1917,3,FALSE)</f>
        <v>150</v>
      </c>
      <c r="L502" s="13">
        <v>100</v>
      </c>
      <c r="M502" s="13">
        <v>0</v>
      </c>
      <c r="N502" s="13">
        <v>10</v>
      </c>
      <c r="O502" s="13" t="s">
        <v>3962</v>
      </c>
      <c r="P502" s="13" t="s">
        <v>3962</v>
      </c>
    </row>
    <row r="503" spans="1:16" x14ac:dyDescent="0.25">
      <c r="A503" s="14" t="str">
        <f t="shared" si="20"/>
        <v>AVT0000502</v>
      </c>
      <c r="B503" s="13" t="str">
        <f>VLOOKUP(D503,'SUPPLIER_ITEMS (1st Tools)'!C648:D2375,2,FALSE)</f>
        <v>1ST-358-647</v>
      </c>
      <c r="C503" s="14" t="s">
        <v>780</v>
      </c>
      <c r="D503" s="18" t="s">
        <v>1393</v>
      </c>
      <c r="F503" s="30" t="str">
        <f t="shared" si="22"/>
        <v>AV22071-062 GI ELBOW 1/2"</v>
      </c>
      <c r="I503" s="31" t="str">
        <f>VLOOKUP(D503,'[1]NEW PRICE LIST'!$C$4:$D$1917,2,FALSE)</f>
        <v>300PCS/BAG</v>
      </c>
      <c r="J503" s="13" t="s">
        <v>301</v>
      </c>
      <c r="K503" s="32">
        <f>VLOOKUP(D503,'[1]NEW PRICE LIST'!$C$4:$H$1917,3,FALSE)</f>
        <v>30.5</v>
      </c>
      <c r="L503" s="13">
        <v>100</v>
      </c>
      <c r="M503" s="13">
        <v>0</v>
      </c>
      <c r="N503" s="13">
        <v>10</v>
      </c>
      <c r="O503" s="13" t="s">
        <v>3962</v>
      </c>
      <c r="P503" s="13" t="s">
        <v>3962</v>
      </c>
    </row>
    <row r="504" spans="1:16" x14ac:dyDescent="0.25">
      <c r="A504" s="14" t="str">
        <f t="shared" si="20"/>
        <v>AVT0000503</v>
      </c>
      <c r="B504" s="13" t="str">
        <f>VLOOKUP(D504,'SUPPLIER_ITEMS (1st Tools)'!C649:D2376,2,FALSE)</f>
        <v>1ST-358-648</v>
      </c>
      <c r="C504" s="14" t="s">
        <v>780</v>
      </c>
      <c r="D504" s="18" t="s">
        <v>1394</v>
      </c>
      <c r="F504" s="30" t="str">
        <f t="shared" si="22"/>
        <v>AV22071-063 GI ELBOW 3/4"</v>
      </c>
      <c r="I504" s="31" t="str">
        <f>VLOOKUP(D504,'[1]NEW PRICE LIST'!$C$4:$D$1917,2,FALSE)</f>
        <v>200PCS/BAG</v>
      </c>
      <c r="J504" s="13" t="s">
        <v>301</v>
      </c>
      <c r="K504" s="32">
        <f>VLOOKUP(D504,'[1]NEW PRICE LIST'!$C$4:$H$1917,3,FALSE)</f>
        <v>44.75</v>
      </c>
      <c r="L504" s="13">
        <v>100</v>
      </c>
      <c r="M504" s="13">
        <v>0</v>
      </c>
      <c r="N504" s="13">
        <v>10</v>
      </c>
      <c r="O504" s="13" t="s">
        <v>3962</v>
      </c>
      <c r="P504" s="13" t="s">
        <v>3962</v>
      </c>
    </row>
    <row r="505" spans="1:16" x14ac:dyDescent="0.25">
      <c r="A505" s="14" t="str">
        <f t="shared" si="20"/>
        <v>AVT0000504</v>
      </c>
      <c r="B505" s="13" t="str">
        <f>VLOOKUP(D505,'SUPPLIER_ITEMS (1st Tools)'!C650:D2377,2,FALSE)</f>
        <v>1ST-358-649</v>
      </c>
      <c r="C505" s="14" t="s">
        <v>780</v>
      </c>
      <c r="D505" s="18" t="s">
        <v>1396</v>
      </c>
      <c r="F505" s="30" t="str">
        <f t="shared" si="22"/>
        <v>AV22071-064 GI ELBOW 1"</v>
      </c>
      <c r="I505" s="31" t="str">
        <f>VLOOKUP(D505,'[1]NEW PRICE LIST'!$C$4:$D$1917,2,FALSE)</f>
        <v>120PCS/BAG</v>
      </c>
      <c r="J505" s="13" t="s">
        <v>301</v>
      </c>
      <c r="K505" s="32">
        <f>VLOOKUP(D505,'[1]NEW PRICE LIST'!$C$4:$H$1917,3,FALSE)</f>
        <v>66.5</v>
      </c>
      <c r="L505" s="13">
        <v>100</v>
      </c>
      <c r="M505" s="13">
        <v>0</v>
      </c>
      <c r="N505" s="13">
        <v>10</v>
      </c>
      <c r="O505" s="13" t="s">
        <v>3962</v>
      </c>
      <c r="P505" s="13" t="s">
        <v>3962</v>
      </c>
    </row>
    <row r="506" spans="1:16" x14ac:dyDescent="0.25">
      <c r="A506" s="14" t="str">
        <f t="shared" si="20"/>
        <v>AVT0000505</v>
      </c>
      <c r="B506" s="13" t="str">
        <f>VLOOKUP(D506,'SUPPLIER_ITEMS (1st Tools)'!C651:D2378,2,FALSE)</f>
        <v>1ST-358-650</v>
      </c>
      <c r="C506" s="14" t="s">
        <v>780</v>
      </c>
      <c r="D506" s="18" t="s">
        <v>1398</v>
      </c>
      <c r="F506" s="30" t="str">
        <f t="shared" si="22"/>
        <v>AV22071-065 GI ELBOW 1-1/4"</v>
      </c>
      <c r="I506" s="31" t="str">
        <f>VLOOKUP(D506,'[1]NEW PRICE LIST'!$C$4:$D$1917,2,FALSE)</f>
        <v>70PCS/BAG</v>
      </c>
      <c r="J506" s="13" t="s">
        <v>301</v>
      </c>
      <c r="K506" s="32">
        <f>VLOOKUP(D506,'[1]NEW PRICE LIST'!$C$4:$H$1917,3,FALSE)</f>
        <v>99.75</v>
      </c>
      <c r="L506" s="13">
        <v>100</v>
      </c>
      <c r="M506" s="13">
        <v>0</v>
      </c>
      <c r="N506" s="13">
        <v>10</v>
      </c>
      <c r="O506" s="13" t="s">
        <v>3962</v>
      </c>
      <c r="P506" s="13" t="s">
        <v>3962</v>
      </c>
    </row>
    <row r="507" spans="1:16" x14ac:dyDescent="0.25">
      <c r="A507" s="14" t="str">
        <f t="shared" si="20"/>
        <v>AVT0000506</v>
      </c>
      <c r="B507" s="13" t="str">
        <f>VLOOKUP(D507,'SUPPLIER_ITEMS (1st Tools)'!C652:D2379,2,FALSE)</f>
        <v>1ST-358-651</v>
      </c>
      <c r="C507" s="14" t="s">
        <v>780</v>
      </c>
      <c r="D507" s="18" t="s">
        <v>3795</v>
      </c>
      <c r="F507" s="30" t="str">
        <f t="shared" si="22"/>
        <v>AV22071-066 GI ELBOW 1-1/2"</v>
      </c>
      <c r="I507" s="31" t="str">
        <f>VLOOKUP(D507,'[1]NEW PRICE LIST'!$C$4:$D$1917,2,FALSE)</f>
        <v>50PCS/BAG</v>
      </c>
      <c r="J507" s="13" t="s">
        <v>301</v>
      </c>
      <c r="K507" s="32">
        <f>VLOOKUP(D507,'[1]NEW PRICE LIST'!$C$4:$H$1917,3,FALSE)</f>
        <v>132.75</v>
      </c>
      <c r="L507" s="13">
        <v>100</v>
      </c>
      <c r="M507" s="13">
        <v>0</v>
      </c>
      <c r="N507" s="13">
        <v>10</v>
      </c>
      <c r="O507" s="13" t="s">
        <v>3962</v>
      </c>
      <c r="P507" s="13" t="s">
        <v>3962</v>
      </c>
    </row>
    <row r="508" spans="1:16" x14ac:dyDescent="0.25">
      <c r="A508" s="14" t="str">
        <f t="shared" si="20"/>
        <v>AVT0000507</v>
      </c>
      <c r="B508" s="13" t="str">
        <f>VLOOKUP(D508,'SUPPLIER_ITEMS (1st Tools)'!C653:D2380,2,FALSE)</f>
        <v>1ST-358-652</v>
      </c>
      <c r="C508" s="14" t="s">
        <v>780</v>
      </c>
      <c r="D508" s="18" t="s">
        <v>1401</v>
      </c>
      <c r="F508" s="30" t="str">
        <f t="shared" si="22"/>
        <v>AV22071-067 GI ELBOW 2"</v>
      </c>
      <c r="I508" s="31" t="str">
        <f>VLOOKUP(D508,'[1]NEW PRICE LIST'!$C$4:$D$1917,2,FALSE)</f>
        <v>30PCS/BAG</v>
      </c>
      <c r="J508" s="13" t="s">
        <v>301</v>
      </c>
      <c r="K508" s="32">
        <f>VLOOKUP(D508,'[1]NEW PRICE LIST'!$C$4:$H$1917,3,FALSE)</f>
        <v>200.25</v>
      </c>
      <c r="L508" s="13">
        <v>100</v>
      </c>
      <c r="M508" s="13">
        <v>0</v>
      </c>
      <c r="N508" s="13">
        <v>10</v>
      </c>
      <c r="O508" s="13" t="s">
        <v>3962</v>
      </c>
      <c r="P508" s="13" t="s">
        <v>3962</v>
      </c>
    </row>
    <row r="509" spans="1:16" x14ac:dyDescent="0.25">
      <c r="A509" s="14" t="str">
        <f t="shared" si="20"/>
        <v>AVT0000508</v>
      </c>
      <c r="B509" s="13" t="str">
        <f>VLOOKUP(D509,'SUPPLIER_ITEMS (1st Tools)'!C654:D2381,2,FALSE)</f>
        <v>1ST-358-653</v>
      </c>
      <c r="C509" s="14" t="s">
        <v>779</v>
      </c>
      <c r="D509" s="18" t="s">
        <v>1403</v>
      </c>
      <c r="F509" s="30" t="str">
        <f t="shared" si="22"/>
        <v>AV22071-071 GI ELBOW REDUCER 3/4"*1/2"</v>
      </c>
      <c r="I509" s="31" t="str">
        <f>VLOOKUP(D509,'[1]NEW PRICE LIST'!$C$4:$D$1917,2,FALSE)</f>
        <v>220PCS/BAG</v>
      </c>
      <c r="J509" s="13" t="s">
        <v>301</v>
      </c>
      <c r="K509" s="32">
        <f>VLOOKUP(D509,'[1]NEW PRICE LIST'!$C$4:$H$1917,3,FALSE)</f>
        <v>48.25</v>
      </c>
      <c r="L509" s="13">
        <v>100</v>
      </c>
      <c r="M509" s="13">
        <v>0</v>
      </c>
      <c r="N509" s="13">
        <v>10</v>
      </c>
      <c r="O509" s="13" t="s">
        <v>3962</v>
      </c>
      <c r="P509" s="13" t="s">
        <v>3962</v>
      </c>
    </row>
    <row r="510" spans="1:16" x14ac:dyDescent="0.25">
      <c r="A510" s="14" t="str">
        <f t="shared" si="20"/>
        <v>AVT0000509</v>
      </c>
      <c r="B510" s="13" t="str">
        <f>VLOOKUP(D510,'SUPPLIER_ITEMS (1st Tools)'!C655:D2382,2,FALSE)</f>
        <v>1ST-358-654</v>
      </c>
      <c r="C510" s="14" t="s">
        <v>779</v>
      </c>
      <c r="D510" s="18" t="s">
        <v>1404</v>
      </c>
      <c r="F510" s="30" t="str">
        <f t="shared" si="22"/>
        <v>AV22071-072 GI ELBOW REDUCER 1"*1/2"</v>
      </c>
      <c r="I510" s="31" t="str">
        <f>VLOOKUP(D510,'[1]NEW PRICE LIST'!$C$4:$D$1917,2,FALSE)</f>
        <v>140PCS/BAG</v>
      </c>
      <c r="J510" s="13" t="s">
        <v>301</v>
      </c>
      <c r="K510" s="32">
        <f>VLOOKUP(D510,'[1]NEW PRICE LIST'!$C$4:$H$1917,3,FALSE)</f>
        <v>76.5</v>
      </c>
      <c r="L510" s="13">
        <v>100</v>
      </c>
      <c r="M510" s="13">
        <v>0</v>
      </c>
      <c r="N510" s="13">
        <v>10</v>
      </c>
      <c r="O510" s="13" t="s">
        <v>3962</v>
      </c>
      <c r="P510" s="13" t="s">
        <v>3962</v>
      </c>
    </row>
    <row r="511" spans="1:16" x14ac:dyDescent="0.25">
      <c r="A511" s="14" t="str">
        <f t="shared" si="20"/>
        <v>AVT0000510</v>
      </c>
      <c r="B511" s="13" t="str">
        <f>VLOOKUP(D511,'SUPPLIER_ITEMS (1st Tools)'!C656:D2383,2,FALSE)</f>
        <v>1ST-358-655</v>
      </c>
      <c r="C511" s="14" t="s">
        <v>779</v>
      </c>
      <c r="D511" s="18" t="s">
        <v>1406</v>
      </c>
      <c r="F511" s="30" t="str">
        <f t="shared" si="22"/>
        <v>AV22071-073 GI ELBOW REDUCER 1"*3/4"</v>
      </c>
      <c r="I511" s="31" t="str">
        <f>VLOOKUP(D511,'[1]NEW PRICE LIST'!$C$4:$D$1917,2,FALSE)</f>
        <v>140PCS/BAG</v>
      </c>
      <c r="J511" s="13" t="s">
        <v>301</v>
      </c>
      <c r="K511" s="32">
        <f>VLOOKUP(D511,'[1]NEW PRICE LIST'!$C$4:$H$1917,3,FALSE)</f>
        <v>76.5</v>
      </c>
      <c r="L511" s="13">
        <v>100</v>
      </c>
      <c r="M511" s="13">
        <v>0</v>
      </c>
      <c r="N511" s="13">
        <v>10</v>
      </c>
      <c r="O511" s="13" t="s">
        <v>3962</v>
      </c>
      <c r="P511" s="13" t="s">
        <v>3962</v>
      </c>
    </row>
    <row r="512" spans="1:16" x14ac:dyDescent="0.25">
      <c r="A512" s="14" t="str">
        <f t="shared" si="20"/>
        <v>AVT0000511</v>
      </c>
      <c r="B512" s="13" t="str">
        <f>VLOOKUP(D512,'SUPPLIER_ITEMS (1st Tools)'!C657:D2384,2,FALSE)</f>
        <v>1ST-358-656</v>
      </c>
      <c r="C512" s="14" t="s">
        <v>779</v>
      </c>
      <c r="D512" s="18" t="s">
        <v>1407</v>
      </c>
      <c r="F512" s="30" t="str">
        <f t="shared" si="22"/>
        <v>AV22071-074 GI ELBOW REDUCER 1-1/4"*1/2"</v>
      </c>
      <c r="I512" s="31" t="str">
        <f>VLOOKUP(D512,'[1]NEW PRICE LIST'!$C$4:$D$1917,2,FALSE)</f>
        <v>100PCS/BAG</v>
      </c>
      <c r="J512" s="13" t="s">
        <v>301</v>
      </c>
      <c r="K512" s="32">
        <f>VLOOKUP(D512,'[1]NEW PRICE LIST'!$C$4:$H$1917,3,FALSE)</f>
        <v>143.5</v>
      </c>
      <c r="L512" s="13">
        <v>100</v>
      </c>
      <c r="M512" s="13">
        <v>0</v>
      </c>
      <c r="N512" s="13">
        <v>10</v>
      </c>
      <c r="O512" s="13" t="s">
        <v>3962</v>
      </c>
      <c r="P512" s="13" t="s">
        <v>3962</v>
      </c>
    </row>
    <row r="513" spans="1:16" x14ac:dyDescent="0.25">
      <c r="A513" s="14" t="str">
        <f t="shared" si="20"/>
        <v>AVT0000512</v>
      </c>
      <c r="B513" s="13" t="str">
        <f>VLOOKUP(D513,'SUPPLIER_ITEMS (1st Tools)'!C658:D2385,2,FALSE)</f>
        <v>1ST-358-657</v>
      </c>
      <c r="C513" s="14" t="s">
        <v>779</v>
      </c>
      <c r="D513" s="18" t="s">
        <v>1409</v>
      </c>
      <c r="F513" s="30" t="str">
        <f t="shared" si="22"/>
        <v>AV22071-075 GI ELBOW REDUCER 1-1/4"*3/4"</v>
      </c>
      <c r="I513" s="31" t="str">
        <f>VLOOKUP(D513,'[1]NEW PRICE LIST'!$C$4:$D$1917,2,FALSE)</f>
        <v>100PCS/BAG</v>
      </c>
      <c r="J513" s="13" t="s">
        <v>301</v>
      </c>
      <c r="K513" s="32">
        <f>VLOOKUP(D513,'[1]NEW PRICE LIST'!$C$4:$H$1917,3,FALSE)</f>
        <v>143.5</v>
      </c>
      <c r="L513" s="13">
        <v>100</v>
      </c>
      <c r="M513" s="13">
        <v>0</v>
      </c>
      <c r="N513" s="13">
        <v>10</v>
      </c>
      <c r="O513" s="13" t="s">
        <v>3962</v>
      </c>
      <c r="P513" s="13" t="s">
        <v>3962</v>
      </c>
    </row>
    <row r="514" spans="1:16" x14ac:dyDescent="0.25">
      <c r="A514" s="14" t="str">
        <f t="shared" si="20"/>
        <v>AVT0000513</v>
      </c>
      <c r="B514" s="13" t="str">
        <f>VLOOKUP(D514,'SUPPLIER_ITEMS (1st Tools)'!C659:D2386,2,FALSE)</f>
        <v>1ST-358-658</v>
      </c>
      <c r="C514" s="14" t="s">
        <v>779</v>
      </c>
      <c r="D514" s="18" t="s">
        <v>1410</v>
      </c>
      <c r="F514" s="30" t="str">
        <f t="shared" si="22"/>
        <v>AV22071-076 GI ELBOW REDUCER 1-1/4"*1"</v>
      </c>
      <c r="I514" s="31" t="str">
        <f>VLOOKUP(D514,'[1]NEW PRICE LIST'!$C$4:$D$1917,2,FALSE)</f>
        <v>100PCS/BAG</v>
      </c>
      <c r="J514" s="13" t="s">
        <v>301</v>
      </c>
      <c r="K514" s="32">
        <f>VLOOKUP(D514,'[1]NEW PRICE LIST'!$C$4:$H$1917,3,FALSE)</f>
        <v>143.5</v>
      </c>
      <c r="L514" s="13">
        <v>100</v>
      </c>
      <c r="M514" s="13">
        <v>0</v>
      </c>
      <c r="N514" s="13">
        <v>10</v>
      </c>
      <c r="O514" s="13" t="s">
        <v>3962</v>
      </c>
      <c r="P514" s="13" t="s">
        <v>3962</v>
      </c>
    </row>
    <row r="515" spans="1:16" x14ac:dyDescent="0.25">
      <c r="A515" s="14" t="str">
        <f t="shared" si="20"/>
        <v>AVT0000514</v>
      </c>
      <c r="B515" s="13" t="str">
        <f>VLOOKUP(D515,'SUPPLIER_ITEMS (1st Tools)'!C660:D2387,2,FALSE)</f>
        <v>1ST-358-659</v>
      </c>
      <c r="C515" s="14" t="s">
        <v>779</v>
      </c>
      <c r="D515" s="18" t="s">
        <v>1411</v>
      </c>
      <c r="F515" s="30" t="str">
        <f t="shared" si="22"/>
        <v>AV22071-077 GI ELBOW REDUCER 1-1/2"*1/2"</v>
      </c>
      <c r="I515" s="31" t="str">
        <f>VLOOKUP(D515,'[1]NEW PRICE LIST'!$C$4:$D$1917,2,FALSE)</f>
        <v>70PCS/BAG</v>
      </c>
      <c r="J515" s="13" t="s">
        <v>301</v>
      </c>
      <c r="K515" s="32">
        <f>VLOOKUP(D515,'[1]NEW PRICE LIST'!$C$4:$H$1917,3,FALSE)</f>
        <v>185</v>
      </c>
      <c r="L515" s="13">
        <v>100</v>
      </c>
      <c r="M515" s="13">
        <v>0</v>
      </c>
      <c r="N515" s="13">
        <v>10</v>
      </c>
      <c r="O515" s="13" t="s">
        <v>3962</v>
      </c>
      <c r="P515" s="13" t="s">
        <v>3962</v>
      </c>
    </row>
    <row r="516" spans="1:16" x14ac:dyDescent="0.25">
      <c r="A516" s="14" t="str">
        <f t="shared" ref="A516:A579" si="23">"AVT"&amp;TEXT(RIGHT(A515,LEN(A515)-3)+1,"0000000")</f>
        <v>AVT0000515</v>
      </c>
      <c r="B516" s="13" t="str">
        <f>VLOOKUP(D516,'SUPPLIER_ITEMS (1st Tools)'!C661:D2388,2,FALSE)</f>
        <v>1ST-358-660</v>
      </c>
      <c r="C516" s="14" t="s">
        <v>779</v>
      </c>
      <c r="D516" s="18" t="s">
        <v>1413</v>
      </c>
      <c r="F516" s="30" t="str">
        <f t="shared" si="22"/>
        <v>AV22071-078 GI ELBOW REDUCER 1-1/2"*3/4"</v>
      </c>
      <c r="I516" s="31" t="str">
        <f>VLOOKUP(D516,'[1]NEW PRICE LIST'!$C$4:$D$1917,2,FALSE)</f>
        <v>70PCS/BAG</v>
      </c>
      <c r="J516" s="13" t="s">
        <v>301</v>
      </c>
      <c r="K516" s="32">
        <f>VLOOKUP(D516,'[1]NEW PRICE LIST'!$C$4:$H$1917,3,FALSE)</f>
        <v>185</v>
      </c>
      <c r="L516" s="13">
        <v>100</v>
      </c>
      <c r="M516" s="13">
        <v>0</v>
      </c>
      <c r="N516" s="13">
        <v>10</v>
      </c>
      <c r="O516" s="13" t="s">
        <v>3962</v>
      </c>
      <c r="P516" s="13" t="s">
        <v>3962</v>
      </c>
    </row>
    <row r="517" spans="1:16" x14ac:dyDescent="0.25">
      <c r="A517" s="14" t="str">
        <f t="shared" si="23"/>
        <v>AVT0000516</v>
      </c>
      <c r="B517" s="13" t="str">
        <f>VLOOKUP(D517,'SUPPLIER_ITEMS (1st Tools)'!C662:D2389,2,FALSE)</f>
        <v>1ST-358-661</v>
      </c>
      <c r="C517" s="14" t="s">
        <v>779</v>
      </c>
      <c r="D517" s="18" t="s">
        <v>1414</v>
      </c>
      <c r="F517" s="30" t="str">
        <f t="shared" si="22"/>
        <v>AV22071-079 GI ELBOW REDUCER 1-1/2"*1"</v>
      </c>
      <c r="I517" s="31" t="str">
        <f>VLOOKUP(D517,'[1]NEW PRICE LIST'!$C$4:$D$1917,2,FALSE)</f>
        <v>70PCS/BAG</v>
      </c>
      <c r="J517" s="13" t="s">
        <v>301</v>
      </c>
      <c r="K517" s="32">
        <f>VLOOKUP(D517,'[1]NEW PRICE LIST'!$C$4:$H$1917,3,FALSE)</f>
        <v>185</v>
      </c>
      <c r="L517" s="13">
        <v>100</v>
      </c>
      <c r="M517" s="13">
        <v>0</v>
      </c>
      <c r="N517" s="13">
        <v>10</v>
      </c>
      <c r="O517" s="13" t="s">
        <v>3962</v>
      </c>
      <c r="P517" s="13" t="s">
        <v>3962</v>
      </c>
    </row>
    <row r="518" spans="1:16" x14ac:dyDescent="0.25">
      <c r="A518" s="14" t="str">
        <f t="shared" si="23"/>
        <v>AVT0000517</v>
      </c>
      <c r="B518" s="13" t="str">
        <f>VLOOKUP(D518,'SUPPLIER_ITEMS (1st Tools)'!C663:D2390,2,FALSE)</f>
        <v>1ST-358-662</v>
      </c>
      <c r="C518" s="14" t="s">
        <v>779</v>
      </c>
      <c r="D518" s="18" t="s">
        <v>1415</v>
      </c>
      <c r="F518" s="30" t="str">
        <f t="shared" si="22"/>
        <v>AV22071-080 GI ELBOW REDUCER 1-1/2"*1-1/4"</v>
      </c>
      <c r="I518" s="31" t="str">
        <f>VLOOKUP(D518,'[1]NEW PRICE LIST'!$C$4:$D$1917,2,FALSE)</f>
        <v>60PCS/BAG</v>
      </c>
      <c r="J518" s="13" t="s">
        <v>301</v>
      </c>
      <c r="K518" s="32">
        <f>VLOOKUP(D518,'[1]NEW PRICE LIST'!$C$4:$H$1917,3,FALSE)</f>
        <v>185</v>
      </c>
      <c r="L518" s="13">
        <v>100</v>
      </c>
      <c r="M518" s="13">
        <v>0</v>
      </c>
      <c r="N518" s="13">
        <v>10</v>
      </c>
      <c r="O518" s="13" t="s">
        <v>3962</v>
      </c>
      <c r="P518" s="13" t="s">
        <v>3962</v>
      </c>
    </row>
    <row r="519" spans="1:16" x14ac:dyDescent="0.25">
      <c r="A519" s="14" t="str">
        <f t="shared" si="23"/>
        <v>AVT0000518</v>
      </c>
      <c r="B519" s="13" t="str">
        <f>VLOOKUP(D519,'SUPPLIER_ITEMS (1st Tools)'!C664:D2391,2,FALSE)</f>
        <v>1ST-358-663</v>
      </c>
      <c r="C519" s="14" t="s">
        <v>779</v>
      </c>
      <c r="D519" s="18" t="s">
        <v>1416</v>
      </c>
      <c r="F519" s="30" t="str">
        <f t="shared" si="22"/>
        <v>AV22071-081GI ELBOW REDUCER 2"*1/2"</v>
      </c>
      <c r="I519" s="31" t="str">
        <f>VLOOKUP(D519,'[1]NEW PRICE LIST'!$C$4:$D$1917,2,FALSE)</f>
        <v>45PCS/BAG</v>
      </c>
      <c r="J519" s="13" t="s">
        <v>301</v>
      </c>
      <c r="K519" s="32">
        <f>VLOOKUP(D519,'[1]NEW PRICE LIST'!$C$4:$H$1917,3,FALSE)</f>
        <v>261.5</v>
      </c>
      <c r="L519" s="13">
        <v>100</v>
      </c>
      <c r="M519" s="13">
        <v>0</v>
      </c>
      <c r="N519" s="13">
        <v>10</v>
      </c>
      <c r="O519" s="13" t="s">
        <v>3962</v>
      </c>
      <c r="P519" s="13" t="s">
        <v>3962</v>
      </c>
    </row>
    <row r="520" spans="1:16" x14ac:dyDescent="0.25">
      <c r="A520" s="14" t="str">
        <f t="shared" si="23"/>
        <v>AVT0000519</v>
      </c>
      <c r="B520" s="13" t="str">
        <f>VLOOKUP(D520,'SUPPLIER_ITEMS (1st Tools)'!C665:D2392,2,FALSE)</f>
        <v>1ST-358-664</v>
      </c>
      <c r="C520" s="14" t="s">
        <v>779</v>
      </c>
      <c r="D520" s="18" t="s">
        <v>1418</v>
      </c>
      <c r="F520" s="30" t="str">
        <f t="shared" si="22"/>
        <v>AV22071-082 GI ELBOW REDUCER 2"*3/4"</v>
      </c>
      <c r="I520" s="31" t="str">
        <f>VLOOKUP(D520,'[1]NEW PRICE LIST'!$C$4:$D$1917,2,FALSE)</f>
        <v>45PCS/BAG</v>
      </c>
      <c r="J520" s="13" t="s">
        <v>301</v>
      </c>
      <c r="K520" s="32">
        <f>VLOOKUP(D520,'[1]NEW PRICE LIST'!$C$4:$H$1917,3,FALSE)</f>
        <v>261.5</v>
      </c>
      <c r="L520" s="13">
        <v>100</v>
      </c>
      <c r="M520" s="13">
        <v>0</v>
      </c>
      <c r="N520" s="13">
        <v>10</v>
      </c>
      <c r="O520" s="13" t="s">
        <v>3962</v>
      </c>
      <c r="P520" s="13" t="s">
        <v>3962</v>
      </c>
    </row>
    <row r="521" spans="1:16" x14ac:dyDescent="0.25">
      <c r="A521" s="14" t="str">
        <f t="shared" si="23"/>
        <v>AVT0000520</v>
      </c>
      <c r="B521" s="13" t="str">
        <f>VLOOKUP(D521,'SUPPLIER_ITEMS (1st Tools)'!C666:D2393,2,FALSE)</f>
        <v>1ST-358-665</v>
      </c>
      <c r="C521" s="14" t="s">
        <v>779</v>
      </c>
      <c r="D521" s="18" t="s">
        <v>1419</v>
      </c>
      <c r="F521" s="30" t="str">
        <f t="shared" si="22"/>
        <v>AV22071-084 GI ELBOW REDUCER 2"*1-1/4"</v>
      </c>
      <c r="I521" s="31" t="str">
        <f>VLOOKUP(D521,'[1]NEW PRICE LIST'!$C$4:$D$1917,2,FALSE)</f>
        <v>40PCS/BAG</v>
      </c>
      <c r="J521" s="13" t="s">
        <v>301</v>
      </c>
      <c r="K521" s="32">
        <f>VLOOKUP(D521,'[1]NEW PRICE LIST'!$C$4:$H$1917,3,FALSE)</f>
        <v>261.5</v>
      </c>
      <c r="L521" s="13">
        <v>100</v>
      </c>
      <c r="M521" s="13">
        <v>0</v>
      </c>
      <c r="N521" s="13">
        <v>10</v>
      </c>
      <c r="O521" s="13" t="s">
        <v>3962</v>
      </c>
      <c r="P521" s="13" t="s">
        <v>3962</v>
      </c>
    </row>
    <row r="522" spans="1:16" x14ac:dyDescent="0.25">
      <c r="A522" s="14" t="str">
        <f t="shared" si="23"/>
        <v>AVT0000521</v>
      </c>
      <c r="B522" s="13" t="str">
        <f>VLOOKUP(D522,'SUPPLIER_ITEMS (1st Tools)'!C667:D2394,2,FALSE)</f>
        <v>1ST-358-666</v>
      </c>
      <c r="C522" s="14" t="s">
        <v>779</v>
      </c>
      <c r="D522" s="18" t="s">
        <v>1420</v>
      </c>
      <c r="F522" s="30" t="str">
        <f t="shared" si="22"/>
        <v>AV22071-085 GI ELBOW REDUCER 2"*1-1/2"</v>
      </c>
      <c r="I522" s="31" t="str">
        <f>VLOOKUP(D522,'[1]NEW PRICE LIST'!$C$4:$D$1917,2,FALSE)</f>
        <v>40PCS/BAG</v>
      </c>
      <c r="J522" s="13" t="s">
        <v>301</v>
      </c>
      <c r="K522" s="32">
        <f>VLOOKUP(D522,'[1]NEW PRICE LIST'!$C$4:$H$1917,3,FALSE)</f>
        <v>261.5</v>
      </c>
      <c r="L522" s="13">
        <v>100</v>
      </c>
      <c r="M522" s="13">
        <v>0</v>
      </c>
      <c r="N522" s="13">
        <v>10</v>
      </c>
      <c r="O522" s="13" t="s">
        <v>3962</v>
      </c>
      <c r="P522" s="13" t="s">
        <v>3962</v>
      </c>
    </row>
    <row r="523" spans="1:16" x14ac:dyDescent="0.25">
      <c r="A523" s="14" t="str">
        <f t="shared" si="23"/>
        <v>AVT0000522</v>
      </c>
      <c r="B523" s="13" t="str">
        <f>VLOOKUP(D523,'SUPPLIER_ITEMS (1st Tools)'!C668:D2395,2,FALSE)</f>
        <v>1ST-358-667</v>
      </c>
      <c r="C523" s="14" t="s">
        <v>778</v>
      </c>
      <c r="D523" s="18" t="s">
        <v>1421</v>
      </c>
      <c r="F523" s="30" t="str">
        <f t="shared" si="22"/>
        <v>AV22071-086 GI PLUG 1/2"</v>
      </c>
      <c r="I523" s="31" t="str">
        <f>VLOOKUP(D523,'[1]NEW PRICE LIST'!$C$4:$D$1917,2,FALSE)</f>
        <v>1000PCS/BAG</v>
      </c>
      <c r="J523" s="13" t="s">
        <v>301</v>
      </c>
      <c r="K523" s="32">
        <f>VLOOKUP(D523,'[1]NEW PRICE LIST'!$C$4:$H$1917,3,FALSE)</f>
        <v>20.25</v>
      </c>
      <c r="L523" s="13">
        <v>100</v>
      </c>
      <c r="M523" s="13">
        <v>0</v>
      </c>
      <c r="N523" s="13">
        <v>10</v>
      </c>
      <c r="O523" s="13" t="s">
        <v>3962</v>
      </c>
      <c r="P523" s="13" t="s">
        <v>3962</v>
      </c>
    </row>
    <row r="524" spans="1:16" x14ac:dyDescent="0.25">
      <c r="A524" s="14" t="str">
        <f t="shared" si="23"/>
        <v>AVT0000523</v>
      </c>
      <c r="B524" s="13" t="str">
        <f>VLOOKUP(D524,'SUPPLIER_ITEMS (1st Tools)'!C669:D2396,2,FALSE)</f>
        <v>1ST-358-668</v>
      </c>
      <c r="C524" s="14" t="s">
        <v>778</v>
      </c>
      <c r="D524" s="18" t="s">
        <v>1423</v>
      </c>
      <c r="F524" s="30" t="str">
        <f t="shared" si="22"/>
        <v>AV22071-087 GI PLUG 3/4"</v>
      </c>
      <c r="I524" s="31" t="str">
        <f>VLOOKUP(D524,'[1]NEW PRICE LIST'!$C$4:$D$1917,2,FALSE)</f>
        <v>600PCS/BAG</v>
      </c>
      <c r="J524" s="13" t="s">
        <v>301</v>
      </c>
      <c r="K524" s="32">
        <f>VLOOKUP(D524,'[1]NEW PRICE LIST'!$C$4:$H$1917,3,FALSE)</f>
        <v>25.25</v>
      </c>
      <c r="L524" s="13">
        <v>100</v>
      </c>
      <c r="M524" s="13">
        <v>0</v>
      </c>
      <c r="N524" s="13">
        <v>10</v>
      </c>
      <c r="O524" s="13" t="s">
        <v>3962</v>
      </c>
      <c r="P524" s="13" t="s">
        <v>3962</v>
      </c>
    </row>
    <row r="525" spans="1:16" x14ac:dyDescent="0.25">
      <c r="A525" s="14" t="str">
        <f t="shared" si="23"/>
        <v>AVT0000524</v>
      </c>
      <c r="B525" s="13" t="str">
        <f>VLOOKUP(D525,'SUPPLIER_ITEMS (1st Tools)'!C670:D2397,2,FALSE)</f>
        <v>1ST-358-669</v>
      </c>
      <c r="C525" s="14" t="s">
        <v>778</v>
      </c>
      <c r="D525" s="18" t="s">
        <v>1425</v>
      </c>
      <c r="F525" s="30" t="str">
        <f t="shared" si="22"/>
        <v>AV22071-088 GI PLUG 1"</v>
      </c>
      <c r="I525" s="31" t="str">
        <f>VLOOKUP(D525,'[1]NEW PRICE LIST'!$C$4:$D$1917,2,FALSE)</f>
        <v>400PCS/BAG</v>
      </c>
      <c r="J525" s="13" t="s">
        <v>301</v>
      </c>
      <c r="K525" s="32">
        <f>VLOOKUP(D525,'[1]NEW PRICE LIST'!$C$4:$H$1917,3,FALSE)</f>
        <v>35</v>
      </c>
      <c r="L525" s="13">
        <v>100</v>
      </c>
      <c r="M525" s="13">
        <v>0</v>
      </c>
      <c r="N525" s="13">
        <v>10</v>
      </c>
      <c r="O525" s="13" t="s">
        <v>3962</v>
      </c>
      <c r="P525" s="13" t="s">
        <v>3962</v>
      </c>
    </row>
    <row r="526" spans="1:16" x14ac:dyDescent="0.25">
      <c r="A526" s="14" t="str">
        <f t="shared" si="23"/>
        <v>AVT0000525</v>
      </c>
      <c r="B526" s="13" t="str">
        <f>VLOOKUP(D526,'SUPPLIER_ITEMS (1st Tools)'!C671:D2398,2,FALSE)</f>
        <v>1ST-358-670</v>
      </c>
      <c r="C526" s="14" t="s">
        <v>778</v>
      </c>
      <c r="D526" s="18" t="s">
        <v>1426</v>
      </c>
      <c r="F526" s="30" t="str">
        <f t="shared" si="22"/>
        <v>AV22071-089 GI PLUG 1-1/4"</v>
      </c>
      <c r="I526" s="31" t="str">
        <f>VLOOKUP(D526,'[1]NEW PRICE LIST'!$C$4:$D$1917,2,FALSE)</f>
        <v>200PCS/BAG</v>
      </c>
      <c r="J526" s="13" t="s">
        <v>301</v>
      </c>
      <c r="K526" s="32">
        <f>VLOOKUP(D526,'[1]NEW PRICE LIST'!$C$4:$H$1917,3,FALSE)</f>
        <v>53</v>
      </c>
      <c r="L526" s="13">
        <v>100</v>
      </c>
      <c r="M526" s="13">
        <v>0</v>
      </c>
      <c r="N526" s="13">
        <v>10</v>
      </c>
      <c r="O526" s="13" t="s">
        <v>3962</v>
      </c>
      <c r="P526" s="13" t="s">
        <v>3962</v>
      </c>
    </row>
    <row r="527" spans="1:16" x14ac:dyDescent="0.25">
      <c r="A527" s="14" t="str">
        <f t="shared" si="23"/>
        <v>AVT0000526</v>
      </c>
      <c r="B527" s="13" t="str">
        <f>VLOOKUP(D527,'SUPPLIER_ITEMS (1st Tools)'!C672:D2399,2,FALSE)</f>
        <v>1ST-358-671</v>
      </c>
      <c r="C527" s="14" t="s">
        <v>778</v>
      </c>
      <c r="D527" s="18" t="s">
        <v>3796</v>
      </c>
      <c r="F527" s="30" t="str">
        <f t="shared" si="22"/>
        <v>AV22071-090 G.I PlUG 1-1/2"</v>
      </c>
      <c r="I527" s="31" t="str">
        <f>VLOOKUP(D527,'[1]NEW PRICE LIST'!$C$4:$D$1917,2,FALSE)</f>
        <v>150PCS/BAG</v>
      </c>
      <c r="J527" s="13" t="s">
        <v>301</v>
      </c>
      <c r="K527" s="32">
        <f>VLOOKUP(D527,'[1]NEW PRICE LIST'!$C$4:$H$1917,3,FALSE)</f>
        <v>63</v>
      </c>
      <c r="L527" s="13">
        <v>100</v>
      </c>
      <c r="M527" s="13">
        <v>0</v>
      </c>
      <c r="N527" s="13">
        <v>10</v>
      </c>
      <c r="O527" s="13" t="s">
        <v>3962</v>
      </c>
      <c r="P527" s="13" t="s">
        <v>3962</v>
      </c>
    </row>
    <row r="528" spans="1:16" x14ac:dyDescent="0.25">
      <c r="A528" s="14" t="str">
        <f t="shared" si="23"/>
        <v>AVT0000527</v>
      </c>
      <c r="B528" s="13" t="str">
        <f>VLOOKUP(D528,'SUPPLIER_ITEMS (1st Tools)'!C673:D2400,2,FALSE)</f>
        <v>1ST-358-672</v>
      </c>
      <c r="C528" s="14" t="s">
        <v>778</v>
      </c>
      <c r="D528" s="18" t="s">
        <v>1429</v>
      </c>
      <c r="F528" s="30" t="str">
        <f t="shared" si="22"/>
        <v>AV22071-091 GI PLUG 2"</v>
      </c>
      <c r="I528" s="31" t="str">
        <f>VLOOKUP(D528,'[1]NEW PRICE LIST'!$C$4:$D$1917,2,FALSE)</f>
        <v>80PCS/BAG</v>
      </c>
      <c r="J528" s="13" t="s">
        <v>301</v>
      </c>
      <c r="K528" s="32">
        <f>VLOOKUP(D528,'[1]NEW PRICE LIST'!$C$4:$H$1917,3,FALSE)</f>
        <v>87</v>
      </c>
      <c r="L528" s="13">
        <v>100</v>
      </c>
      <c r="M528" s="13">
        <v>0</v>
      </c>
      <c r="N528" s="13">
        <v>10</v>
      </c>
      <c r="O528" s="13" t="s">
        <v>3962</v>
      </c>
      <c r="P528" s="13" t="s">
        <v>3962</v>
      </c>
    </row>
    <row r="529" spans="1:16" x14ac:dyDescent="0.25">
      <c r="A529" s="14" t="str">
        <f t="shared" si="23"/>
        <v>AVT0000528</v>
      </c>
      <c r="B529" s="13" t="str">
        <f>VLOOKUP(D529,'SUPPLIER_ITEMS (1st Tools)'!C674:D2401,2,FALSE)</f>
        <v>1ST-358-673</v>
      </c>
      <c r="C529" s="14" t="s">
        <v>777</v>
      </c>
      <c r="D529" s="18" t="s">
        <v>1430</v>
      </c>
      <c r="F529" s="30" t="str">
        <f t="shared" si="22"/>
        <v>AV22071-093 GI ST. ELBOW 1/2"</v>
      </c>
      <c r="I529" s="31" t="str">
        <f>VLOOKUP(D529,'[1]NEW PRICE LIST'!$C$4:$D$1917,2,FALSE)</f>
        <v>300PCS/BAG</v>
      </c>
      <c r="J529" s="13" t="s">
        <v>301</v>
      </c>
      <c r="K529" s="32">
        <f>VLOOKUP(D529,'[1]NEW PRICE LIST'!$C$4:$H$1917,3,FALSE)</f>
        <v>33.75</v>
      </c>
      <c r="L529" s="13">
        <v>100</v>
      </c>
      <c r="M529" s="13">
        <v>0</v>
      </c>
      <c r="N529" s="13">
        <v>10</v>
      </c>
      <c r="O529" s="13" t="s">
        <v>3962</v>
      </c>
      <c r="P529" s="13" t="s">
        <v>3962</v>
      </c>
    </row>
    <row r="530" spans="1:16" x14ac:dyDescent="0.25">
      <c r="A530" s="14" t="str">
        <f t="shared" si="23"/>
        <v>AVT0000529</v>
      </c>
      <c r="B530" s="13" t="str">
        <f>VLOOKUP(D530,'SUPPLIER_ITEMS (1st Tools)'!C675:D2402,2,FALSE)</f>
        <v>1ST-358-674</v>
      </c>
      <c r="C530" s="14" t="s">
        <v>777</v>
      </c>
      <c r="D530" s="18" t="s">
        <v>1431</v>
      </c>
      <c r="F530" s="30" t="str">
        <f t="shared" si="22"/>
        <v>AV22071-094 GI ST. ELBOW 3/4"</v>
      </c>
      <c r="I530" s="31" t="str">
        <f>VLOOKUP(D530,'[1]NEW PRICE LIST'!$C$4:$D$1917,2,FALSE)</f>
        <v>200PCS/BAG</v>
      </c>
      <c r="J530" s="13" t="s">
        <v>301</v>
      </c>
      <c r="K530" s="32">
        <f>VLOOKUP(D530,'[1]NEW PRICE LIST'!$C$4:$H$1917,3,FALSE)</f>
        <v>48.5</v>
      </c>
      <c r="L530" s="13">
        <v>100</v>
      </c>
      <c r="M530" s="13">
        <v>0</v>
      </c>
      <c r="N530" s="13">
        <v>10</v>
      </c>
      <c r="O530" s="13" t="s">
        <v>3962</v>
      </c>
      <c r="P530" s="13" t="s">
        <v>3962</v>
      </c>
    </row>
    <row r="531" spans="1:16" x14ac:dyDescent="0.25">
      <c r="A531" s="14" t="str">
        <f t="shared" si="23"/>
        <v>AVT0000530</v>
      </c>
      <c r="B531" s="13" t="str">
        <f>VLOOKUP(D531,'SUPPLIER_ITEMS (1st Tools)'!C676:D2403,2,FALSE)</f>
        <v>1ST-358-675</v>
      </c>
      <c r="C531" s="14" t="s">
        <v>777</v>
      </c>
      <c r="D531" s="18" t="s">
        <v>1432</v>
      </c>
      <c r="F531" s="30" t="str">
        <f t="shared" si="22"/>
        <v>AV22071-095 GI ST. ELBOW 1"</v>
      </c>
      <c r="I531" s="31" t="str">
        <f>VLOOKUP(D531,'[1]NEW PRICE LIST'!$C$4:$D$1917,2,FALSE)</f>
        <v>120PCS/BAG</v>
      </c>
      <c r="J531" s="13" t="s">
        <v>301</v>
      </c>
      <c r="K531" s="32">
        <f>VLOOKUP(D531,'[1]NEW PRICE LIST'!$C$4:$H$1917,3,FALSE)</f>
        <v>77.25</v>
      </c>
      <c r="L531" s="13">
        <v>100</v>
      </c>
      <c r="M531" s="13">
        <v>0</v>
      </c>
      <c r="N531" s="13">
        <v>10</v>
      </c>
      <c r="O531" s="13" t="s">
        <v>3962</v>
      </c>
      <c r="P531" s="13" t="s">
        <v>3962</v>
      </c>
    </row>
    <row r="532" spans="1:16" x14ac:dyDescent="0.25">
      <c r="A532" s="14" t="str">
        <f t="shared" si="23"/>
        <v>AVT0000531</v>
      </c>
      <c r="B532" s="13" t="str">
        <f>VLOOKUP(D532,'SUPPLIER_ITEMS (1st Tools)'!C677:D2404,2,FALSE)</f>
        <v>1ST-358-676</v>
      </c>
      <c r="C532" s="14" t="s">
        <v>777</v>
      </c>
      <c r="D532" s="18" t="s">
        <v>1433</v>
      </c>
      <c r="F532" s="30" t="str">
        <f t="shared" si="22"/>
        <v>AV22071-096 GI ST. ELBOW 1-1/4"</v>
      </c>
      <c r="I532" s="31" t="str">
        <f>VLOOKUP(D532,'[1]NEW PRICE LIST'!$C$4:$D$1917,2,FALSE)</f>
        <v>70PCS/BAG</v>
      </c>
      <c r="J532" s="13" t="s">
        <v>301</v>
      </c>
      <c r="K532" s="32">
        <f>VLOOKUP(D532,'[1]NEW PRICE LIST'!$C$4:$H$1917,3,FALSE)</f>
        <v>142.5</v>
      </c>
      <c r="L532" s="13">
        <v>100</v>
      </c>
      <c r="M532" s="13">
        <v>0</v>
      </c>
      <c r="N532" s="13">
        <v>10</v>
      </c>
      <c r="O532" s="13" t="s">
        <v>3962</v>
      </c>
      <c r="P532" s="13" t="s">
        <v>3962</v>
      </c>
    </row>
    <row r="533" spans="1:16" x14ac:dyDescent="0.25">
      <c r="A533" s="14" t="str">
        <f t="shared" si="23"/>
        <v>AVT0000532</v>
      </c>
      <c r="B533" s="13" t="str">
        <f>VLOOKUP(D533,'SUPPLIER_ITEMS (1st Tools)'!C678:D2405,2,FALSE)</f>
        <v>1ST-358-677</v>
      </c>
      <c r="C533" s="14" t="s">
        <v>777</v>
      </c>
      <c r="D533" s="18" t="s">
        <v>1435</v>
      </c>
      <c r="F533" s="30" t="str">
        <f t="shared" si="22"/>
        <v>AV22071-097 GI ST. ELBOW 1-1/2"</v>
      </c>
      <c r="I533" s="31" t="str">
        <f>VLOOKUP(D533,'[1]NEW PRICE LIST'!$C$4:$D$1917,2,FALSE)</f>
        <v>50PCS/BAG</v>
      </c>
      <c r="J533" s="13" t="s">
        <v>301</v>
      </c>
      <c r="K533" s="32">
        <f>VLOOKUP(D533,'[1]NEW PRICE LIST'!$C$4:$H$1917,3,FALSE)</f>
        <v>165</v>
      </c>
      <c r="L533" s="13">
        <v>100</v>
      </c>
      <c r="M533" s="13">
        <v>0</v>
      </c>
      <c r="N533" s="13">
        <v>10</v>
      </c>
      <c r="O533" s="13" t="s">
        <v>3962</v>
      </c>
      <c r="P533" s="13" t="s">
        <v>3962</v>
      </c>
    </row>
    <row r="534" spans="1:16" x14ac:dyDescent="0.25">
      <c r="A534" s="14" t="str">
        <f t="shared" si="23"/>
        <v>AVT0000533</v>
      </c>
      <c r="B534" s="13" t="str">
        <f>VLOOKUP(D534,'SUPPLIER_ITEMS (1st Tools)'!C679:D2406,2,FALSE)</f>
        <v>1ST-358-678</v>
      </c>
      <c r="C534" s="14" t="s">
        <v>777</v>
      </c>
      <c r="D534" s="18" t="s">
        <v>1437</v>
      </c>
      <c r="F534" s="30" t="str">
        <f t="shared" si="22"/>
        <v>AV22071-098 GI ST. ELBOW 2"</v>
      </c>
      <c r="I534" s="31" t="str">
        <f>VLOOKUP(D534,'[1]NEW PRICE LIST'!$C$4:$D$1917,2,FALSE)</f>
        <v>30PCS/BAG</v>
      </c>
      <c r="J534" s="13" t="s">
        <v>301</v>
      </c>
      <c r="K534" s="32">
        <f>VLOOKUP(D534,'[1]NEW PRICE LIST'!$C$4:$H$1917,3,FALSE)</f>
        <v>250.5</v>
      </c>
      <c r="L534" s="13">
        <v>100</v>
      </c>
      <c r="M534" s="13">
        <v>0</v>
      </c>
      <c r="N534" s="13">
        <v>10</v>
      </c>
      <c r="O534" s="13" t="s">
        <v>3962</v>
      </c>
      <c r="P534" s="13" t="s">
        <v>3962</v>
      </c>
    </row>
    <row r="535" spans="1:16" x14ac:dyDescent="0.25">
      <c r="A535" s="14" t="str">
        <f t="shared" si="23"/>
        <v>AVT0000534</v>
      </c>
      <c r="B535" s="13" t="str">
        <f>VLOOKUP(D535,'SUPPLIER_ITEMS (1st Tools)'!C680:D2407,2,FALSE)</f>
        <v>1ST-358-679</v>
      </c>
      <c r="C535" s="14" t="s">
        <v>776</v>
      </c>
      <c r="D535" s="18" t="s">
        <v>1439</v>
      </c>
      <c r="F535" s="30" t="str">
        <f t="shared" si="22"/>
        <v>AV22071-101 GI TEE 1/2"</v>
      </c>
      <c r="I535" s="31" t="str">
        <f>VLOOKUP(D535,'[1]NEW PRICE LIST'!$C$4:$D$1917,2,FALSE)</f>
        <v>200PCS/BAG</v>
      </c>
      <c r="J535" s="13" t="s">
        <v>301</v>
      </c>
      <c r="K535" s="32">
        <f>VLOOKUP(D535,'[1]NEW PRICE LIST'!$C$4:$H$1917,3,FALSE)</f>
        <v>39.5</v>
      </c>
      <c r="L535" s="13">
        <v>100</v>
      </c>
      <c r="M535" s="13">
        <v>0</v>
      </c>
      <c r="N535" s="13">
        <v>10</v>
      </c>
      <c r="O535" s="13" t="s">
        <v>3962</v>
      </c>
      <c r="P535" s="13" t="s">
        <v>3962</v>
      </c>
    </row>
    <row r="536" spans="1:16" x14ac:dyDescent="0.25">
      <c r="A536" s="14" t="str">
        <f t="shared" si="23"/>
        <v>AVT0000535</v>
      </c>
      <c r="B536" s="13" t="str">
        <f>VLOOKUP(D536,'SUPPLIER_ITEMS (1st Tools)'!C681:D2408,2,FALSE)</f>
        <v>1ST-358-680</v>
      </c>
      <c r="C536" s="14" t="s">
        <v>776</v>
      </c>
      <c r="D536" s="18" t="s">
        <v>1441</v>
      </c>
      <c r="F536" s="30" t="str">
        <f t="shared" si="22"/>
        <v>AV22071-102 GI TEE 3/4"</v>
      </c>
      <c r="I536" s="31" t="str">
        <f>VLOOKUP(D536,'[1]NEW PRICE LIST'!$C$4:$D$1917,2,FALSE)</f>
        <v>120PCS/BAG</v>
      </c>
      <c r="J536" s="13" t="s">
        <v>301</v>
      </c>
      <c r="K536" s="32">
        <f>VLOOKUP(D536,'[1]NEW PRICE LIST'!$C$4:$H$1917,3,FALSE)</f>
        <v>55.5</v>
      </c>
      <c r="L536" s="13">
        <v>100</v>
      </c>
      <c r="M536" s="13">
        <v>0</v>
      </c>
      <c r="N536" s="13">
        <v>10</v>
      </c>
      <c r="O536" s="13" t="s">
        <v>3962</v>
      </c>
      <c r="P536" s="13" t="s">
        <v>3962</v>
      </c>
    </row>
    <row r="537" spans="1:16" x14ac:dyDescent="0.25">
      <c r="A537" s="14" t="str">
        <f t="shared" si="23"/>
        <v>AVT0000536</v>
      </c>
      <c r="B537" s="13" t="str">
        <f>VLOOKUP(D537,'SUPPLIER_ITEMS (1st Tools)'!C682:D2409,2,FALSE)</f>
        <v>1ST-358-681</v>
      </c>
      <c r="C537" s="14" t="s">
        <v>776</v>
      </c>
      <c r="D537" s="18" t="s">
        <v>1443</v>
      </c>
      <c r="F537" s="30" t="str">
        <f t="shared" si="22"/>
        <v>AV22071-103 GI TEE 1"</v>
      </c>
      <c r="I537" s="31" t="str">
        <f>VLOOKUP(D537,'[1]NEW PRICE LIST'!$C$4:$D$1917,2,FALSE)</f>
        <v>80PCS/BAG</v>
      </c>
      <c r="J537" s="13" t="s">
        <v>301</v>
      </c>
      <c r="K537" s="32">
        <f>VLOOKUP(D537,'[1]NEW PRICE LIST'!$C$4:$H$1917,3,FALSE)</f>
        <v>87</v>
      </c>
      <c r="L537" s="13">
        <v>100</v>
      </c>
      <c r="M537" s="13">
        <v>0</v>
      </c>
      <c r="N537" s="13">
        <v>10</v>
      </c>
      <c r="O537" s="13" t="s">
        <v>3962</v>
      </c>
      <c r="P537" s="13" t="s">
        <v>3962</v>
      </c>
    </row>
    <row r="538" spans="1:16" x14ac:dyDescent="0.25">
      <c r="A538" s="14" t="str">
        <f t="shared" si="23"/>
        <v>AVT0000537</v>
      </c>
      <c r="B538" s="13" t="str">
        <f>VLOOKUP(D538,'SUPPLIER_ITEMS (1st Tools)'!C683:D2410,2,FALSE)</f>
        <v>1ST-358-682</v>
      </c>
      <c r="C538" s="14" t="s">
        <v>776</v>
      </c>
      <c r="D538" s="18" t="s">
        <v>1444</v>
      </c>
      <c r="F538" s="30" t="str">
        <f t="shared" si="22"/>
        <v>AV22071-104 G.I TEE 1-1/4"</v>
      </c>
      <c r="I538" s="31" t="str">
        <f>VLOOKUP(D538,'[1]NEW PRICE LIST'!$C$4:$D$1917,2,FALSE)</f>
        <v>50PCS/BAG</v>
      </c>
      <c r="J538" s="13" t="s">
        <v>301</v>
      </c>
      <c r="K538" s="32">
        <f>VLOOKUP(D538,'[1]NEW PRICE LIST'!$C$4:$H$1917,3,FALSE)</f>
        <v>139.5</v>
      </c>
      <c r="L538" s="13">
        <v>100</v>
      </c>
      <c r="M538" s="13">
        <v>0</v>
      </c>
      <c r="N538" s="13">
        <v>10</v>
      </c>
      <c r="O538" s="13" t="s">
        <v>3962</v>
      </c>
      <c r="P538" s="13" t="s">
        <v>3962</v>
      </c>
    </row>
    <row r="539" spans="1:16" x14ac:dyDescent="0.25">
      <c r="A539" s="14" t="str">
        <f t="shared" si="23"/>
        <v>AVT0000538</v>
      </c>
      <c r="B539" s="13" t="str">
        <f>VLOOKUP(D539,'SUPPLIER_ITEMS (1st Tools)'!C684:D2411,2,FALSE)</f>
        <v>1ST-358-683</v>
      </c>
      <c r="C539" s="14" t="s">
        <v>776</v>
      </c>
      <c r="D539" s="18" t="s">
        <v>3797</v>
      </c>
      <c r="F539" s="30" t="str">
        <f t="shared" si="22"/>
        <v>AV22071-105 GI TEE 1-1/2"</v>
      </c>
      <c r="I539" s="31" t="str">
        <f>VLOOKUP(D539,'[1]NEW PRICE LIST'!$C$4:$D$1917,2,FALSE)</f>
        <v>35PCS/BAG</v>
      </c>
      <c r="J539" s="13" t="s">
        <v>301</v>
      </c>
      <c r="K539" s="32">
        <f>VLOOKUP(D539,'[1]NEW PRICE LIST'!$C$4:$H$1917,3,FALSE)</f>
        <v>177</v>
      </c>
      <c r="L539" s="13">
        <v>100</v>
      </c>
      <c r="M539" s="13">
        <v>0</v>
      </c>
      <c r="N539" s="13">
        <v>10</v>
      </c>
      <c r="O539" s="13" t="s">
        <v>3962</v>
      </c>
      <c r="P539" s="13" t="s">
        <v>3962</v>
      </c>
    </row>
    <row r="540" spans="1:16" x14ac:dyDescent="0.25">
      <c r="A540" s="14" t="str">
        <f t="shared" si="23"/>
        <v>AVT0000539</v>
      </c>
      <c r="B540" s="13" t="str">
        <f>VLOOKUP(D540,'SUPPLIER_ITEMS (1st Tools)'!C685:D2412,2,FALSE)</f>
        <v>1ST-358-684</v>
      </c>
      <c r="C540" s="14" t="s">
        <v>776</v>
      </c>
      <c r="D540" s="18" t="s">
        <v>1447</v>
      </c>
      <c r="F540" s="30" t="str">
        <f t="shared" si="22"/>
        <v>AV22071-106 G.I TEE 2"</v>
      </c>
      <c r="I540" s="31" t="str">
        <f>VLOOKUP(D540,'[1]NEW PRICE LIST'!$C$4:$D$1917,2,FALSE)</f>
        <v>20PCS/BAG</v>
      </c>
      <c r="J540" s="13" t="s">
        <v>301</v>
      </c>
      <c r="K540" s="32">
        <f>VLOOKUP(D540,'[1]NEW PRICE LIST'!$C$4:$H$1917,3,FALSE)</f>
        <v>261</v>
      </c>
      <c r="L540" s="13">
        <v>100</v>
      </c>
      <c r="M540" s="13">
        <v>0</v>
      </c>
      <c r="N540" s="13">
        <v>10</v>
      </c>
      <c r="O540" s="13" t="s">
        <v>3962</v>
      </c>
      <c r="P540" s="13" t="s">
        <v>3962</v>
      </c>
    </row>
    <row r="541" spans="1:16" x14ac:dyDescent="0.25">
      <c r="A541" s="14" t="str">
        <f t="shared" si="23"/>
        <v>AVT0000540</v>
      </c>
      <c r="B541" s="13" t="str">
        <f>VLOOKUP(D541,'SUPPLIER_ITEMS (1st Tools)'!C686:D2413,2,FALSE)</f>
        <v>1ST-358-685</v>
      </c>
      <c r="C541" s="14" t="s">
        <v>775</v>
      </c>
      <c r="D541" s="18" t="s">
        <v>1449</v>
      </c>
      <c r="F541" s="30" t="str">
        <f t="shared" si="22"/>
        <v>AV22071-110 GI TEE REDUCER 3/4"*1/2"</v>
      </c>
      <c r="I541" s="31" t="str">
        <f>VLOOKUP(D541,'[1]NEW PRICE LIST'!$C$4:$D$1917,2,FALSE)</f>
        <v>150PCS/BAG</v>
      </c>
      <c r="J541" s="13" t="s">
        <v>301</v>
      </c>
      <c r="K541" s="32">
        <f>VLOOKUP(D541,'[1]NEW PRICE LIST'!$C$4:$H$1917,3,FALSE)</f>
        <v>66.84</v>
      </c>
      <c r="L541" s="13">
        <v>100</v>
      </c>
      <c r="M541" s="13">
        <v>0</v>
      </c>
      <c r="N541" s="13">
        <v>10</v>
      </c>
      <c r="O541" s="13" t="s">
        <v>3962</v>
      </c>
      <c r="P541" s="13" t="s">
        <v>3962</v>
      </c>
    </row>
    <row r="542" spans="1:16" x14ac:dyDescent="0.25">
      <c r="A542" s="14" t="str">
        <f t="shared" si="23"/>
        <v>AVT0000541</v>
      </c>
      <c r="B542" s="13" t="str">
        <f>VLOOKUP(D542,'SUPPLIER_ITEMS (1st Tools)'!C687:D2414,2,FALSE)</f>
        <v>1ST-358-686</v>
      </c>
      <c r="C542" s="14" t="s">
        <v>775</v>
      </c>
      <c r="D542" s="18" t="s">
        <v>1451</v>
      </c>
      <c r="F542" s="30" t="str">
        <f t="shared" si="22"/>
        <v>AV22071-111 GI TEE REDUCER 1"*1/2"</v>
      </c>
      <c r="I542" s="31" t="str">
        <f>VLOOKUP(D542,'[1]NEW PRICE LIST'!$C$4:$D$1917,2,FALSE)</f>
        <v>90PCS/BAG</v>
      </c>
      <c r="J542" s="13" t="s">
        <v>301</v>
      </c>
      <c r="K542" s="32">
        <f>VLOOKUP(D542,'[1]NEW PRICE LIST'!$C$4:$H$1917,3,FALSE)</f>
        <v>105.45</v>
      </c>
      <c r="L542" s="13">
        <v>100</v>
      </c>
      <c r="M542" s="13">
        <v>0</v>
      </c>
      <c r="N542" s="13">
        <v>10</v>
      </c>
      <c r="O542" s="13" t="s">
        <v>3962</v>
      </c>
      <c r="P542" s="13" t="s">
        <v>3962</v>
      </c>
    </row>
    <row r="543" spans="1:16" x14ac:dyDescent="0.25">
      <c r="A543" s="14" t="str">
        <f t="shared" si="23"/>
        <v>AVT0000542</v>
      </c>
      <c r="B543" s="13" t="str">
        <f>VLOOKUP(D543,'SUPPLIER_ITEMS (1st Tools)'!C688:D2415,2,FALSE)</f>
        <v>1ST-358-687</v>
      </c>
      <c r="C543" s="14" t="s">
        <v>775</v>
      </c>
      <c r="D543" s="18" t="s">
        <v>1453</v>
      </c>
      <c r="F543" s="30" t="str">
        <f t="shared" si="22"/>
        <v>AV22071-112 GI TEE REDUCER 1"*3/4"</v>
      </c>
      <c r="I543" s="31" t="str">
        <f>VLOOKUP(D543,'[1]NEW PRICE LIST'!$C$4:$D$1917,2,FALSE)</f>
        <v>90PCS/BAG</v>
      </c>
      <c r="J543" s="13" t="s">
        <v>301</v>
      </c>
      <c r="K543" s="32">
        <f>VLOOKUP(D543,'[1]NEW PRICE LIST'!$C$4:$H$1917,3,FALSE)</f>
        <v>105.45</v>
      </c>
      <c r="L543" s="13">
        <v>100</v>
      </c>
      <c r="M543" s="13">
        <v>0</v>
      </c>
      <c r="N543" s="13">
        <v>10</v>
      </c>
      <c r="O543" s="13" t="s">
        <v>3962</v>
      </c>
      <c r="P543" s="13" t="s">
        <v>3962</v>
      </c>
    </row>
    <row r="544" spans="1:16" x14ac:dyDescent="0.25">
      <c r="A544" s="14" t="str">
        <f t="shared" si="23"/>
        <v>AVT0000543</v>
      </c>
      <c r="B544" s="13" t="str">
        <f>VLOOKUP(D544,'SUPPLIER_ITEMS (1st Tools)'!C689:D2416,2,FALSE)</f>
        <v>1ST-358-688</v>
      </c>
      <c r="C544" s="14" t="s">
        <v>775</v>
      </c>
      <c r="D544" s="18" t="s">
        <v>1454</v>
      </c>
      <c r="F544" s="30" t="str">
        <f t="shared" si="22"/>
        <v>AV22071-113 GI TEE REDUCER 1-1/4"*1/2"</v>
      </c>
      <c r="I544" s="31" t="str">
        <f>VLOOKUP(D544,'[1]NEW PRICE LIST'!$C$4:$D$1917,2,FALSE)</f>
        <v>60PCS/BAG</v>
      </c>
      <c r="J544" s="13" t="s">
        <v>301</v>
      </c>
      <c r="K544" s="32">
        <f>VLOOKUP(D544,'[1]NEW PRICE LIST'!$C$4:$H$1917,3,FALSE)</f>
        <v>159.5</v>
      </c>
      <c r="L544" s="13">
        <v>100</v>
      </c>
      <c r="M544" s="13">
        <v>0</v>
      </c>
      <c r="N544" s="13">
        <v>10</v>
      </c>
      <c r="O544" s="13" t="s">
        <v>3962</v>
      </c>
      <c r="P544" s="13" t="s">
        <v>3962</v>
      </c>
    </row>
    <row r="545" spans="1:16" x14ac:dyDescent="0.25">
      <c r="A545" s="14" t="str">
        <f t="shared" si="23"/>
        <v>AVT0000544</v>
      </c>
      <c r="B545" s="13" t="str">
        <f>VLOOKUP(D545,'SUPPLIER_ITEMS (1st Tools)'!C690:D2417,2,FALSE)</f>
        <v>1ST-358-689</v>
      </c>
      <c r="C545" s="14" t="s">
        <v>775</v>
      </c>
      <c r="D545" s="18" t="s">
        <v>1456</v>
      </c>
      <c r="F545" s="30" t="str">
        <f t="shared" si="22"/>
        <v>AV22071-114 GI TEE REDUCER 1-1/4"*3/4"</v>
      </c>
      <c r="I545" s="31" t="str">
        <f>VLOOKUP(D545,'[1]NEW PRICE LIST'!$C$4:$D$1917,2,FALSE)</f>
        <v>60PCS/BAG</v>
      </c>
      <c r="J545" s="13" t="s">
        <v>301</v>
      </c>
      <c r="K545" s="32">
        <f>VLOOKUP(D545,'[1]NEW PRICE LIST'!$C$4:$H$1917,3,FALSE)</f>
        <v>159.5</v>
      </c>
      <c r="L545" s="13">
        <v>100</v>
      </c>
      <c r="M545" s="13">
        <v>0</v>
      </c>
      <c r="N545" s="13">
        <v>10</v>
      </c>
      <c r="O545" s="13" t="s">
        <v>3962</v>
      </c>
      <c r="P545" s="13" t="s">
        <v>3962</v>
      </c>
    </row>
    <row r="546" spans="1:16" x14ac:dyDescent="0.25">
      <c r="A546" s="14" t="str">
        <f t="shared" si="23"/>
        <v>AVT0000545</v>
      </c>
      <c r="B546" s="13" t="str">
        <f>VLOOKUP(D546,'SUPPLIER_ITEMS (1st Tools)'!C691:D2418,2,FALSE)</f>
        <v>1ST-358-690</v>
      </c>
      <c r="C546" s="14" t="s">
        <v>775</v>
      </c>
      <c r="D546" s="18" t="s">
        <v>1457</v>
      </c>
      <c r="F546" s="30" t="str">
        <f t="shared" si="22"/>
        <v>AV22071-115 GI TEE REDUCER 1-1/4"*1"</v>
      </c>
      <c r="I546" s="31" t="str">
        <f>VLOOKUP(D546,'[1]NEW PRICE LIST'!$C$4:$D$1917,2,FALSE)</f>
        <v>55PCS/BAG</v>
      </c>
      <c r="J546" s="13" t="s">
        <v>301</v>
      </c>
      <c r="K546" s="32">
        <f>VLOOKUP(D546,'[1]NEW PRICE LIST'!$C$4:$H$1917,3,FALSE)</f>
        <v>159.5</v>
      </c>
      <c r="L546" s="13">
        <v>100</v>
      </c>
      <c r="M546" s="13">
        <v>0</v>
      </c>
      <c r="N546" s="13">
        <v>10</v>
      </c>
      <c r="O546" s="13" t="s">
        <v>3962</v>
      </c>
      <c r="P546" s="13" t="s">
        <v>3962</v>
      </c>
    </row>
    <row r="547" spans="1:16" x14ac:dyDescent="0.25">
      <c r="A547" s="14" t="str">
        <f t="shared" si="23"/>
        <v>AVT0000546</v>
      </c>
      <c r="B547" s="13" t="str">
        <f>VLOOKUP(D547,'SUPPLIER_ITEMS (1st Tools)'!C692:D2419,2,FALSE)</f>
        <v>1ST-358-691</v>
      </c>
      <c r="C547" s="14" t="s">
        <v>775</v>
      </c>
      <c r="D547" s="18" t="s">
        <v>1458</v>
      </c>
      <c r="F547" s="30" t="str">
        <f t="shared" si="22"/>
        <v>AV22071-116 GI TEE REDUCER 1-1/2"*1/2"</v>
      </c>
      <c r="I547" s="31" t="str">
        <f>VLOOKUP(D547,'[1]NEW PRICE LIST'!$C$4:$D$1917,2,FALSE)</f>
        <v>45PCS/BAG</v>
      </c>
      <c r="J547" s="13" t="s">
        <v>301</v>
      </c>
      <c r="K547" s="32">
        <f>VLOOKUP(D547,'[1]NEW PRICE LIST'!$C$4:$H$1917,3,FALSE)</f>
        <v>210.25</v>
      </c>
      <c r="L547" s="13">
        <v>100</v>
      </c>
      <c r="M547" s="13">
        <v>0</v>
      </c>
      <c r="N547" s="13">
        <v>10</v>
      </c>
      <c r="O547" s="13" t="s">
        <v>3962</v>
      </c>
      <c r="P547" s="13" t="s">
        <v>3962</v>
      </c>
    </row>
    <row r="548" spans="1:16" x14ac:dyDescent="0.25">
      <c r="A548" s="14" t="str">
        <f t="shared" si="23"/>
        <v>AVT0000547</v>
      </c>
      <c r="B548" s="13" t="str">
        <f>VLOOKUP(D548,'SUPPLIER_ITEMS (1st Tools)'!C693:D2420,2,FALSE)</f>
        <v>1ST-358-692</v>
      </c>
      <c r="C548" s="14" t="s">
        <v>775</v>
      </c>
      <c r="D548" s="18" t="s">
        <v>1460</v>
      </c>
      <c r="F548" s="30" t="str">
        <f t="shared" si="22"/>
        <v>AV22071-117 GI TEE REDUCER 1-1/2"*3/4"</v>
      </c>
      <c r="I548" s="31" t="str">
        <f>VLOOKUP(D548,'[1]NEW PRICE LIST'!$C$4:$D$1917,2,FALSE)</f>
        <v>45PCS/BAG</v>
      </c>
      <c r="J548" s="13" t="s">
        <v>301</v>
      </c>
      <c r="K548" s="32">
        <f>VLOOKUP(D548,'[1]NEW PRICE LIST'!$C$4:$H$1917,3,FALSE)</f>
        <v>210.25</v>
      </c>
      <c r="L548" s="13">
        <v>100</v>
      </c>
      <c r="M548" s="13">
        <v>0</v>
      </c>
      <c r="N548" s="13">
        <v>10</v>
      </c>
      <c r="O548" s="13" t="s">
        <v>3962</v>
      </c>
      <c r="P548" s="13" t="s">
        <v>3962</v>
      </c>
    </row>
    <row r="549" spans="1:16" x14ac:dyDescent="0.25">
      <c r="A549" s="14" t="str">
        <f t="shared" si="23"/>
        <v>AVT0000548</v>
      </c>
      <c r="B549" s="13" t="str">
        <f>VLOOKUP(D549,'SUPPLIER_ITEMS (1st Tools)'!C694:D2421,2,FALSE)</f>
        <v>1ST-358-693</v>
      </c>
      <c r="C549" s="14" t="s">
        <v>775</v>
      </c>
      <c r="D549" s="18" t="s">
        <v>1461</v>
      </c>
      <c r="F549" s="30" t="str">
        <f t="shared" si="22"/>
        <v>AV22071-118 GI TEE REDUCER 1-1/2"*1"</v>
      </c>
      <c r="I549" s="31" t="str">
        <f>VLOOKUP(D549,'[1]NEW PRICE LIST'!$C$4:$D$1917,2,FALSE)</f>
        <v>45PCS/BAG</v>
      </c>
      <c r="J549" s="13" t="s">
        <v>301</v>
      </c>
      <c r="K549" s="32">
        <f>VLOOKUP(D549,'[1]NEW PRICE LIST'!$C$4:$H$1917,3,FALSE)</f>
        <v>210.25</v>
      </c>
      <c r="L549" s="13">
        <v>100</v>
      </c>
      <c r="M549" s="13">
        <v>0</v>
      </c>
      <c r="N549" s="13">
        <v>10</v>
      </c>
      <c r="O549" s="13" t="s">
        <v>3962</v>
      </c>
      <c r="P549" s="13" t="s">
        <v>3962</v>
      </c>
    </row>
    <row r="550" spans="1:16" x14ac:dyDescent="0.25">
      <c r="A550" s="14" t="str">
        <f t="shared" si="23"/>
        <v>AVT0000549</v>
      </c>
      <c r="B550" s="13" t="str">
        <f>VLOOKUP(D550,'SUPPLIER_ITEMS (1st Tools)'!C695:D2422,2,FALSE)</f>
        <v>1ST-358-694</v>
      </c>
      <c r="C550" s="14" t="s">
        <v>775</v>
      </c>
      <c r="D550" s="18" t="s">
        <v>1462</v>
      </c>
      <c r="F550" s="30" t="str">
        <f t="shared" si="22"/>
        <v>AV22071-119 GI TEE REDUCER 1-1/2"*1-1/4"</v>
      </c>
      <c r="I550" s="31" t="str">
        <f>VLOOKUP(D550,'[1]NEW PRICE LIST'!$C$4:$D$1917,2,FALSE)</f>
        <v>35PCS/BAG</v>
      </c>
      <c r="J550" s="13" t="s">
        <v>301</v>
      </c>
      <c r="K550" s="32">
        <f>VLOOKUP(D550,'[1]NEW PRICE LIST'!$C$4:$H$1917,3,FALSE)</f>
        <v>210.25</v>
      </c>
      <c r="L550" s="13">
        <v>100</v>
      </c>
      <c r="M550" s="13">
        <v>0</v>
      </c>
      <c r="N550" s="13">
        <v>10</v>
      </c>
      <c r="O550" s="13" t="s">
        <v>3962</v>
      </c>
      <c r="P550" s="13" t="s">
        <v>3962</v>
      </c>
    </row>
    <row r="551" spans="1:16" x14ac:dyDescent="0.25">
      <c r="A551" s="14" t="str">
        <f t="shared" si="23"/>
        <v>AVT0000550</v>
      </c>
      <c r="B551" s="13" t="str">
        <f>VLOOKUP(D551,'SUPPLIER_ITEMS (1st Tools)'!C696:D2423,2,FALSE)</f>
        <v>1ST-358-695</v>
      </c>
      <c r="C551" s="14" t="s">
        <v>775</v>
      </c>
      <c r="D551" s="18" t="s">
        <v>1463</v>
      </c>
      <c r="F551" s="30" t="str">
        <f t="shared" si="22"/>
        <v>AV22071-120 GI TEE REDUCER 2"*1/2"</v>
      </c>
      <c r="I551" s="31" t="str">
        <f>VLOOKUP(D551,'[1]NEW PRICE LIST'!$C$4:$D$1917,2,FALSE)</f>
        <v>30PCS/BAG</v>
      </c>
      <c r="J551" s="13" t="s">
        <v>301</v>
      </c>
      <c r="K551" s="32">
        <f>VLOOKUP(D551,'[1]NEW PRICE LIST'!$C$4:$H$1917,3,FALSE)</f>
        <v>308.89999999999998</v>
      </c>
      <c r="L551" s="13">
        <v>100</v>
      </c>
      <c r="M551" s="13">
        <v>0</v>
      </c>
      <c r="N551" s="13">
        <v>10</v>
      </c>
      <c r="O551" s="13" t="s">
        <v>3962</v>
      </c>
      <c r="P551" s="13" t="s">
        <v>3962</v>
      </c>
    </row>
    <row r="552" spans="1:16" x14ac:dyDescent="0.25">
      <c r="A552" s="14" t="str">
        <f t="shared" si="23"/>
        <v>AVT0000551</v>
      </c>
      <c r="B552" s="13" t="str">
        <f>VLOOKUP(D552,'SUPPLIER_ITEMS (1st Tools)'!C697:D2424,2,FALSE)</f>
        <v>1ST-358-696</v>
      </c>
      <c r="C552" s="14" t="s">
        <v>775</v>
      </c>
      <c r="D552" s="18" t="s">
        <v>1465</v>
      </c>
      <c r="F552" s="30" t="str">
        <f t="shared" si="22"/>
        <v>AV22071-121 GI TEE REDUCER 2"*3/4"</v>
      </c>
      <c r="I552" s="31" t="str">
        <f>VLOOKUP(D552,'[1]NEW PRICE LIST'!$C$4:$D$1917,2,FALSE)</f>
        <v>30PCS/BAG</v>
      </c>
      <c r="J552" s="13" t="s">
        <v>301</v>
      </c>
      <c r="K552" s="32">
        <f>VLOOKUP(D552,'[1]NEW PRICE LIST'!$C$4:$H$1917,3,FALSE)</f>
        <v>308.89999999999998</v>
      </c>
      <c r="L552" s="13">
        <v>100</v>
      </c>
      <c r="M552" s="13">
        <v>0</v>
      </c>
      <c r="N552" s="13">
        <v>10</v>
      </c>
      <c r="O552" s="13" t="s">
        <v>3962</v>
      </c>
      <c r="P552" s="13" t="s">
        <v>3962</v>
      </c>
    </row>
    <row r="553" spans="1:16" x14ac:dyDescent="0.25">
      <c r="A553" s="14" t="str">
        <f t="shared" si="23"/>
        <v>AVT0000552</v>
      </c>
      <c r="B553" s="13" t="str">
        <f>VLOOKUP(D553,'SUPPLIER_ITEMS (1st Tools)'!C698:D2425,2,FALSE)</f>
        <v>1ST-358-697</v>
      </c>
      <c r="C553" s="14" t="s">
        <v>775</v>
      </c>
      <c r="D553" s="18" t="s">
        <v>1466</v>
      </c>
      <c r="F553" s="30" t="str">
        <f t="shared" si="22"/>
        <v>AV22071-122 GI TEE REDUCER 2"*1"</v>
      </c>
      <c r="I553" s="31" t="str">
        <f>VLOOKUP(D553,'[1]NEW PRICE LIST'!$C$4:$D$1917,2,FALSE)</f>
        <v>30PCS/BAG</v>
      </c>
      <c r="J553" s="13" t="s">
        <v>301</v>
      </c>
      <c r="K553" s="32">
        <f>VLOOKUP(D553,'[1]NEW PRICE LIST'!$C$4:$H$1917,3,FALSE)</f>
        <v>308.89999999999998</v>
      </c>
      <c r="L553" s="13">
        <v>100</v>
      </c>
      <c r="M553" s="13">
        <v>0</v>
      </c>
      <c r="N553" s="13">
        <v>10</v>
      </c>
      <c r="O553" s="13" t="s">
        <v>3962</v>
      </c>
      <c r="P553" s="13" t="s">
        <v>3962</v>
      </c>
    </row>
    <row r="554" spans="1:16" x14ac:dyDescent="0.25">
      <c r="A554" s="14" t="str">
        <f t="shared" si="23"/>
        <v>AVT0000553</v>
      </c>
      <c r="B554" s="13" t="str">
        <f>VLOOKUP(D554,'SUPPLIER_ITEMS (1st Tools)'!C699:D2426,2,FALSE)</f>
        <v>1ST-358-698</v>
      </c>
      <c r="C554" s="14" t="s">
        <v>775</v>
      </c>
      <c r="D554" s="18" t="s">
        <v>1467</v>
      </c>
      <c r="F554" s="30" t="str">
        <f t="shared" si="22"/>
        <v>AV22071-123 GI TEE REDUCER 2"*1-1/4"</v>
      </c>
      <c r="I554" s="31" t="str">
        <f>VLOOKUP(D554,'[1]NEW PRICE LIST'!$C$4:$D$1917,2,FALSE)</f>
        <v>25PCS/BAG</v>
      </c>
      <c r="J554" s="13" t="s">
        <v>301</v>
      </c>
      <c r="K554" s="32">
        <f>VLOOKUP(D554,'[1]NEW PRICE LIST'!$C$4:$H$1917,3,FALSE)</f>
        <v>308.89999999999998</v>
      </c>
      <c r="L554" s="13">
        <v>100</v>
      </c>
      <c r="M554" s="13">
        <v>0</v>
      </c>
      <c r="N554" s="13">
        <v>10</v>
      </c>
      <c r="O554" s="13" t="s">
        <v>3962</v>
      </c>
      <c r="P554" s="13" t="s">
        <v>3962</v>
      </c>
    </row>
    <row r="555" spans="1:16" x14ac:dyDescent="0.25">
      <c r="A555" s="14" t="str">
        <f t="shared" si="23"/>
        <v>AVT0000554</v>
      </c>
      <c r="B555" s="13" t="str">
        <f>VLOOKUP(D555,'SUPPLIER_ITEMS (1st Tools)'!C700:D2427,2,FALSE)</f>
        <v>1ST-358-699</v>
      </c>
      <c r="C555" s="14" t="s">
        <v>775</v>
      </c>
      <c r="D555" s="18" t="s">
        <v>1468</v>
      </c>
      <c r="F555" s="30" t="str">
        <f t="shared" si="22"/>
        <v>AV22071-124 GI TEE REDUCER 2"*1-1/2"</v>
      </c>
      <c r="I555" s="31" t="str">
        <f>VLOOKUP(D555,'[1]NEW PRICE LIST'!$C$4:$D$1917,2,FALSE)</f>
        <v>25PCS/BAG</v>
      </c>
      <c r="J555" s="13" t="s">
        <v>301</v>
      </c>
      <c r="K555" s="32">
        <f>VLOOKUP(D555,'[1]NEW PRICE LIST'!$C$4:$H$1917,3,FALSE)</f>
        <v>308.89999999999998</v>
      </c>
      <c r="L555" s="13">
        <v>100</v>
      </c>
      <c r="M555" s="13">
        <v>0</v>
      </c>
      <c r="N555" s="13">
        <v>10</v>
      </c>
      <c r="O555" s="13" t="s">
        <v>3962</v>
      </c>
      <c r="P555" s="13" t="s">
        <v>3962</v>
      </c>
    </row>
    <row r="556" spans="1:16" x14ac:dyDescent="0.25">
      <c r="A556" s="14" t="str">
        <f t="shared" si="23"/>
        <v>AVT0000555</v>
      </c>
      <c r="B556" s="13" t="str">
        <f>VLOOKUP(D556,'SUPPLIER_ITEMS (1st Tools)'!C701:D2428,2,FALSE)</f>
        <v>1ST-358-700</v>
      </c>
      <c r="C556" s="14" t="s">
        <v>774</v>
      </c>
      <c r="D556" s="18" t="s">
        <v>1469</v>
      </c>
      <c r="F556" s="30" t="str">
        <f t="shared" si="22"/>
        <v>AV22071-125 GI UNION PATENTE 1/2"</v>
      </c>
      <c r="I556" s="31" t="str">
        <f>VLOOKUP(D556,'[1]NEW PRICE LIST'!$C$4:$D$1917,2,FALSE)</f>
        <v>150PCS/BAG</v>
      </c>
      <c r="J556" s="13" t="s">
        <v>301</v>
      </c>
      <c r="K556" s="32">
        <f>VLOOKUP(D556,'[1]NEW PRICE LIST'!$C$4:$H$1917,3,FALSE)</f>
        <v>96.75</v>
      </c>
      <c r="L556" s="13">
        <v>100</v>
      </c>
      <c r="M556" s="13">
        <v>0</v>
      </c>
      <c r="N556" s="13">
        <v>10</v>
      </c>
      <c r="O556" s="13" t="s">
        <v>3962</v>
      </c>
      <c r="P556" s="13" t="s">
        <v>3962</v>
      </c>
    </row>
    <row r="557" spans="1:16" x14ac:dyDescent="0.25">
      <c r="A557" s="14" t="str">
        <f t="shared" si="23"/>
        <v>AVT0000556</v>
      </c>
      <c r="B557" s="13" t="str">
        <f>VLOOKUP(D557,'SUPPLIER_ITEMS (1st Tools)'!C702:D2429,2,FALSE)</f>
        <v>1ST-358-701</v>
      </c>
      <c r="C557" s="14" t="s">
        <v>774</v>
      </c>
      <c r="D557" s="18" t="s">
        <v>1470</v>
      </c>
      <c r="F557" s="30" t="str">
        <f t="shared" si="22"/>
        <v>AV22071-126 GI UNION PATENTE 3/4"</v>
      </c>
      <c r="I557" s="31" t="str">
        <f>VLOOKUP(D557,'[1]NEW PRICE LIST'!$C$4:$D$1917,2,FALSE)</f>
        <v>100PCS/BAG</v>
      </c>
      <c r="J557" s="13" t="s">
        <v>301</v>
      </c>
      <c r="K557" s="32">
        <f>VLOOKUP(D557,'[1]NEW PRICE LIST'!$C$4:$H$1917,3,FALSE)</f>
        <v>118.75</v>
      </c>
      <c r="L557" s="13">
        <v>100</v>
      </c>
      <c r="M557" s="13">
        <v>0</v>
      </c>
      <c r="N557" s="13">
        <v>10</v>
      </c>
      <c r="O557" s="13" t="s">
        <v>3962</v>
      </c>
      <c r="P557" s="13" t="s">
        <v>3962</v>
      </c>
    </row>
    <row r="558" spans="1:16" x14ac:dyDescent="0.25">
      <c r="A558" s="14" t="str">
        <f t="shared" si="23"/>
        <v>AVT0000557</v>
      </c>
      <c r="B558" s="13" t="str">
        <f>VLOOKUP(D558,'SUPPLIER_ITEMS (1st Tools)'!C703:D2430,2,FALSE)</f>
        <v>1ST-358-702</v>
      </c>
      <c r="C558" s="14" t="s">
        <v>774</v>
      </c>
      <c r="D558" s="18" t="s">
        <v>1472</v>
      </c>
      <c r="F558" s="30" t="str">
        <f t="shared" si="22"/>
        <v>AV22071-127 GI UNION PATENTE 1"</v>
      </c>
      <c r="I558" s="31" t="str">
        <f>VLOOKUP(D558,'[1]NEW PRICE LIST'!$C$4:$D$1917,2,FALSE)</f>
        <v>70PCS/BAG</v>
      </c>
      <c r="J558" s="13" t="s">
        <v>301</v>
      </c>
      <c r="K558" s="32">
        <f>VLOOKUP(D558,'[1]NEW PRICE LIST'!$C$4:$H$1917,3,FALSE)</f>
        <v>144.75</v>
      </c>
      <c r="L558" s="13">
        <v>100</v>
      </c>
      <c r="M558" s="13">
        <v>0</v>
      </c>
      <c r="N558" s="13">
        <v>10</v>
      </c>
      <c r="O558" s="13" t="s">
        <v>3962</v>
      </c>
      <c r="P558" s="13" t="s">
        <v>3962</v>
      </c>
    </row>
    <row r="559" spans="1:16" x14ac:dyDescent="0.25">
      <c r="A559" s="14" t="str">
        <f t="shared" si="23"/>
        <v>AVT0000558</v>
      </c>
      <c r="B559" s="13" t="str">
        <f>VLOOKUP(D559,'SUPPLIER_ITEMS (1st Tools)'!C704:D2431,2,FALSE)</f>
        <v>1ST-358-703</v>
      </c>
      <c r="C559" s="14" t="s">
        <v>774</v>
      </c>
      <c r="D559" s="18" t="s">
        <v>1473</v>
      </c>
      <c r="F559" s="30" t="str">
        <f t="shared" si="22"/>
        <v>AV22071-128 GI UNION PATENTE 1-1/4"</v>
      </c>
      <c r="I559" s="31" t="str">
        <f>VLOOKUP(D559,'[1]NEW PRICE LIST'!$C$4:$D$1917,2,FALSE)</f>
        <v>40PCS/BAG</v>
      </c>
      <c r="J559" s="13" t="s">
        <v>301</v>
      </c>
      <c r="K559" s="32">
        <f>VLOOKUP(D559,'[1]NEW PRICE LIST'!$C$4:$H$1917,3,FALSE)</f>
        <v>206</v>
      </c>
      <c r="L559" s="13">
        <v>100</v>
      </c>
      <c r="M559" s="13">
        <v>0</v>
      </c>
      <c r="N559" s="13">
        <v>10</v>
      </c>
      <c r="O559" s="13" t="s">
        <v>3962</v>
      </c>
      <c r="P559" s="13" t="s">
        <v>3962</v>
      </c>
    </row>
    <row r="560" spans="1:16" x14ac:dyDescent="0.25">
      <c r="A560" s="14" t="str">
        <f t="shared" si="23"/>
        <v>AVT0000559</v>
      </c>
      <c r="B560" s="13" t="str">
        <f>VLOOKUP(D560,'SUPPLIER_ITEMS (1st Tools)'!C705:D2432,2,FALSE)</f>
        <v>1ST-358-704</v>
      </c>
      <c r="C560" s="14" t="s">
        <v>774</v>
      </c>
      <c r="D560" s="18" t="s">
        <v>1475</v>
      </c>
      <c r="F560" s="30" t="str">
        <f t="shared" si="22"/>
        <v>AV22071-129 GI UNION PATENTE 1-1/2"</v>
      </c>
      <c r="I560" s="31" t="str">
        <f>VLOOKUP(D560,'[1]NEW PRICE LIST'!$C$4:$D$1917,2,FALSE)</f>
        <v>35PCS/BAG</v>
      </c>
      <c r="J560" s="13" t="s">
        <v>301</v>
      </c>
      <c r="K560" s="32">
        <f>VLOOKUP(D560,'[1]NEW PRICE LIST'!$C$4:$H$1917,3,FALSE)</f>
        <v>273.5</v>
      </c>
      <c r="L560" s="13">
        <v>100</v>
      </c>
      <c r="M560" s="13">
        <v>0</v>
      </c>
      <c r="N560" s="13">
        <v>10</v>
      </c>
      <c r="O560" s="13" t="s">
        <v>3962</v>
      </c>
      <c r="P560" s="13" t="s">
        <v>3962</v>
      </c>
    </row>
    <row r="561" spans="1:16" x14ac:dyDescent="0.25">
      <c r="A561" s="14" t="str">
        <f t="shared" si="23"/>
        <v>AVT0000560</v>
      </c>
      <c r="B561" s="13" t="str">
        <f>VLOOKUP(D561,'SUPPLIER_ITEMS (1st Tools)'!C706:D2433,2,FALSE)</f>
        <v>1ST-358-705</v>
      </c>
      <c r="C561" s="14" t="s">
        <v>774</v>
      </c>
      <c r="D561" s="18" t="s">
        <v>1477</v>
      </c>
      <c r="F561" s="30" t="str">
        <f t="shared" si="22"/>
        <v>AV22071-130 GI UNION PATENTE 2"</v>
      </c>
      <c r="I561" s="31" t="str">
        <f>VLOOKUP(D561,'[1]NEW PRICE LIST'!$C$4:$D$1917,2,FALSE)</f>
        <v>25PCS/BAG</v>
      </c>
      <c r="J561" s="13" t="s">
        <v>301</v>
      </c>
      <c r="K561" s="32">
        <f>VLOOKUP(D561,'[1]NEW PRICE LIST'!$C$4:$H$1917,3,FALSE)</f>
        <v>408.5</v>
      </c>
      <c r="L561" s="13">
        <v>100</v>
      </c>
      <c r="M561" s="13">
        <v>0</v>
      </c>
      <c r="N561" s="13">
        <v>10</v>
      </c>
      <c r="O561" s="13" t="s">
        <v>3962</v>
      </c>
      <c r="P561" s="13" t="s">
        <v>3962</v>
      </c>
    </row>
    <row r="562" spans="1:16" x14ac:dyDescent="0.25">
      <c r="A562" s="14" t="str">
        <f t="shared" si="23"/>
        <v>AVT0000561</v>
      </c>
      <c r="B562" s="13" t="str">
        <f>VLOOKUP(D562,'SUPPLIER_ITEMS (1st Tools)'!C707:D2434,2,FALSE)</f>
        <v>1ST-358-706</v>
      </c>
      <c r="C562" s="14" t="s">
        <v>774</v>
      </c>
      <c r="D562" s="18" t="s">
        <v>1479</v>
      </c>
      <c r="F562" s="30" t="str">
        <f t="shared" ref="F562:F603" si="24">"AV"&amp;RIGHT(D562,LEN(D562)-2)</f>
        <v>AV22071- 131 GI UNION PATENTE 2-1/2"</v>
      </c>
      <c r="I562" s="31" t="str">
        <f>VLOOKUP(D562,'[1]NEW PRICE LIST'!$C$4:$D$1917,2,FALSE)</f>
        <v>12PCS/BAG</v>
      </c>
      <c r="J562" s="13" t="s">
        <v>301</v>
      </c>
      <c r="K562" s="32">
        <f>VLOOKUP(D562,'[1]NEW PRICE LIST'!$C$4:$H$1917,3,FALSE)</f>
        <v>771.75</v>
      </c>
      <c r="L562" s="13">
        <v>100</v>
      </c>
      <c r="M562" s="13">
        <v>0</v>
      </c>
      <c r="N562" s="13">
        <v>10</v>
      </c>
      <c r="O562" s="13" t="s">
        <v>3962</v>
      </c>
      <c r="P562" s="13" t="s">
        <v>3962</v>
      </c>
    </row>
    <row r="563" spans="1:16" x14ac:dyDescent="0.25">
      <c r="A563" s="14" t="str">
        <f t="shared" si="23"/>
        <v>AVT0000562</v>
      </c>
      <c r="B563" s="13" t="str">
        <f>VLOOKUP(D563,'SUPPLIER_ITEMS (1st Tools)'!C717:D2444,2,FALSE)</f>
        <v>1ST-358-716</v>
      </c>
      <c r="C563" s="14" t="s">
        <v>787</v>
      </c>
      <c r="D563" s="18" t="s">
        <v>1491</v>
      </c>
      <c r="F563" s="30" t="str">
        <f t="shared" si="24"/>
        <v>AV66271-1 POLOLOCK STEEL TAPE MEASURE 3M G-74</v>
      </c>
      <c r="I563" s="31" t="str">
        <f>VLOOKUP(D563,'[1]NEW PRICE LIST'!$C$4:$D$1917,2,FALSE)</f>
        <v>60PCS/CTN</v>
      </c>
      <c r="J563" s="13" t="s">
        <v>300</v>
      </c>
      <c r="K563" s="32">
        <f>VLOOKUP(D563,'[1]NEW PRICE LIST'!$C$4:$H$1917,3,FALSE)</f>
        <v>95</v>
      </c>
      <c r="L563" s="13">
        <v>100</v>
      </c>
      <c r="M563" s="13">
        <v>0</v>
      </c>
      <c r="N563" s="13">
        <v>0</v>
      </c>
    </row>
    <row r="564" spans="1:16" ht="26.4" x14ac:dyDescent="0.25">
      <c r="A564" s="14" t="str">
        <f t="shared" si="23"/>
        <v>AVT0000563</v>
      </c>
      <c r="B564" s="13" t="str">
        <f>VLOOKUP(D564,'SUPPLIER_ITEMS (1st Tools)'!C718:D2445,2,FALSE)</f>
        <v>1ST-358-717</v>
      </c>
      <c r="C564" s="14" t="s">
        <v>787</v>
      </c>
      <c r="D564" s="18" t="s">
        <v>1492</v>
      </c>
      <c r="F564" s="30" t="str">
        <f t="shared" si="24"/>
        <v>AV66271-2 (LT11001-5) POLONET STEEL TAPE MEASURE 5M G-74</v>
      </c>
      <c r="I564" s="31" t="str">
        <f>VLOOKUP(D564,'[1]NEW PRICE LIST'!$C$4:$D$1917,2,FALSE)</f>
        <v>48PCS/CTN</v>
      </c>
      <c r="J564" s="13" t="s">
        <v>300</v>
      </c>
      <c r="K564" s="32">
        <f>VLOOKUP(D564,'[1]NEW PRICE LIST'!$C$4:$H$1917,3,FALSE)</f>
        <v>135</v>
      </c>
      <c r="L564" s="13">
        <v>100</v>
      </c>
      <c r="M564" s="13">
        <v>0</v>
      </c>
      <c r="N564" s="13">
        <v>0</v>
      </c>
    </row>
    <row r="565" spans="1:16" ht="26.4" x14ac:dyDescent="0.25">
      <c r="A565" s="14" t="str">
        <f t="shared" si="23"/>
        <v>AVT0000564</v>
      </c>
      <c r="B565" s="13" t="str">
        <f>VLOOKUP(D565,'SUPPLIER_ITEMS (1st Tools)'!C719:D2446,2,FALSE)</f>
        <v>1ST-358-718</v>
      </c>
      <c r="C565" s="14" t="s">
        <v>787</v>
      </c>
      <c r="D565" s="18" t="s">
        <v>1493</v>
      </c>
      <c r="F565" s="30" t="str">
        <f t="shared" si="24"/>
        <v>AV66271-3 (LT11001-7.5) POLONET STEEL TAPE MEASURE 7.5 G-74</v>
      </c>
      <c r="I565" s="31" t="str">
        <f>VLOOKUP(D565,'[1]NEW PRICE LIST'!$C$4:$D$1917,2,FALSE)</f>
        <v>36PCS/CTN</v>
      </c>
      <c r="J565" s="13" t="s">
        <v>300</v>
      </c>
      <c r="K565" s="32">
        <f>VLOOKUP(D565,'[1]NEW PRICE LIST'!$C$4:$H$1917,3,FALSE)</f>
        <v>230</v>
      </c>
      <c r="L565" s="13">
        <v>100</v>
      </c>
      <c r="M565" s="13">
        <v>0</v>
      </c>
      <c r="N565" s="13">
        <v>0</v>
      </c>
    </row>
    <row r="566" spans="1:16" x14ac:dyDescent="0.25">
      <c r="A566" s="14" t="str">
        <f t="shared" si="23"/>
        <v>AVT0000565</v>
      </c>
      <c r="B566" s="13" t="str">
        <f>VLOOKUP(D566,'SUPPLIER_ITEMS (1st Tools)'!C723:D2450,2,FALSE)</f>
        <v>1ST-358-722</v>
      </c>
      <c r="C566" s="14" t="s">
        <v>785</v>
      </c>
      <c r="D566" s="18" t="s">
        <v>1498</v>
      </c>
      <c r="F566" s="30" t="str">
        <f t="shared" si="24"/>
        <v>AV66273-1 POLOLOCK STEEL TAPE MEASUREMENT 3M XC-97</v>
      </c>
      <c r="I566" s="31" t="str">
        <f>VLOOKUP(D566,'[1]NEW PRICE LIST'!$C$4:$D$1917,2,FALSE)</f>
        <v>180PCS/CTN</v>
      </c>
      <c r="J566" s="13" t="s">
        <v>300</v>
      </c>
      <c r="K566" s="32">
        <f>VLOOKUP(D566,'[1]NEW PRICE LIST'!$C$4:$H$1917,3,FALSE)</f>
        <v>75</v>
      </c>
      <c r="L566" s="13">
        <v>100</v>
      </c>
      <c r="M566" s="13">
        <v>0</v>
      </c>
      <c r="N566" s="13">
        <v>0</v>
      </c>
    </row>
    <row r="567" spans="1:16" x14ac:dyDescent="0.25">
      <c r="A567" s="14" t="str">
        <f t="shared" si="23"/>
        <v>AVT0000566</v>
      </c>
      <c r="B567" s="13" t="str">
        <f>VLOOKUP(D567,'SUPPLIER_ITEMS (1st Tools)'!C724:D2451,2,FALSE)</f>
        <v>1ST-358-723</v>
      </c>
      <c r="C567" s="14" t="s">
        <v>785</v>
      </c>
      <c r="D567" s="18" t="s">
        <v>1499</v>
      </c>
      <c r="F567" s="30" t="str">
        <f t="shared" si="24"/>
        <v>AV66273-2 POLOLOCK STEEL TAPE MEASUREMENT 5M XC-97</v>
      </c>
      <c r="I567" s="31" t="str">
        <f>VLOOKUP(D567,'[1]NEW PRICE LIST'!$C$4:$D$1917,2,FALSE)</f>
        <v>120PCS/CTN</v>
      </c>
      <c r="J567" s="13" t="s">
        <v>300</v>
      </c>
      <c r="K567" s="32">
        <f>VLOOKUP(D567,'[1]NEW PRICE LIST'!$C$4:$H$1917,3,FALSE)</f>
        <v>90</v>
      </c>
      <c r="L567" s="13">
        <v>100</v>
      </c>
      <c r="M567" s="13">
        <v>0</v>
      </c>
      <c r="N567" s="13">
        <v>0</v>
      </c>
    </row>
    <row r="568" spans="1:16" x14ac:dyDescent="0.25">
      <c r="A568" s="14" t="str">
        <f t="shared" si="23"/>
        <v>AVT0000567</v>
      </c>
      <c r="B568" s="13" t="str">
        <f>VLOOKUP(D568,'SUPPLIER_ITEMS (1st Tools)'!C725:D2452,2,FALSE)</f>
        <v>1ST-358-724</v>
      </c>
      <c r="C568" s="14" t="s">
        <v>785</v>
      </c>
      <c r="D568" s="18" t="s">
        <v>1500</v>
      </c>
      <c r="F568" s="30" t="str">
        <f t="shared" si="24"/>
        <v>AV66273-3 POLOLOCK STEEL TAPE MEASUREMET 7.5M XC-97</v>
      </c>
      <c r="I568" s="31" t="str">
        <f>VLOOKUP(D568,'[1]NEW PRICE LIST'!$C$4:$D$1917,2,FALSE)</f>
        <v>72PCS/CTN</v>
      </c>
      <c r="J568" s="13" t="s">
        <v>300</v>
      </c>
      <c r="K568" s="32">
        <f>VLOOKUP(D568,'[1]NEW PRICE LIST'!$C$4:$H$1917,3,FALSE)</f>
        <v>140</v>
      </c>
      <c r="L568" s="13">
        <v>100</v>
      </c>
      <c r="M568" s="13">
        <v>0</v>
      </c>
      <c r="N568" s="13">
        <v>0</v>
      </c>
    </row>
    <row r="569" spans="1:16" x14ac:dyDescent="0.25">
      <c r="A569" s="14" t="str">
        <f t="shared" si="23"/>
        <v>AVT0000568</v>
      </c>
      <c r="B569" s="13" t="str">
        <f>VLOOKUP(D569,'SUPPLIER_ITEMS (1st Tools)'!C726:D2453,2,FALSE)</f>
        <v>1ST-358-725</v>
      </c>
      <c r="C569" s="14" t="s">
        <v>197</v>
      </c>
      <c r="D569" s="18" t="s">
        <v>1501</v>
      </c>
      <c r="F569" s="30" t="str">
        <f t="shared" si="24"/>
        <v>AV66450 POLONET MINI LEVEL 9''-225MM</v>
      </c>
      <c r="I569" s="31" t="str">
        <f>VLOOKUP(D569,'[1]NEW PRICE LIST'!$C$4:$D$1917,2,FALSE)</f>
        <v>24PCS*4BOXES</v>
      </c>
      <c r="J569" s="13" t="s">
        <v>3620</v>
      </c>
      <c r="K569" s="32">
        <f>VLOOKUP(D569,'[1]NEW PRICE LIST'!$C$4:$H$1917,3,FALSE)</f>
        <v>110</v>
      </c>
      <c r="L569" s="13">
        <v>100</v>
      </c>
      <c r="M569" s="13">
        <v>0</v>
      </c>
      <c r="N569" s="13">
        <v>0</v>
      </c>
    </row>
    <row r="570" spans="1:16" ht="26.4" x14ac:dyDescent="0.25">
      <c r="A570" s="14" t="str">
        <f t="shared" si="23"/>
        <v>AVT0000569</v>
      </c>
      <c r="B570" s="13" t="str">
        <f>VLOOKUP(D570,'SUPPLIER_ITEMS (1st Tools)'!C727:D2454,2,FALSE)</f>
        <v>1ST-358-726</v>
      </c>
      <c r="C570" s="14" t="s">
        <v>196</v>
      </c>
      <c r="D570" s="18" t="s">
        <v>1502</v>
      </c>
      <c r="F570" s="30" t="str">
        <f t="shared" si="24"/>
        <v>AV66451-1 POLONET ALUMINUM LEVEL BAR 12''/300MM</v>
      </c>
      <c r="I570" s="31" t="str">
        <f>VLOOKUP(D570,'[1]NEW PRICE LIST'!$C$4:$D$1917,2,FALSE)</f>
        <v>12PCS*5BOXES
/CTN</v>
      </c>
      <c r="J570" s="13" t="s">
        <v>3620</v>
      </c>
      <c r="K570" s="32">
        <f>VLOOKUP(D570,'[1]NEW PRICE LIST'!$C$4:$H$1917,3,FALSE)</f>
        <v>110</v>
      </c>
      <c r="L570" s="13">
        <v>100</v>
      </c>
      <c r="M570" s="13">
        <v>0</v>
      </c>
      <c r="N570" s="13">
        <v>0</v>
      </c>
    </row>
    <row r="571" spans="1:16" ht="26.4" x14ac:dyDescent="0.25">
      <c r="A571" s="14" t="str">
        <f t="shared" si="23"/>
        <v>AVT0000570</v>
      </c>
      <c r="B571" s="13" t="str">
        <f>VLOOKUP(D571,'SUPPLIER_ITEMS (1st Tools)'!C728:D2455,2,FALSE)</f>
        <v>1ST-358-727</v>
      </c>
      <c r="C571" s="14" t="s">
        <v>196</v>
      </c>
      <c r="D571" s="18" t="s">
        <v>1504</v>
      </c>
      <c r="F571" s="30" t="str">
        <f t="shared" si="24"/>
        <v>AV66451-3 POLONET ALUMINUM LEVEL BAR 18''/450MM</v>
      </c>
      <c r="I571" s="31" t="str">
        <f>VLOOKUP(D571,'[1]NEW PRICE LIST'!$C$4:$D$1917,2,FALSE)</f>
        <v>12PCS*5BOXES
/CTN</v>
      </c>
      <c r="J571" s="13" t="s">
        <v>3620</v>
      </c>
      <c r="K571" s="32">
        <f>VLOOKUP(D571,'[1]NEW PRICE LIST'!$C$4:$H$1917,3,FALSE)</f>
        <v>130</v>
      </c>
      <c r="L571" s="13">
        <v>100</v>
      </c>
      <c r="M571" s="13">
        <v>0</v>
      </c>
      <c r="N571" s="13">
        <v>0</v>
      </c>
    </row>
    <row r="572" spans="1:16" x14ac:dyDescent="0.25">
      <c r="A572" s="14" t="str">
        <f t="shared" si="23"/>
        <v>AVT0000571</v>
      </c>
      <c r="B572" s="13" t="str">
        <f>VLOOKUP(D572,'SUPPLIER_ITEMS (1st Tools)'!C729:D2456,2,FALSE)</f>
        <v>1ST-358-728</v>
      </c>
      <c r="C572" s="14" t="s">
        <v>196</v>
      </c>
      <c r="D572" s="18" t="s">
        <v>1506</v>
      </c>
      <c r="F572" s="30" t="str">
        <f t="shared" si="24"/>
        <v>AV66451-4 POLONET ALUMINUM LEVEL BAR 24''/600MM</v>
      </c>
      <c r="I572" s="31" t="str">
        <f>VLOOKUP(D572,'[1]NEW PRICE LIST'!$C$4:$D$1917,2,FALSE)</f>
        <v>12PCS*5BOXES/ CTN</v>
      </c>
      <c r="J572" s="13" t="s">
        <v>3620</v>
      </c>
      <c r="K572" s="32">
        <f>VLOOKUP(D572,'[1]NEW PRICE LIST'!$C$4:$H$1917,3,FALSE)</f>
        <v>180</v>
      </c>
      <c r="L572" s="13">
        <v>100</v>
      </c>
      <c r="M572" s="13">
        <v>0</v>
      </c>
      <c r="N572" s="13">
        <v>0</v>
      </c>
    </row>
    <row r="573" spans="1:16" x14ac:dyDescent="0.25">
      <c r="A573" s="14" t="str">
        <f t="shared" si="23"/>
        <v>AVT0000572</v>
      </c>
      <c r="B573" s="13" t="str">
        <f>VLOOKUP(D573,'SUPPLIER_ITEMS (1st Tools)'!C730:D2457,2,FALSE)</f>
        <v>1ST-358-729</v>
      </c>
      <c r="C573" s="14" t="s">
        <v>196</v>
      </c>
      <c r="D573" s="18" t="s">
        <v>1507</v>
      </c>
      <c r="F573" s="30" t="str">
        <f t="shared" si="24"/>
        <v>AV66451-5 POLONET ALUMINUM LEVEL BAR 32''/800MM</v>
      </c>
      <c r="I573" s="31" t="str">
        <f>VLOOKUP(D573,'[1]NEW PRICE LIST'!$C$4:$D$1917,2,FALSE)</f>
        <v>12PCS*5BOXES/ CTN</v>
      </c>
      <c r="J573" s="13" t="s">
        <v>3620</v>
      </c>
      <c r="K573" s="32">
        <f>VLOOKUP(D573,'[1]NEW PRICE LIST'!$C$4:$H$1917,3,FALSE)</f>
        <v>210</v>
      </c>
      <c r="L573" s="13">
        <v>100</v>
      </c>
      <c r="M573" s="13">
        <v>0</v>
      </c>
      <c r="N573" s="13">
        <v>0</v>
      </c>
    </row>
    <row r="574" spans="1:16" x14ac:dyDescent="0.25">
      <c r="A574" s="14" t="str">
        <f t="shared" si="23"/>
        <v>AVT0000573</v>
      </c>
      <c r="B574" s="13" t="str">
        <f>VLOOKUP(D574,'SUPPLIER_ITEMS (1st Tools)'!C731:D2458,2,FALSE)</f>
        <v>1ST-358-730</v>
      </c>
      <c r="C574" s="14" t="s">
        <v>196</v>
      </c>
      <c r="D574" s="18" t="s">
        <v>1508</v>
      </c>
      <c r="F574" s="30" t="str">
        <f t="shared" si="24"/>
        <v>AV66451-6 POLONET ALUMINUM LEVEL BAR 40''/1000MM</v>
      </c>
      <c r="I574" s="31" t="str">
        <f>VLOOKUP(D574,'[1]NEW PRICE LIST'!$C$4:$D$1917,2,FALSE)</f>
        <v>12PCS*5BOXES/ CTN</v>
      </c>
      <c r="J574" s="13" t="s">
        <v>3620</v>
      </c>
      <c r="K574" s="32">
        <f>VLOOKUP(D574,'[1]NEW PRICE LIST'!$C$4:$H$1917,3,FALSE)</f>
        <v>250</v>
      </c>
      <c r="L574" s="13">
        <v>100</v>
      </c>
      <c r="M574" s="13">
        <v>0</v>
      </c>
      <c r="N574" s="13">
        <v>0</v>
      </c>
    </row>
    <row r="575" spans="1:16" x14ac:dyDescent="0.25">
      <c r="A575" s="14" t="str">
        <f t="shared" si="23"/>
        <v>AVT0000574</v>
      </c>
      <c r="B575" s="13" t="str">
        <f>VLOOKUP(D575,'SUPPLIER_ITEMS (1st Tools)'!C732:D2459,2,FALSE)</f>
        <v>1ST-358-731</v>
      </c>
      <c r="C575" s="14" t="s">
        <v>195</v>
      </c>
      <c r="D575" s="18" t="s">
        <v>1510</v>
      </c>
      <c r="F575" s="30" t="str">
        <f t="shared" si="24"/>
        <v>AV66470-1 TRI SQUARE 6"</v>
      </c>
      <c r="I575" s="31" t="str">
        <f>VLOOKUP(D575,'[1]NEW PRICE LIST'!$C$4:$D$1917,2,FALSE)</f>
        <v>12PCS*10BOX/ CTN</v>
      </c>
      <c r="J575" s="13" t="s">
        <v>3620</v>
      </c>
      <c r="K575" s="32">
        <f>VLOOKUP(D575,'[1]NEW PRICE LIST'!$C$4:$H$1917,3,FALSE)</f>
        <v>45</v>
      </c>
      <c r="L575" s="13">
        <v>100</v>
      </c>
      <c r="M575" s="13">
        <v>0</v>
      </c>
      <c r="N575" s="13">
        <v>0</v>
      </c>
    </row>
    <row r="576" spans="1:16" x14ac:dyDescent="0.25">
      <c r="A576" s="14" t="str">
        <f t="shared" si="23"/>
        <v>AVT0000575</v>
      </c>
      <c r="B576" s="13" t="str">
        <f>VLOOKUP(D576,'SUPPLIER_ITEMS (1st Tools)'!C733:D2460,2,FALSE)</f>
        <v>1ST-358-732</v>
      </c>
      <c r="C576" s="14" t="s">
        <v>195</v>
      </c>
      <c r="D576" s="18" t="s">
        <v>1511</v>
      </c>
      <c r="F576" s="30" t="str">
        <f t="shared" si="24"/>
        <v>AV66470-2 TRI SQUARE 8"</v>
      </c>
      <c r="I576" s="31" t="str">
        <f>VLOOKUP(D576,'[1]NEW PRICE LIST'!$C$4:$D$1917,2,FALSE)</f>
        <v>12PCS*10BOX/ CTN</v>
      </c>
      <c r="J576" s="13" t="s">
        <v>3620</v>
      </c>
      <c r="K576" s="32">
        <f>VLOOKUP(D576,'[1]NEW PRICE LIST'!$C$4:$H$1917,3,FALSE)</f>
        <v>50</v>
      </c>
      <c r="L576" s="13">
        <v>100</v>
      </c>
      <c r="M576" s="13">
        <v>0</v>
      </c>
      <c r="N576" s="13">
        <v>0</v>
      </c>
    </row>
    <row r="577" spans="1:14" x14ac:dyDescent="0.25">
      <c r="A577" s="14" t="str">
        <f t="shared" si="23"/>
        <v>AVT0000576</v>
      </c>
      <c r="B577" s="13" t="str">
        <f>VLOOKUP(D577,'SUPPLIER_ITEMS (1st Tools)'!C734:D2461,2,FALSE)</f>
        <v>1ST-358-733</v>
      </c>
      <c r="C577" s="14" t="s">
        <v>195</v>
      </c>
      <c r="D577" s="18" t="s">
        <v>1513</v>
      </c>
      <c r="F577" s="30" t="str">
        <f t="shared" si="24"/>
        <v>AV66470-3 TRI SQUARE 10"</v>
      </c>
      <c r="I577" s="31" t="str">
        <f>VLOOKUP(D577,'[1]NEW PRICE LIST'!$C$4:$D$1917,2,FALSE)</f>
        <v>12PCS*10BOX/ CTN</v>
      </c>
      <c r="J577" s="13" t="s">
        <v>3620</v>
      </c>
      <c r="K577" s="32">
        <f>VLOOKUP(D577,'[1]NEW PRICE LIST'!$C$4:$H$1917,3,FALSE)</f>
        <v>55</v>
      </c>
      <c r="L577" s="13">
        <v>100</v>
      </c>
      <c r="M577" s="13">
        <v>0</v>
      </c>
      <c r="N577" s="13">
        <v>0</v>
      </c>
    </row>
    <row r="578" spans="1:14" x14ac:dyDescent="0.25">
      <c r="A578" s="14" t="str">
        <f t="shared" si="23"/>
        <v>AVT0000577</v>
      </c>
      <c r="B578" s="13" t="str">
        <f>VLOOKUP(D578,'SUPPLIER_ITEMS (1st Tools)'!C735:D2462,2,FALSE)</f>
        <v>1ST-358-734</v>
      </c>
      <c r="C578" s="14" t="s">
        <v>195</v>
      </c>
      <c r="D578" s="18" t="s">
        <v>1514</v>
      </c>
      <c r="F578" s="30" t="str">
        <f t="shared" si="24"/>
        <v>AV66470-4 TRI SQUARE 12"</v>
      </c>
      <c r="I578" s="31" t="str">
        <f>VLOOKUP(D578,'[1]NEW PRICE LIST'!$C$4:$D$1917,2,FALSE)</f>
        <v>12PCS*10BOX/ CTN</v>
      </c>
      <c r="J578" s="13" t="s">
        <v>3620</v>
      </c>
      <c r="K578" s="32">
        <f>VLOOKUP(D578,'[1]NEW PRICE LIST'!$C$4:$H$1917,3,FALSE)</f>
        <v>65</v>
      </c>
      <c r="L578" s="13">
        <v>100</v>
      </c>
      <c r="M578" s="13">
        <v>0</v>
      </c>
      <c r="N578" s="13">
        <v>0</v>
      </c>
    </row>
    <row r="579" spans="1:14" x14ac:dyDescent="0.25">
      <c r="A579" s="14" t="str">
        <f t="shared" si="23"/>
        <v>AVT0000578</v>
      </c>
      <c r="B579" s="13" t="str">
        <f>VLOOKUP(D579,'SUPPLIER_ITEMS (1st Tools)'!C736:D2463,2,FALSE)</f>
        <v>1ST-358-735</v>
      </c>
      <c r="C579" s="14" t="s">
        <v>194</v>
      </c>
      <c r="D579" s="19" t="s">
        <v>1515</v>
      </c>
      <c r="F579" s="30" t="str">
        <f t="shared" si="24"/>
        <v>AV66110-1 2" SCRAPER W/HANDLE</v>
      </c>
      <c r="I579" s="31" t="str">
        <f>VLOOKUP(D579,'[1]NEW PRICE LIST'!$C$4:$D$1917,2,FALSE)</f>
        <v>240PCS/CTN</v>
      </c>
      <c r="J579" s="13" t="s">
        <v>300</v>
      </c>
      <c r="K579" s="32">
        <f>VLOOKUP(D579,'[1]NEW PRICE LIST'!$C$4:$H$1917,3,FALSE)</f>
        <v>40</v>
      </c>
      <c r="L579" s="13">
        <v>100</v>
      </c>
      <c r="M579" s="13">
        <v>0</v>
      </c>
      <c r="N579" s="13">
        <v>0</v>
      </c>
    </row>
    <row r="580" spans="1:14" x14ac:dyDescent="0.25">
      <c r="A580" s="14" t="str">
        <f t="shared" ref="A580:A643" si="25">"AVT"&amp;TEXT(RIGHT(A579,LEN(A579)-3)+1,"0000000")</f>
        <v>AVT0000579</v>
      </c>
      <c r="B580" s="13" t="str">
        <f>VLOOKUP(D580,'SUPPLIER_ITEMS (1st Tools)'!C737:D2464,2,FALSE)</f>
        <v>1ST-358-736</v>
      </c>
      <c r="C580" s="14" t="s">
        <v>194</v>
      </c>
      <c r="D580" s="19" t="s">
        <v>1517</v>
      </c>
      <c r="F580" s="30" t="str">
        <f t="shared" si="24"/>
        <v>AV66110-2 3" SCRAPER W/HANDLE</v>
      </c>
      <c r="I580" s="31" t="str">
        <f>VLOOKUP(D580,'[1]NEW PRICE LIST'!$C$4:$D$1917,2,FALSE)</f>
        <v>240PCS/CTN</v>
      </c>
      <c r="J580" s="13" t="s">
        <v>300</v>
      </c>
      <c r="K580" s="32">
        <f>VLOOKUP(D580,'[1]NEW PRICE LIST'!$C$4:$H$1917,3,FALSE)</f>
        <v>45</v>
      </c>
      <c r="L580" s="13">
        <v>100</v>
      </c>
      <c r="M580" s="13">
        <v>0</v>
      </c>
      <c r="N580" s="13">
        <v>0</v>
      </c>
    </row>
    <row r="581" spans="1:14" x14ac:dyDescent="0.25">
      <c r="A581" s="14" t="str">
        <f t="shared" si="25"/>
        <v>AVT0000580</v>
      </c>
      <c r="B581" s="13" t="str">
        <f>VLOOKUP(D581,'SUPPLIER_ITEMS (1st Tools)'!C738:D2465,2,FALSE)</f>
        <v>1ST-358-737</v>
      </c>
      <c r="C581" s="14" t="s">
        <v>194</v>
      </c>
      <c r="D581" s="19" t="s">
        <v>1518</v>
      </c>
      <c r="F581" s="30" t="str">
        <f t="shared" si="24"/>
        <v>AV66110-3 4" SCRAPER W/HANDLE</v>
      </c>
      <c r="I581" s="31" t="str">
        <f>VLOOKUP(D581,'[1]NEW PRICE LIST'!$C$4:$D$1917,2,FALSE)</f>
        <v>240PCS/CTN</v>
      </c>
      <c r="J581" s="13" t="s">
        <v>300</v>
      </c>
      <c r="K581" s="32">
        <f>VLOOKUP(D581,'[1]NEW PRICE LIST'!$C$4:$H$1917,3,FALSE)</f>
        <v>45</v>
      </c>
      <c r="L581" s="13">
        <v>100</v>
      </c>
      <c r="M581" s="13">
        <v>0</v>
      </c>
      <c r="N581" s="13">
        <v>0</v>
      </c>
    </row>
    <row r="582" spans="1:14" x14ac:dyDescent="0.25">
      <c r="A582" s="14" t="str">
        <f t="shared" si="25"/>
        <v>AVT0000581</v>
      </c>
      <c r="B582" s="13" t="str">
        <f>VLOOKUP(D582,'SUPPLIER_ITEMS (1st Tools)'!C739:D2466,2,FALSE)</f>
        <v>1ST-358-738</v>
      </c>
      <c r="C582" s="14" t="s">
        <v>194</v>
      </c>
      <c r="D582" s="19" t="s">
        <v>1519</v>
      </c>
      <c r="F582" s="30" t="str">
        <f t="shared" si="24"/>
        <v>AV66110-4 5" SCRAPER W/HANDLE</v>
      </c>
      <c r="I582" s="31" t="str">
        <f>VLOOKUP(D582,'[1]NEW PRICE LIST'!$C$4:$D$1917,2,FALSE)</f>
        <v>240PCS/CTN</v>
      </c>
      <c r="J582" s="13" t="s">
        <v>300</v>
      </c>
      <c r="K582" s="32">
        <f>VLOOKUP(D582,'[1]NEW PRICE LIST'!$C$4:$H$1917,3,FALSE)</f>
        <v>50</v>
      </c>
      <c r="L582" s="13">
        <v>100</v>
      </c>
      <c r="M582" s="13">
        <v>0</v>
      </c>
      <c r="N582" s="13">
        <v>0</v>
      </c>
    </row>
    <row r="583" spans="1:14" x14ac:dyDescent="0.25">
      <c r="A583" s="14" t="str">
        <f t="shared" si="25"/>
        <v>AVT0000582</v>
      </c>
      <c r="B583" s="13" t="str">
        <f>VLOOKUP(D583,'SUPPLIER_ITEMS (1st Tools)'!C740:D2467,2,FALSE)</f>
        <v>1ST-358-739</v>
      </c>
      <c r="C583" s="14" t="s">
        <v>194</v>
      </c>
      <c r="D583" s="19" t="s">
        <v>1520</v>
      </c>
      <c r="F583" s="30" t="str">
        <f t="shared" si="24"/>
        <v>AV66110-5 6" SCRAPER W/HANDLE</v>
      </c>
      <c r="I583" s="31" t="str">
        <f>VLOOKUP(D583,'[1]NEW PRICE LIST'!$C$4:$D$1917,2,FALSE)</f>
        <v>240PCS/CTN</v>
      </c>
      <c r="J583" s="13" t="s">
        <v>300</v>
      </c>
      <c r="K583" s="32">
        <f>VLOOKUP(D583,'[1]NEW PRICE LIST'!$C$4:$H$1917,3,FALSE)</f>
        <v>60</v>
      </c>
      <c r="L583" s="13">
        <v>100</v>
      </c>
      <c r="M583" s="13">
        <v>0</v>
      </c>
      <c r="N583" s="13">
        <v>0</v>
      </c>
    </row>
    <row r="584" spans="1:14" ht="26.4" x14ac:dyDescent="0.25">
      <c r="A584" s="14" t="str">
        <f t="shared" si="25"/>
        <v>AVT0000583</v>
      </c>
      <c r="B584" s="13" t="str">
        <f>VLOOKUP(D584,'SUPPLIER_ITEMS (1st Tools)'!C741:D2468,2,FALSE)</f>
        <v>1ST-358-740</v>
      </c>
      <c r="C584" s="14" t="s">
        <v>193</v>
      </c>
      <c r="D584" s="18" t="s">
        <v>1522</v>
      </c>
      <c r="F584" s="30" t="str">
        <f t="shared" si="24"/>
        <v>AV66120-1 12OZ POLONET CLAW HAMMER W/WOODEN HANDLE</v>
      </c>
      <c r="I584" s="31" t="str">
        <f>VLOOKUP(D584,'[1]NEW PRICE LIST'!$C$4:$D$1917,2,FALSE)</f>
        <v>6PCS*6BOX/CTN (36PCS/CTN)</v>
      </c>
      <c r="J584" s="13" t="s">
        <v>3620</v>
      </c>
      <c r="K584" s="32">
        <f>VLOOKUP(D584,'[1]NEW PRICE LIST'!$C$4:$H$1917,3,FALSE)</f>
        <v>150</v>
      </c>
      <c r="L584" s="13">
        <v>100</v>
      </c>
      <c r="M584" s="13">
        <v>0</v>
      </c>
      <c r="N584" s="13">
        <v>0</v>
      </c>
    </row>
    <row r="585" spans="1:14" ht="26.4" x14ac:dyDescent="0.25">
      <c r="A585" s="14" t="str">
        <f t="shared" si="25"/>
        <v>AVT0000584</v>
      </c>
      <c r="B585" s="13" t="str">
        <f>VLOOKUP(D585,'SUPPLIER_ITEMS (1st Tools)'!C742:D2469,2,FALSE)</f>
        <v>1ST-358-741</v>
      </c>
      <c r="C585" s="14" t="s">
        <v>193</v>
      </c>
      <c r="D585" s="18" t="s">
        <v>1523</v>
      </c>
      <c r="F585" s="30" t="str">
        <f t="shared" si="24"/>
        <v>AV66120-2 16OZ POLONET CLAW HAMMER W/WOODEN HANDLE</v>
      </c>
      <c r="I585" s="31" t="str">
        <f>VLOOKUP(D585,'[1]NEW PRICE LIST'!$C$4:$D$1917,2,FALSE)</f>
        <v>6PCS*4BOX/CTN (24PCS/CTN)</v>
      </c>
      <c r="J585" s="13" t="s">
        <v>3620</v>
      </c>
      <c r="K585" s="32">
        <f>VLOOKUP(D585,'[1]NEW PRICE LIST'!$C$4:$H$1917,3,FALSE)</f>
        <v>170</v>
      </c>
      <c r="L585" s="13">
        <v>100</v>
      </c>
      <c r="M585" s="13">
        <v>0</v>
      </c>
      <c r="N585" s="13">
        <v>0</v>
      </c>
    </row>
    <row r="586" spans="1:14" ht="26.4" x14ac:dyDescent="0.25">
      <c r="A586" s="14" t="str">
        <f t="shared" si="25"/>
        <v>AVT0000585</v>
      </c>
      <c r="B586" s="13" t="str">
        <f>VLOOKUP(D586,'SUPPLIER_ITEMS (1st Tools)'!C743:D2470,2,FALSE)</f>
        <v>1ST-358-742</v>
      </c>
      <c r="C586" s="14" t="s">
        <v>193</v>
      </c>
      <c r="D586" s="18" t="s">
        <v>1524</v>
      </c>
      <c r="F586" s="30" t="str">
        <f t="shared" si="24"/>
        <v>AV66121-1 12OZ POLONET CLAW HAMMER W/FIBERGLASS HANDLE</v>
      </c>
      <c r="I586" s="31" t="str">
        <f>VLOOKUP(D586,'[1]NEW PRICE LIST'!$C$4:$D$1917,2,FALSE)</f>
        <v>6PCS*6BOX/CTN (36PCS/CTN)</v>
      </c>
      <c r="J586" s="13" t="s">
        <v>3620</v>
      </c>
      <c r="K586" s="32">
        <f>VLOOKUP(D586,'[1]NEW PRICE LIST'!$C$4:$H$1917,3,FALSE)</f>
        <v>180</v>
      </c>
      <c r="L586" s="13">
        <v>100</v>
      </c>
      <c r="M586" s="13">
        <v>0</v>
      </c>
      <c r="N586" s="13">
        <v>0</v>
      </c>
    </row>
    <row r="587" spans="1:14" ht="26.4" x14ac:dyDescent="0.25">
      <c r="A587" s="14" t="str">
        <f t="shared" si="25"/>
        <v>AVT0000586</v>
      </c>
      <c r="B587" s="13" t="str">
        <f>VLOOKUP(D587,'SUPPLIER_ITEMS (1st Tools)'!C744:D2471,2,FALSE)</f>
        <v>1ST-358-743</v>
      </c>
      <c r="C587" s="14" t="s">
        <v>193</v>
      </c>
      <c r="D587" s="18" t="s">
        <v>1525</v>
      </c>
      <c r="F587" s="30" t="str">
        <f t="shared" si="24"/>
        <v>AV66121-2 16OZ POLONET CLAW HAMMER W/ FIBERGLASS HANDLE</v>
      </c>
      <c r="I587" s="31" t="str">
        <f>VLOOKUP(D587,'[1]NEW PRICE LIST'!$C$4:$D$1917,2,FALSE)</f>
        <v>6PCS*4BOX/CTN (24PCS/CTN)</v>
      </c>
      <c r="J587" s="13" t="s">
        <v>3620</v>
      </c>
      <c r="K587" s="32">
        <f>VLOOKUP(D587,'[1]NEW PRICE LIST'!$C$4:$H$1917,3,FALSE)</f>
        <v>190</v>
      </c>
      <c r="L587" s="13">
        <v>100</v>
      </c>
      <c r="M587" s="13">
        <v>0</v>
      </c>
      <c r="N587" s="13">
        <v>0</v>
      </c>
    </row>
    <row r="588" spans="1:14" ht="26.4" x14ac:dyDescent="0.25">
      <c r="A588" s="14" t="str">
        <f t="shared" si="25"/>
        <v>AVT0000587</v>
      </c>
      <c r="B588" s="13" t="str">
        <f>VLOOKUP(D588,'SUPPLIER_ITEMS (1st Tools)'!C751:D2478,2,FALSE)</f>
        <v>1ST-358-750</v>
      </c>
      <c r="C588" s="14" t="s">
        <v>190</v>
      </c>
      <c r="D588" s="18" t="s">
        <v>2723</v>
      </c>
      <c r="F588" s="30" t="str">
        <f t="shared" si="24"/>
        <v>AV66130-1 POLONET WOOD HANDLE ROUND POINT SHOVEL #518</v>
      </c>
      <c r="I588" s="31" t="str">
        <f>VLOOKUP(D588,'[1]NEW PRICE LIST'!$C$4:$D$1917,2,FALSE)</f>
        <v>12PCS/SACK</v>
      </c>
      <c r="J588" s="13" t="s">
        <v>303</v>
      </c>
      <c r="K588" s="32">
        <f>VLOOKUP(D588,'[1]NEW PRICE LIST'!$C$4:$H$1917,3,FALSE)</f>
        <v>150</v>
      </c>
      <c r="L588" s="13">
        <v>100</v>
      </c>
      <c r="M588" s="13">
        <v>0</v>
      </c>
      <c r="N588" s="13">
        <v>0</v>
      </c>
    </row>
    <row r="589" spans="1:14" x14ac:dyDescent="0.25">
      <c r="A589" s="14" t="str">
        <f t="shared" si="25"/>
        <v>AVT0000588</v>
      </c>
      <c r="B589" s="13" t="str">
        <f>VLOOKUP(D589,'SUPPLIER_ITEMS (1st Tools)'!C752:D2479,2,FALSE)</f>
        <v>1ST-358-751</v>
      </c>
      <c r="C589" s="14" t="s">
        <v>190</v>
      </c>
      <c r="D589" s="18" t="s">
        <v>2724</v>
      </c>
      <c r="F589" s="30" t="str">
        <f t="shared" si="24"/>
        <v>AV66130-2 POLONET WOOD HANDLE SQUARE SHOVEL #501</v>
      </c>
      <c r="I589" s="31" t="str">
        <f>VLOOKUP(D589,'[1]NEW PRICE LIST'!$C$4:$D$1917,2,FALSE)</f>
        <v>12PCS/SACK</v>
      </c>
      <c r="J589" s="13" t="s">
        <v>303</v>
      </c>
      <c r="K589" s="32">
        <f>VLOOKUP(D589,'[1]NEW PRICE LIST'!$C$4:$H$1917,3,FALSE)</f>
        <v>150</v>
      </c>
      <c r="L589" s="13">
        <v>100</v>
      </c>
      <c r="M589" s="13">
        <v>0</v>
      </c>
      <c r="N589" s="13">
        <v>0</v>
      </c>
    </row>
    <row r="590" spans="1:14" x14ac:dyDescent="0.25">
      <c r="A590" s="14" t="str">
        <f t="shared" si="25"/>
        <v>AVT0000589</v>
      </c>
      <c r="B590" s="13" t="str">
        <f>VLOOKUP(D590,'SUPPLIER_ITEMS (1st Tools)'!C753:D2480,2,FALSE)</f>
        <v>1ST-358-752</v>
      </c>
      <c r="C590" s="14" t="s">
        <v>190</v>
      </c>
      <c r="D590" s="18" t="s">
        <v>2725</v>
      </c>
      <c r="F590" s="30" t="str">
        <f t="shared" si="24"/>
        <v>AV66131-1 POLONET ROUND POINT ALL STEEL SHOVEL #518</v>
      </c>
      <c r="I590" s="31" t="str">
        <f>VLOOKUP(D590,'[1]NEW PRICE LIST'!$C$4:$D$1917,2,FALSE)</f>
        <v>12PCS/SACK</v>
      </c>
      <c r="J590" s="13" t="s">
        <v>303</v>
      </c>
      <c r="K590" s="32">
        <f>VLOOKUP(D590,'[1]NEW PRICE LIST'!$C$4:$H$1917,3,FALSE)</f>
        <v>185</v>
      </c>
      <c r="L590" s="13">
        <v>100</v>
      </c>
      <c r="M590" s="13">
        <v>0</v>
      </c>
      <c r="N590" s="13">
        <v>0</v>
      </c>
    </row>
    <row r="591" spans="1:14" x14ac:dyDescent="0.25">
      <c r="A591" s="14" t="str">
        <f t="shared" si="25"/>
        <v>AVT0000590</v>
      </c>
      <c r="B591" s="13" t="str">
        <f>VLOOKUP(D591,'SUPPLIER_ITEMS (1st Tools)'!C754:D2481,2,FALSE)</f>
        <v>1ST-358-753</v>
      </c>
      <c r="C591" s="14" t="s">
        <v>190</v>
      </c>
      <c r="D591" s="18" t="s">
        <v>2726</v>
      </c>
      <c r="F591" s="30" t="str">
        <f t="shared" si="24"/>
        <v>AV66131-2 POLONET SQUARE ALL STEEL SHOVEL #501</v>
      </c>
      <c r="I591" s="31" t="str">
        <f>VLOOKUP(D591,'[1]NEW PRICE LIST'!$C$4:$D$1917,2,FALSE)</f>
        <v>12PCS/SACK</v>
      </c>
      <c r="J591" s="13" t="s">
        <v>303</v>
      </c>
      <c r="K591" s="32">
        <f>VLOOKUP(D591,'[1]NEW PRICE LIST'!$C$4:$H$1917,3,FALSE)</f>
        <v>185</v>
      </c>
      <c r="L591" s="13">
        <v>100</v>
      </c>
      <c r="M591" s="13">
        <v>0</v>
      </c>
      <c r="N591" s="13">
        <v>0</v>
      </c>
    </row>
    <row r="592" spans="1:14" x14ac:dyDescent="0.25">
      <c r="A592" s="14" t="str">
        <f t="shared" si="25"/>
        <v>AVT0000591</v>
      </c>
      <c r="B592" s="13" t="str">
        <f>VLOOKUP(D592,'SUPPLIER_ITEMS (1st Tools)'!C755:D2482,2,FALSE)</f>
        <v>1ST-358-754</v>
      </c>
      <c r="C592" s="14" t="s">
        <v>190</v>
      </c>
      <c r="D592" s="19" t="s">
        <v>2727</v>
      </c>
      <c r="F592" s="30" t="str">
        <f t="shared" si="24"/>
        <v>AV66131-3 POLONET STEEL SCOOP SHOVEL</v>
      </c>
      <c r="I592" s="31" t="str">
        <f>VLOOKUP(D592,'[1]NEW PRICE LIST'!$C$4:$D$1917,2,FALSE)</f>
        <v>6PCS/SACK</v>
      </c>
      <c r="J592" s="13" t="s">
        <v>303</v>
      </c>
      <c r="K592" s="32">
        <f>VLOOKUP(D592,'[1]NEW PRICE LIST'!$C$4:$H$1917,3,FALSE)</f>
        <v>310</v>
      </c>
      <c r="L592" s="13">
        <v>100</v>
      </c>
      <c r="M592" s="13">
        <v>0</v>
      </c>
      <c r="N592" s="13">
        <v>0</v>
      </c>
    </row>
    <row r="593" spans="1:14" x14ac:dyDescent="0.25">
      <c r="A593" s="14" t="str">
        <f t="shared" si="25"/>
        <v>AVT0000592</v>
      </c>
      <c r="B593" s="13" t="str">
        <f>VLOOKUP(D593,'SUPPLIER_ITEMS (1st Tools)'!C756:D2483,2,FALSE)</f>
        <v>1ST-358-755</v>
      </c>
      <c r="C593" s="14" t="s">
        <v>190</v>
      </c>
      <c r="D593" s="18" t="s">
        <v>2728</v>
      </c>
      <c r="F593" s="30" t="str">
        <f t="shared" si="24"/>
        <v>AV66131-4 POLONET SPADE ALL STEEL SHOVEL #512</v>
      </c>
      <c r="I593" s="31" t="str">
        <f>VLOOKUP(D593,'[1]NEW PRICE LIST'!$C$4:$D$1917,2,FALSE)</f>
        <v>12PCS/SACK</v>
      </c>
      <c r="J593" s="13" t="s">
        <v>303</v>
      </c>
      <c r="K593" s="32">
        <f>VLOOKUP(D593,'[1]NEW PRICE LIST'!$C$4:$H$1917,3,FALSE)</f>
        <v>185</v>
      </c>
      <c r="L593" s="13">
        <v>100</v>
      </c>
      <c r="M593" s="13">
        <v>0</v>
      </c>
      <c r="N593" s="13">
        <v>0</v>
      </c>
    </row>
    <row r="594" spans="1:14" x14ac:dyDescent="0.25">
      <c r="A594" s="14" t="str">
        <f t="shared" si="25"/>
        <v>AVT0000593</v>
      </c>
      <c r="B594" s="13" t="str">
        <f>VLOOKUP(D594,'SUPPLIER_ITEMS (1st Tools)'!C760:D2487,2,FALSE)</f>
        <v>1ST-358-759</v>
      </c>
      <c r="C594" s="14" t="s">
        <v>188</v>
      </c>
      <c r="D594" s="18" t="s">
        <v>1542</v>
      </c>
      <c r="F594" s="30" t="str">
        <f t="shared" si="24"/>
        <v>AV66140-1 PICK MATTOCK BLADE ONLY</v>
      </c>
      <c r="I594" s="31" t="str">
        <f>VLOOKUP(D594,'[1]NEW PRICE LIST'!$C$4:$D$1917,2,FALSE)</f>
        <v>6PCS/SACK</v>
      </c>
      <c r="J594" s="13" t="s">
        <v>303</v>
      </c>
      <c r="K594" s="32">
        <f>VLOOKUP(D594,'[1]NEW PRICE LIST'!$C$4:$H$1917,3,FALSE)</f>
        <v>240</v>
      </c>
      <c r="L594" s="13">
        <v>100</v>
      </c>
      <c r="M594" s="13">
        <v>0</v>
      </c>
      <c r="N594" s="13">
        <v>0</v>
      </c>
    </row>
    <row r="595" spans="1:14" ht="26.4" x14ac:dyDescent="0.25">
      <c r="A595" s="14" t="str">
        <f t="shared" si="25"/>
        <v>AVT0000594</v>
      </c>
      <c r="B595" s="13" t="str">
        <f>VLOOKUP(D595,'SUPPLIER_ITEMS (1st Tools)'!C761:D2488,2,FALSE)</f>
        <v>1ST-358-760</v>
      </c>
      <c r="C595" s="14" t="s">
        <v>188</v>
      </c>
      <c r="D595" s="18" t="s">
        <v>1544</v>
      </c>
      <c r="F595" s="30" t="str">
        <f t="shared" si="24"/>
        <v>AV66140-2 POLONET PICK MATTOCK WOODEN HANDLE ONLY</v>
      </c>
      <c r="I595" s="31" t="str">
        <f>VLOOKUP(D595,'[1]NEW PRICE LIST'!$C$4:$D$1917,2,FALSE)</f>
        <v>24PCS/SACK</v>
      </c>
      <c r="J595" s="13" t="s">
        <v>303</v>
      </c>
      <c r="K595" s="32">
        <f>VLOOKUP(D595,'[1]NEW PRICE LIST'!$C$4:$H$1917,3,FALSE)</f>
        <v>160</v>
      </c>
      <c r="L595" s="13">
        <v>100</v>
      </c>
      <c r="M595" s="13">
        <v>0</v>
      </c>
      <c r="N595" s="13">
        <v>0</v>
      </c>
    </row>
    <row r="596" spans="1:14" x14ac:dyDescent="0.25">
      <c r="A596" s="14" t="str">
        <f t="shared" si="25"/>
        <v>AVT0000595</v>
      </c>
      <c r="B596" s="13" t="str">
        <f>VLOOKUP(D596,'SUPPLIER_ITEMS (1st Tools)'!C762:D2489,2,FALSE)</f>
        <v>1ST-358-761</v>
      </c>
      <c r="C596" s="14" t="s">
        <v>187</v>
      </c>
      <c r="D596" s="19" t="s">
        <v>1545</v>
      </c>
      <c r="F596" s="30" t="str">
        <f t="shared" si="24"/>
        <v>AV66150-1 WOODEN HANDLE FOR HOE</v>
      </c>
      <c r="I596" s="31" t="str">
        <f>VLOOKUP(D596,'[1]NEW PRICE LIST'!$C$4:$D$1917,2,FALSE)</f>
        <v>24PCS/SACK</v>
      </c>
      <c r="J596" s="13" t="s">
        <v>303</v>
      </c>
      <c r="K596" s="32">
        <f>VLOOKUP(D596,'[1]NEW PRICE LIST'!$C$4:$H$1917,3,FALSE)</f>
        <v>145</v>
      </c>
      <c r="L596" s="13">
        <v>100</v>
      </c>
      <c r="M596" s="13">
        <v>0</v>
      </c>
      <c r="N596" s="13">
        <v>0</v>
      </c>
    </row>
    <row r="597" spans="1:14" x14ac:dyDescent="0.25">
      <c r="A597" s="14" t="str">
        <f t="shared" si="25"/>
        <v>AVT0000596</v>
      </c>
      <c r="B597" s="13" t="str">
        <f>VLOOKUP(D597,'SUPPLIER_ITEMS (1st Tools)'!C763:D2490,2,FALSE)</f>
        <v>1ST-358-762</v>
      </c>
      <c r="C597" s="14" t="s">
        <v>187</v>
      </c>
      <c r="D597" s="19" t="s">
        <v>1546</v>
      </c>
      <c r="F597" s="30" t="str">
        <f t="shared" si="24"/>
        <v>AV66150-2 POLONET HOE 2LBS</v>
      </c>
      <c r="I597" s="31" t="str">
        <f>VLOOKUP(D597,'[1]NEW PRICE LIST'!$C$4:$D$1917,2,FALSE)</f>
        <v>24PCS/SACK</v>
      </c>
      <c r="J597" s="13" t="s">
        <v>303</v>
      </c>
      <c r="K597" s="32">
        <f>VLOOKUP(D597,'[1]NEW PRICE LIST'!$C$4:$H$1917,3,FALSE)</f>
        <v>155</v>
      </c>
      <c r="L597" s="13">
        <v>100</v>
      </c>
      <c r="M597" s="13">
        <v>0</v>
      </c>
      <c r="N597" s="13">
        <v>0</v>
      </c>
    </row>
    <row r="598" spans="1:14" x14ac:dyDescent="0.25">
      <c r="A598" s="14" t="str">
        <f t="shared" si="25"/>
        <v>AVT0000597</v>
      </c>
      <c r="B598" s="13" t="str">
        <f>VLOOKUP(D598,'SUPPLIER_ITEMS (1st Tools)'!C764:D2491,2,FALSE)</f>
        <v>1ST-358-763</v>
      </c>
      <c r="C598" s="14" t="s">
        <v>187</v>
      </c>
      <c r="D598" s="18" t="s">
        <v>1547</v>
      </c>
      <c r="F598" s="30" t="str">
        <f t="shared" si="24"/>
        <v>AV66150-3 POLONET HOE 2-1/4 LBS</v>
      </c>
      <c r="I598" s="31" t="str">
        <f>VLOOKUP(D598,'[1]NEW PRICE LIST'!$C$4:$D$1917,2,FALSE)</f>
        <v>24PCS/SACK</v>
      </c>
      <c r="J598" s="13" t="s">
        <v>303</v>
      </c>
      <c r="K598" s="32">
        <f>VLOOKUP(D598,'[1]NEW PRICE LIST'!$C$4:$H$1917,3,FALSE)</f>
        <v>155</v>
      </c>
      <c r="L598" s="13">
        <v>100</v>
      </c>
      <c r="M598" s="13">
        <v>0</v>
      </c>
      <c r="N598" s="13">
        <v>0</v>
      </c>
    </row>
    <row r="599" spans="1:14" x14ac:dyDescent="0.25">
      <c r="A599" s="14" t="str">
        <f t="shared" si="25"/>
        <v>AVT0000598</v>
      </c>
      <c r="B599" s="13" t="str">
        <f>VLOOKUP(D599,'SUPPLIER_ITEMS (1st Tools)'!C765:D2492,2,FALSE)</f>
        <v>1ST-358-764</v>
      </c>
      <c r="C599" s="14" t="s">
        <v>187</v>
      </c>
      <c r="D599" s="19" t="s">
        <v>1548</v>
      </c>
      <c r="F599" s="30" t="str">
        <f t="shared" si="24"/>
        <v>AV66150-4 POLONET HOE 2-1/2 LBS</v>
      </c>
      <c r="I599" s="31" t="str">
        <f>VLOOKUP(D599,'[1]NEW PRICE LIST'!$C$4:$D$1917,2,FALSE)</f>
        <v>24PCS/SACK</v>
      </c>
      <c r="J599" s="13" t="s">
        <v>303</v>
      </c>
      <c r="K599" s="32">
        <f>VLOOKUP(D599,'[1]NEW PRICE LIST'!$C$4:$H$1917,3,FALSE)</f>
        <v>155</v>
      </c>
      <c r="L599" s="13">
        <v>100</v>
      </c>
      <c r="M599" s="13">
        <v>0</v>
      </c>
      <c r="N599" s="13">
        <v>0</v>
      </c>
    </row>
    <row r="600" spans="1:14" x14ac:dyDescent="0.25">
      <c r="A600" s="14" t="str">
        <f t="shared" si="25"/>
        <v>AVT0000599</v>
      </c>
      <c r="B600" s="13" t="str">
        <f>VLOOKUP(D600,'SUPPLIER_ITEMS (1st Tools)'!C766:D2493,2,FALSE)</f>
        <v>1ST-358-765</v>
      </c>
      <c r="C600" s="14" t="s">
        <v>186</v>
      </c>
      <c r="D600" s="18" t="s">
        <v>3799</v>
      </c>
      <c r="F600" s="30" t="str">
        <f t="shared" si="24"/>
        <v>AV66160-1 POLOLOCK STEEL BRUSH GOLD W/HANDLE 5X15</v>
      </c>
      <c r="I600" s="31" t="str">
        <f>VLOOKUP(D600,'[1]NEW PRICE LIST'!$C$4:$D$1917,2,FALSE)</f>
        <v>120PCS/CTN</v>
      </c>
      <c r="J600" s="13" t="s">
        <v>300</v>
      </c>
      <c r="K600" s="32">
        <f>VLOOKUP(D600,'[1]NEW PRICE LIST'!$C$4:$H$1917,3,FALSE)</f>
        <v>35</v>
      </c>
      <c r="L600" s="13">
        <v>100</v>
      </c>
      <c r="M600" s="13">
        <v>0</v>
      </c>
      <c r="N600" s="13">
        <v>0</v>
      </c>
    </row>
    <row r="601" spans="1:14" x14ac:dyDescent="0.25">
      <c r="A601" s="14" t="str">
        <f t="shared" si="25"/>
        <v>AVT0000600</v>
      </c>
      <c r="B601" s="13" t="str">
        <f>VLOOKUP(D601,'SUPPLIER_ITEMS (1st Tools)'!C767:D2494,2,FALSE)</f>
        <v>1ST-358-766</v>
      </c>
      <c r="C601" s="14" t="s">
        <v>186</v>
      </c>
      <c r="D601" s="18" t="s">
        <v>1550</v>
      </c>
      <c r="F601" s="30" t="str">
        <f t="shared" si="24"/>
        <v>AV66160-2 POLOLOCK STEEL BRUSH SILVER W/HANDLE 4X14</v>
      </c>
      <c r="I601" s="31" t="str">
        <f>VLOOKUP(D601,'[1]NEW PRICE LIST'!$C$4:$D$1917,2,FALSE)</f>
        <v>108PCS/CTN</v>
      </c>
      <c r="J601" s="13" t="s">
        <v>300</v>
      </c>
      <c r="K601" s="32">
        <f>VLOOKUP(D601,'[1]NEW PRICE LIST'!$C$4:$H$1917,3,FALSE)</f>
        <v>45</v>
      </c>
      <c r="L601" s="13">
        <v>100</v>
      </c>
      <c r="M601" s="13">
        <v>0</v>
      </c>
      <c r="N601" s="13">
        <v>0</v>
      </c>
    </row>
    <row r="602" spans="1:14" x14ac:dyDescent="0.25">
      <c r="A602" s="14" t="str">
        <f t="shared" si="25"/>
        <v>AVT0000601</v>
      </c>
      <c r="B602" s="13" t="str">
        <f>VLOOKUP(D602,'SUPPLIER_ITEMS (1st Tools)'!C768:D2495,2,FALSE)</f>
        <v>1ST-358-767</v>
      </c>
      <c r="C602" s="14" t="s">
        <v>186</v>
      </c>
      <c r="D602" s="18" t="s">
        <v>1551</v>
      </c>
      <c r="F602" s="30" t="str">
        <f t="shared" si="24"/>
        <v>AV66161-1 (LT22018) 4R*16R*24 WIRE BRUSH WOOD HANDLE</v>
      </c>
      <c r="I602" s="31" t="str">
        <f>VLOOKUP(D602,'[1]NEW PRICE LIST'!$C$4:$D$1917,2,FALSE)</f>
        <v>120PCS/CTN</v>
      </c>
      <c r="J602" s="13" t="s">
        <v>300</v>
      </c>
      <c r="K602" s="32">
        <f>VLOOKUP(D602,'[1]NEW PRICE LIST'!$C$4:$H$1917,3,FALSE)</f>
        <v>40</v>
      </c>
      <c r="L602" s="13">
        <v>100</v>
      </c>
      <c r="M602" s="13">
        <v>0</v>
      </c>
      <c r="N602" s="13">
        <v>0</v>
      </c>
    </row>
    <row r="603" spans="1:14" ht="26.4" x14ac:dyDescent="0.25">
      <c r="A603" s="14" t="str">
        <f t="shared" si="25"/>
        <v>AVT0000602</v>
      </c>
      <c r="B603" s="13" t="str">
        <f>VLOOKUP(D603,'SUPPLIER_ITEMS (1st Tools)'!C770:D2497,2,FALSE)</f>
        <v>1ST-358-769</v>
      </c>
      <c r="C603" s="14" t="s">
        <v>186</v>
      </c>
      <c r="D603" s="18" t="s">
        <v>1553</v>
      </c>
      <c r="F603" s="30" t="str">
        <f t="shared" si="24"/>
        <v>AV66162-2 (LT22019-2) 16R*8R*1.5CM POLONET COPPERIZED STEEL BRUSH</v>
      </c>
      <c r="I603" s="31" t="str">
        <f>VLOOKUP(D603,'[1]NEW PRICE LIST'!$C$4:$D$1917,2,FALSE)</f>
        <v>360PCS/CTN</v>
      </c>
      <c r="J603" s="13" t="s">
        <v>300</v>
      </c>
      <c r="K603" s="32">
        <f>VLOOKUP(D603,'[1]NEW PRICE LIST'!$C$4:$H$1917,3,FALSE)</f>
        <v>19</v>
      </c>
      <c r="L603" s="13">
        <v>100</v>
      </c>
      <c r="M603" s="13">
        <v>0</v>
      </c>
      <c r="N603" s="13">
        <v>0</v>
      </c>
    </row>
    <row r="604" spans="1:14" x14ac:dyDescent="0.25">
      <c r="A604" s="14" t="str">
        <f t="shared" si="25"/>
        <v>AVT0000603</v>
      </c>
      <c r="B604" s="13" t="str">
        <f>VLOOKUP(D604,'SUPPLIER_ITEMS (1st Tools)'!C771:D2498,2,FALSE)</f>
        <v>1ST-358-770</v>
      </c>
      <c r="C604" s="14" t="s">
        <v>186</v>
      </c>
      <c r="D604" s="18" t="s">
        <v>1555</v>
      </c>
      <c r="F604" s="30" t="str">
        <f t="shared" ref="F604:F654" si="26">"AV"&amp;RIGHT(D604,LEN(D604)-2)</f>
        <v>AV66163 4R*16R*23CM STEEL BRUSH W/ PLASTIC HANDLE</v>
      </c>
      <c r="I604" s="31" t="str">
        <f>VLOOKUP(D604,'[1]NEW PRICE LIST'!$C$4:$D$1917,2,FALSE)</f>
        <v>120PCS/CTN</v>
      </c>
      <c r="J604" s="13" t="s">
        <v>300</v>
      </c>
      <c r="K604" s="32">
        <f>VLOOKUP(D604,'[1]NEW PRICE LIST'!$C$4:$H$1917,3,FALSE)</f>
        <v>50</v>
      </c>
      <c r="L604" s="13">
        <v>100</v>
      </c>
      <c r="M604" s="13">
        <v>0</v>
      </c>
      <c r="N604" s="13">
        <v>0</v>
      </c>
    </row>
    <row r="605" spans="1:14" x14ac:dyDescent="0.25">
      <c r="A605" s="14" t="str">
        <f t="shared" si="25"/>
        <v>AVT0000604</v>
      </c>
      <c r="B605" s="13" t="str">
        <f>VLOOKUP(D605,'SUPPLIER_ITEMS (1st Tools)'!C772:D2499,2,FALSE)</f>
        <v>1ST-358-771</v>
      </c>
      <c r="C605" s="14" t="s">
        <v>185</v>
      </c>
      <c r="D605" s="18" t="s">
        <v>1557</v>
      </c>
      <c r="F605" s="30" t="str">
        <f t="shared" si="26"/>
        <v>AV66170-1 (LT22016-P) GARDEN RAKE 14T PLAIN</v>
      </c>
      <c r="I605" s="31" t="str">
        <f>VLOOKUP(D605,'[1]NEW PRICE LIST'!$C$4:$D$1917,2,FALSE)</f>
        <v>12PCS/BUNDLE</v>
      </c>
      <c r="J605" s="13" t="s">
        <v>3971</v>
      </c>
      <c r="K605" s="32">
        <f>VLOOKUP(D605,'[1]NEW PRICE LIST'!$C$4:$H$1917,3,FALSE)</f>
        <v>240</v>
      </c>
      <c r="L605" s="13">
        <v>100</v>
      </c>
      <c r="M605" s="13">
        <v>0</v>
      </c>
      <c r="N605" s="13">
        <v>0</v>
      </c>
    </row>
    <row r="606" spans="1:14" x14ac:dyDescent="0.25">
      <c r="A606" s="14" t="str">
        <f t="shared" si="25"/>
        <v>AVT0000605</v>
      </c>
      <c r="B606" s="13" t="str">
        <f>VLOOKUP(D606,'SUPPLIER_ITEMS (1st Tools)'!C773:D2500,2,FALSE)</f>
        <v>1ST-358-772</v>
      </c>
      <c r="C606" s="14" t="s">
        <v>185</v>
      </c>
      <c r="D606" s="18" t="s">
        <v>1558</v>
      </c>
      <c r="F606" s="30" t="str">
        <f t="shared" si="26"/>
        <v>AV66170-2 (LT22016-T) GARDEN RAKE 14T TWISTED</v>
      </c>
      <c r="I606" s="31" t="str">
        <f>VLOOKUP(D606,'[1]NEW PRICE LIST'!$C$4:$D$1917,2,FALSE)</f>
        <v>12PCS/BUNDLE</v>
      </c>
      <c r="J606" s="13" t="s">
        <v>3971</v>
      </c>
      <c r="K606" s="32">
        <f>VLOOKUP(D606,'[1]NEW PRICE LIST'!$C$4:$H$1917,3,FALSE)</f>
        <v>240</v>
      </c>
      <c r="L606" s="13">
        <v>100</v>
      </c>
      <c r="M606" s="13">
        <v>0</v>
      </c>
      <c r="N606" s="13">
        <v>0</v>
      </c>
    </row>
    <row r="607" spans="1:14" x14ac:dyDescent="0.25">
      <c r="A607" s="14" t="str">
        <f t="shared" si="25"/>
        <v>AVT0000606</v>
      </c>
      <c r="B607" s="13" t="str">
        <f>VLOOKUP(D607,'SUPPLIER_ITEMS (1st Tools)'!C778:D2505,2,FALSE)</f>
        <v>1ST-358-777</v>
      </c>
      <c r="C607" s="14" t="s">
        <v>183</v>
      </c>
      <c r="D607" s="18" t="s">
        <v>1563</v>
      </c>
      <c r="F607" s="30" t="str">
        <f t="shared" si="26"/>
        <v>AV66092 250mm*110mm PLASTERING TROWEL 1*60</v>
      </c>
      <c r="I607" s="31" t="str">
        <f>VLOOKUP(D607,'[1]NEW PRICE LIST'!$C$4:$D$1917,2,FALSE)</f>
        <v>60PCS/CTN</v>
      </c>
      <c r="J607" s="13" t="s">
        <v>300</v>
      </c>
      <c r="K607" s="32">
        <f>VLOOKUP(D607,'[1]NEW PRICE LIST'!$C$4:$H$1917,3,FALSE)</f>
        <v>70</v>
      </c>
      <c r="L607" s="13">
        <v>100</v>
      </c>
      <c r="M607" s="13">
        <v>0</v>
      </c>
      <c r="N607" s="13">
        <v>0</v>
      </c>
    </row>
    <row r="608" spans="1:14" ht="26.4" x14ac:dyDescent="0.25">
      <c r="A608" s="14" t="str">
        <f t="shared" si="25"/>
        <v>AVT0000607</v>
      </c>
      <c r="B608" s="13" t="str">
        <f>VLOOKUP(D608,'SUPPLIER_ITEMS (1st Tools)'!C779:D2506,2,FALSE)</f>
        <v>1ST-358-778</v>
      </c>
      <c r="C608" s="14" t="s">
        <v>183</v>
      </c>
      <c r="D608" s="18" t="s">
        <v>1564</v>
      </c>
      <c r="F608" s="30" t="str">
        <f t="shared" si="26"/>
        <v>AV66090-1 280*120*0.7MM POLONET ABS HANDLE PLASTREING TROWEL</v>
      </c>
      <c r="I608" s="31" t="str">
        <f>VLOOKUP(D608,'[1]NEW PRICE LIST'!$C$4:$D$1917,2,FALSE)</f>
        <v>60PCS/CTN</v>
      </c>
      <c r="J608" s="13" t="s">
        <v>300</v>
      </c>
      <c r="K608" s="32">
        <f>VLOOKUP(D608,'[1]NEW PRICE LIST'!$C$4:$H$1917,3,FALSE)</f>
        <v>130</v>
      </c>
      <c r="L608" s="13">
        <v>100</v>
      </c>
      <c r="M608" s="13">
        <v>0</v>
      </c>
      <c r="N608" s="13">
        <v>0</v>
      </c>
    </row>
    <row r="609" spans="1:14" ht="26.4" x14ac:dyDescent="0.25">
      <c r="A609" s="14" t="str">
        <f t="shared" si="25"/>
        <v>AVT0000608</v>
      </c>
      <c r="B609" s="13" t="str">
        <f>VLOOKUP(D609,'SUPPLIER_ITEMS (1st Tools)'!C780:D2507,2,FALSE)</f>
        <v>1ST-358-779</v>
      </c>
      <c r="C609" s="14" t="s">
        <v>183</v>
      </c>
      <c r="D609" s="18" t="s">
        <v>1565</v>
      </c>
      <c r="F609" s="30" t="str">
        <f t="shared" si="26"/>
        <v>AV66090-2 280-120-0.7MM (TEETH)10*10MM POLONET ABS HANDLE PLASTERING TROWEL W/TEETH</v>
      </c>
      <c r="I609" s="31" t="str">
        <f>VLOOKUP(D609,'[1]NEW PRICE LIST'!$C$4:$D$1917,2,FALSE)</f>
        <v>60PCS/CTN</v>
      </c>
      <c r="J609" s="13" t="s">
        <v>300</v>
      </c>
      <c r="K609" s="32">
        <f>VLOOKUP(D609,'[1]NEW PRICE LIST'!$C$4:$H$1917,3,FALSE)</f>
        <v>130</v>
      </c>
      <c r="L609" s="13">
        <v>100</v>
      </c>
      <c r="M609" s="13">
        <v>0</v>
      </c>
      <c r="N609" s="13">
        <v>0</v>
      </c>
    </row>
    <row r="610" spans="1:14" ht="26.4" x14ac:dyDescent="0.25">
      <c r="A610" s="14" t="str">
        <f t="shared" si="25"/>
        <v>AVT0000609</v>
      </c>
      <c r="B610" s="13" t="str">
        <f>VLOOKUP(D610,'SUPPLIER_ITEMS (1st Tools)'!C781:D2508,2,FALSE)</f>
        <v>1ST-358-780</v>
      </c>
      <c r="C610" s="14" t="s">
        <v>183</v>
      </c>
      <c r="D610" s="18" t="s">
        <v>1566</v>
      </c>
      <c r="F610" s="30" t="str">
        <f t="shared" si="26"/>
        <v>AV66091-1 280*125*0.7MM POLONET WOODEN HANDLE PLASTERING TROWEL</v>
      </c>
      <c r="I610" s="31" t="str">
        <f>VLOOKUP(D610,'[1]NEW PRICE LIST'!$C$4:$D$1917,2,FALSE)</f>
        <v>60PCS/CTN</v>
      </c>
      <c r="J610" s="13" t="s">
        <v>300</v>
      </c>
      <c r="K610" s="32">
        <f>VLOOKUP(D610,'[1]NEW PRICE LIST'!$C$4:$H$1917,3,FALSE)</f>
        <v>160</v>
      </c>
      <c r="L610" s="13">
        <v>100</v>
      </c>
      <c r="M610" s="13">
        <v>0</v>
      </c>
      <c r="N610" s="13">
        <v>0</v>
      </c>
    </row>
    <row r="611" spans="1:14" ht="26.4" x14ac:dyDescent="0.25">
      <c r="A611" s="14" t="str">
        <f t="shared" si="25"/>
        <v>AVT0000610</v>
      </c>
      <c r="B611" s="13" t="str">
        <f>VLOOKUP(D611,'SUPPLIER_ITEMS (1st Tools)'!C782:D2509,2,FALSE)</f>
        <v>1ST-358-781</v>
      </c>
      <c r="C611" s="14" t="s">
        <v>183</v>
      </c>
      <c r="D611" s="18" t="s">
        <v>3800</v>
      </c>
      <c r="F611" s="30" t="str">
        <f t="shared" si="26"/>
        <v>AV66091-2 280*125*0.7MM (TEETH)6.6MM POLONET WOODEN HANDLE PLASTERING TROWEL W/TEETH</v>
      </c>
      <c r="I611" s="31" t="str">
        <f>VLOOKUP(D611,'[1]NEW PRICE LIST'!$C$4:$D$1917,2,FALSE)</f>
        <v>60PCS/CTN</v>
      </c>
      <c r="J611" s="13" t="s">
        <v>300</v>
      </c>
      <c r="K611" s="32">
        <f>VLOOKUP(D611,'[1]NEW PRICE LIST'!$C$4:$H$1917,3,FALSE)</f>
        <v>160</v>
      </c>
      <c r="L611" s="13">
        <v>100</v>
      </c>
      <c r="M611" s="13">
        <v>0</v>
      </c>
      <c r="N611" s="13">
        <v>0</v>
      </c>
    </row>
    <row r="612" spans="1:14" x14ac:dyDescent="0.25">
      <c r="A612" s="14" t="str">
        <f t="shared" si="25"/>
        <v>AVT0000611</v>
      </c>
      <c r="B612" s="13" t="str">
        <f>VLOOKUP(D612,'SUPPLIER_ITEMS (1st Tools)'!C787:D2514,2,FALSE)</f>
        <v>1ST-358-786</v>
      </c>
      <c r="C612" s="14" t="s">
        <v>181</v>
      </c>
      <c r="D612" s="18" t="s">
        <v>1573</v>
      </c>
      <c r="F612" s="30" t="str">
        <f t="shared" si="26"/>
        <v>AV66100-1 CEMENT TROWEL WOOD HANDLE 5 "</v>
      </c>
      <c r="I612" s="31" t="str">
        <f>VLOOKUP(D612,'[1]NEW PRICE LIST'!$C$4:$D$1917,2,FALSE)</f>
        <v>120PCS/CTN</v>
      </c>
      <c r="J612" s="13" t="s">
        <v>300</v>
      </c>
      <c r="K612" s="32">
        <f>VLOOKUP(D612,'[1]NEW PRICE LIST'!$C$4:$H$1917,3,FALSE)</f>
        <v>40</v>
      </c>
      <c r="L612" s="13">
        <v>100</v>
      </c>
      <c r="M612" s="13">
        <v>0</v>
      </c>
      <c r="N612" s="13">
        <v>0</v>
      </c>
    </row>
    <row r="613" spans="1:14" x14ac:dyDescent="0.25">
      <c r="A613" s="14" t="str">
        <f t="shared" si="25"/>
        <v>AVT0000612</v>
      </c>
      <c r="B613" s="13" t="str">
        <f>VLOOKUP(D613,'SUPPLIER_ITEMS (1st Tools)'!C788:D2515,2,FALSE)</f>
        <v>1ST-358-787</v>
      </c>
      <c r="C613" s="14" t="s">
        <v>181</v>
      </c>
      <c r="D613" s="18" t="s">
        <v>1574</v>
      </c>
      <c r="F613" s="30" t="str">
        <f t="shared" si="26"/>
        <v>AV66100-2 CEMENT TROWEL WOOD HANDLE 6 "</v>
      </c>
      <c r="I613" s="31" t="str">
        <f>VLOOKUP(D613,'[1]NEW PRICE LIST'!$C$4:$D$1917,2,FALSE)</f>
        <v>120PCS/CTN</v>
      </c>
      <c r="J613" s="13" t="s">
        <v>300</v>
      </c>
      <c r="K613" s="32">
        <f>VLOOKUP(D613,'[1]NEW PRICE LIST'!$C$4:$H$1917,3,FALSE)</f>
        <v>44</v>
      </c>
      <c r="L613" s="13">
        <v>100</v>
      </c>
      <c r="M613" s="13">
        <v>0</v>
      </c>
      <c r="N613" s="13">
        <v>0</v>
      </c>
    </row>
    <row r="614" spans="1:14" x14ac:dyDescent="0.25">
      <c r="A614" s="14" t="str">
        <f t="shared" si="25"/>
        <v>AVT0000613</v>
      </c>
      <c r="B614" s="13" t="str">
        <f>VLOOKUP(D614,'SUPPLIER_ITEMS (1st Tools)'!C789:D2516,2,FALSE)</f>
        <v>1ST-358-788</v>
      </c>
      <c r="C614" s="14" t="s">
        <v>181</v>
      </c>
      <c r="D614" s="18" t="s">
        <v>1576</v>
      </c>
      <c r="F614" s="30" t="str">
        <f t="shared" si="26"/>
        <v>AV66100-3 CEMENT TROWEL WOOD HANDLE 7 "</v>
      </c>
      <c r="I614" s="31" t="str">
        <f>VLOOKUP(D614,'[1]NEW PRICE LIST'!$C$4:$D$1917,2,FALSE)</f>
        <v>120PCS/CTN</v>
      </c>
      <c r="J614" s="13" t="s">
        <v>300</v>
      </c>
      <c r="K614" s="32">
        <f>VLOOKUP(D614,'[1]NEW PRICE LIST'!$C$4:$H$1917,3,FALSE)</f>
        <v>48</v>
      </c>
      <c r="L614" s="13">
        <v>100</v>
      </c>
      <c r="M614" s="13">
        <v>0</v>
      </c>
      <c r="N614" s="13">
        <v>0</v>
      </c>
    </row>
    <row r="615" spans="1:14" x14ac:dyDescent="0.25">
      <c r="A615" s="14" t="str">
        <f t="shared" si="25"/>
        <v>AVT0000614</v>
      </c>
      <c r="B615" s="13" t="str">
        <f>VLOOKUP(D615,'SUPPLIER_ITEMS (1st Tools)'!C790:D2517,2,FALSE)</f>
        <v>1ST-358-789</v>
      </c>
      <c r="C615" s="14" t="s">
        <v>181</v>
      </c>
      <c r="D615" s="18" t="s">
        <v>1577</v>
      </c>
      <c r="F615" s="30" t="str">
        <f t="shared" si="26"/>
        <v>AV66100-4 CEMENT TROWEL WOOD HANDLE 8 "</v>
      </c>
      <c r="I615" s="31" t="str">
        <f>VLOOKUP(D615,'[1]NEW PRICE LIST'!$C$4:$D$1917,2,FALSE)</f>
        <v>120PCS/CTN</v>
      </c>
      <c r="J615" s="13" t="s">
        <v>300</v>
      </c>
      <c r="K615" s="32">
        <f>VLOOKUP(D615,'[1]NEW PRICE LIST'!$C$4:$H$1917,3,FALSE)</f>
        <v>50</v>
      </c>
      <c r="L615" s="13">
        <v>100</v>
      </c>
      <c r="M615" s="13">
        <v>0</v>
      </c>
      <c r="N615" s="13">
        <v>0</v>
      </c>
    </row>
    <row r="616" spans="1:14" x14ac:dyDescent="0.25">
      <c r="A616" s="14" t="str">
        <f t="shared" si="25"/>
        <v>AVT0000615</v>
      </c>
      <c r="B616" s="13" t="str">
        <f>VLOOKUP(D616,'SUPPLIER_ITEMS (1st Tools)'!C791:D2518,2,FALSE)</f>
        <v>1ST-358-790</v>
      </c>
      <c r="C616" s="14" t="s">
        <v>181</v>
      </c>
      <c r="D616" s="18" t="s">
        <v>1578</v>
      </c>
      <c r="F616" s="30" t="str">
        <f t="shared" si="26"/>
        <v>AV66100-5 CEMENT TROWEL WOOD HANDLE 9"</v>
      </c>
      <c r="I616" s="31" t="str">
        <f>VLOOKUP(D616,'[1]NEW PRICE LIST'!$C$4:$D$1917,2,FALSE)</f>
        <v>120PCS/CTN</v>
      </c>
      <c r="J616" s="13" t="s">
        <v>300</v>
      </c>
      <c r="K616" s="32">
        <f>VLOOKUP(D616,'[1]NEW PRICE LIST'!$C$4:$H$1917,3,FALSE)</f>
        <v>56</v>
      </c>
      <c r="L616" s="13">
        <v>100</v>
      </c>
      <c r="M616" s="13">
        <v>0</v>
      </c>
      <c r="N616" s="13">
        <v>0</v>
      </c>
    </row>
    <row r="617" spans="1:14" x14ac:dyDescent="0.25">
      <c r="A617" s="14" t="str">
        <f t="shared" si="25"/>
        <v>AVT0000616</v>
      </c>
      <c r="B617" s="13" t="str">
        <f>VLOOKUP(D617,'SUPPLIER_ITEMS (1st Tools)'!C792:D2519,2,FALSE)</f>
        <v>1ST-358-791</v>
      </c>
      <c r="C617" s="14" t="s">
        <v>180</v>
      </c>
      <c r="D617" s="19" t="s">
        <v>1579</v>
      </c>
      <c r="F617" s="30" t="str">
        <f t="shared" si="26"/>
        <v>AV66460-1 PUTTY KNIFE 4"7.5*11*10CM</v>
      </c>
      <c r="I617" s="31" t="str">
        <f>VLOOKUP(D617,'[1]NEW PRICE LIST'!$C$4:$D$1917,2,FALSE)</f>
        <v>60DOZ/CTN</v>
      </c>
      <c r="J617" s="13" t="s">
        <v>300</v>
      </c>
      <c r="K617" s="32">
        <f>VLOOKUP(D617,'[1]NEW PRICE LIST'!$C$4:$H$1917,3,FALSE)</f>
        <v>130</v>
      </c>
      <c r="L617" s="13">
        <v>100</v>
      </c>
      <c r="M617" s="13">
        <v>0</v>
      </c>
      <c r="N617" s="13">
        <v>0</v>
      </c>
    </row>
    <row r="618" spans="1:14" x14ac:dyDescent="0.25">
      <c r="A618" s="14" t="str">
        <f t="shared" si="25"/>
        <v>AVT0000617</v>
      </c>
      <c r="B618" s="13" t="str">
        <f>VLOOKUP(D618,'SUPPLIER_ITEMS (1st Tools)'!C793:D2520,2,FALSE)</f>
        <v>1ST-358-792</v>
      </c>
      <c r="C618" s="14" t="s">
        <v>180</v>
      </c>
      <c r="D618" s="19" t="s">
        <v>1581</v>
      </c>
      <c r="F618" s="30" t="str">
        <f t="shared" si="26"/>
        <v>AV66460-2 PUTTY KNIFE 6"7.8*15*10CM</v>
      </c>
      <c r="I618" s="31" t="str">
        <f>VLOOKUP(D618,'[1]NEW PRICE LIST'!$C$4:$D$1917,2,FALSE)</f>
        <v>48DOZ/CTN</v>
      </c>
      <c r="J618" s="13" t="s">
        <v>300</v>
      </c>
      <c r="K618" s="32">
        <f>VLOOKUP(D618,'[1]NEW PRICE LIST'!$C$4:$H$1917,3,FALSE)</f>
        <v>140</v>
      </c>
      <c r="L618" s="13">
        <v>100</v>
      </c>
      <c r="M618" s="13">
        <v>0</v>
      </c>
      <c r="N618" s="13">
        <v>0</v>
      </c>
    </row>
    <row r="619" spans="1:14" x14ac:dyDescent="0.25">
      <c r="A619" s="14" t="str">
        <f t="shared" si="25"/>
        <v>AVT0000618</v>
      </c>
      <c r="B619" s="13" t="str">
        <f>VLOOKUP(D619,'SUPPLIER_ITEMS (1st Tools)'!C794:D2521,2,FALSE)</f>
        <v>1ST-358-793</v>
      </c>
      <c r="C619" s="14" t="s">
        <v>179</v>
      </c>
      <c r="D619" s="19" t="s">
        <v>1583</v>
      </c>
      <c r="F619" s="30" t="str">
        <f t="shared" si="26"/>
        <v>AV66020-1 7"RL POLONET VISE GRIP STRAIGHT</v>
      </c>
      <c r="I619" s="31" t="str">
        <f>VLOOKUP(D619,'[1]NEW PRICE LIST'!$C$4:$D$1917,2,FALSE)</f>
        <v>36PCS/CTN</v>
      </c>
      <c r="J619" s="13" t="s">
        <v>300</v>
      </c>
      <c r="K619" s="32">
        <f>VLOOKUP(D619,'[1]NEW PRICE LIST'!$C$4:$H$1917,3,FALSE)</f>
        <v>225</v>
      </c>
      <c r="L619" s="13">
        <v>100</v>
      </c>
      <c r="M619" s="13">
        <v>0</v>
      </c>
      <c r="N619" s="13">
        <v>0</v>
      </c>
    </row>
    <row r="620" spans="1:14" x14ac:dyDescent="0.25">
      <c r="A620" s="14" t="str">
        <f t="shared" si="25"/>
        <v>AVT0000619</v>
      </c>
      <c r="B620" s="13" t="str">
        <f>VLOOKUP(D620,'SUPPLIER_ITEMS (1st Tools)'!C795:D2522,2,FALSE)</f>
        <v>1ST-358-794</v>
      </c>
      <c r="C620" s="14" t="s">
        <v>179</v>
      </c>
      <c r="D620" s="19" t="s">
        <v>1584</v>
      </c>
      <c r="F620" s="30" t="str">
        <f t="shared" si="26"/>
        <v>AV66020-2 10"RL POLONET VISE GRIP STRAIGHT</v>
      </c>
      <c r="I620" s="31" t="str">
        <f>VLOOKUP(D620,'[1]NEW PRICE LIST'!$C$4:$D$1917,2,FALSE)</f>
        <v>36PCS/CTN</v>
      </c>
      <c r="J620" s="13" t="s">
        <v>300</v>
      </c>
      <c r="K620" s="32">
        <f>VLOOKUP(D620,'[1]NEW PRICE LIST'!$C$4:$H$1917,3,FALSE)</f>
        <v>270</v>
      </c>
      <c r="L620" s="13">
        <v>100</v>
      </c>
      <c r="M620" s="13">
        <v>0</v>
      </c>
      <c r="N620" s="13">
        <v>0</v>
      </c>
    </row>
    <row r="621" spans="1:14" x14ac:dyDescent="0.25">
      <c r="A621" s="14" t="str">
        <f t="shared" si="25"/>
        <v>AVT0000620</v>
      </c>
      <c r="B621" s="13" t="str">
        <f>VLOOKUP(D621,'SUPPLIER_ITEMS (1st Tools)'!C796:D2523,2,FALSE)</f>
        <v>1ST-358-795</v>
      </c>
      <c r="C621" s="14" t="s">
        <v>179</v>
      </c>
      <c r="D621" s="19" t="s">
        <v>1585</v>
      </c>
      <c r="F621" s="30" t="str">
        <f t="shared" si="26"/>
        <v>AV66020-4 10"WL VISE GRIP CHROME CURVED</v>
      </c>
      <c r="I621" s="31" t="str">
        <f>VLOOKUP(D621,'[1]NEW PRICE LIST'!$C$4:$D$1917,2,FALSE)</f>
        <v>36PCS/CTN</v>
      </c>
      <c r="J621" s="13" t="s">
        <v>300</v>
      </c>
      <c r="K621" s="32">
        <f>VLOOKUP(D621,'[1]NEW PRICE LIST'!$C$4:$H$1917,3,FALSE)</f>
        <v>270</v>
      </c>
      <c r="L621" s="13">
        <v>100</v>
      </c>
      <c r="M621" s="13">
        <v>0</v>
      </c>
      <c r="N621" s="13">
        <v>0</v>
      </c>
    </row>
    <row r="622" spans="1:14" x14ac:dyDescent="0.25">
      <c r="A622" s="14" t="str">
        <f t="shared" si="25"/>
        <v>AVT0000621</v>
      </c>
      <c r="B622" s="13" t="str">
        <f>VLOOKUP(D622,'SUPPLIER_ITEMS (1st Tools)'!C797:D2524,2,FALSE)</f>
        <v>1ST-358-796</v>
      </c>
      <c r="C622" s="14" t="s">
        <v>179</v>
      </c>
      <c r="D622" s="19" t="s">
        <v>1586</v>
      </c>
      <c r="F622" s="30" t="str">
        <f t="shared" si="26"/>
        <v>AV66020-5 11" C-CLAMP VISE GRIP PLIERS</v>
      </c>
      <c r="I622" s="31" t="str">
        <f>VLOOKUP(D622,'[1]NEW PRICE LIST'!$C$4:$D$1917,2,FALSE)</f>
        <v>24PCS/CTN</v>
      </c>
      <c r="J622" s="13" t="s">
        <v>300</v>
      </c>
      <c r="K622" s="32">
        <f>VLOOKUP(D622,'[1]NEW PRICE LIST'!$C$4:$H$1917,3,FALSE)</f>
        <v>385</v>
      </c>
      <c r="L622" s="13">
        <v>100</v>
      </c>
      <c r="M622" s="13">
        <v>0</v>
      </c>
      <c r="N622" s="13">
        <v>0</v>
      </c>
    </row>
    <row r="623" spans="1:14" x14ac:dyDescent="0.25">
      <c r="A623" s="14" t="str">
        <f t="shared" si="25"/>
        <v>AVT0000622</v>
      </c>
      <c r="B623" s="13" t="str">
        <f>VLOOKUP(D623,'SUPPLIER_ITEMS (1st Tools)'!C798:D2525,2,FALSE)</f>
        <v>1ST-358-797</v>
      </c>
      <c r="C623" s="14" t="s">
        <v>178</v>
      </c>
      <c r="D623" s="18" t="s">
        <v>1587</v>
      </c>
      <c r="F623" s="30" t="str">
        <f t="shared" si="26"/>
        <v>AV66030-1 6" DIAGONAL PLIERS</v>
      </c>
      <c r="I623" s="31" t="str">
        <f>VLOOKUP(D623,'[1]NEW PRICE LIST'!$C$4:$D$1917,2,FALSE)</f>
        <v>60PCS/CTN</v>
      </c>
      <c r="J623" s="13" t="s">
        <v>300</v>
      </c>
      <c r="K623" s="32">
        <f>VLOOKUP(D623,'[1]NEW PRICE LIST'!$C$4:$H$1917,3,FALSE)</f>
        <v>115</v>
      </c>
      <c r="L623" s="13">
        <v>100</v>
      </c>
      <c r="M623" s="13">
        <v>0</v>
      </c>
      <c r="N623" s="13">
        <v>0</v>
      </c>
    </row>
    <row r="624" spans="1:14" x14ac:dyDescent="0.25">
      <c r="A624" s="14" t="str">
        <f t="shared" si="25"/>
        <v>AVT0000623</v>
      </c>
      <c r="B624" s="13" t="str">
        <f>VLOOKUP(D624,'SUPPLIER_ITEMS (1st Tools)'!C799:D2526,2,FALSE)</f>
        <v>1ST-358-798</v>
      </c>
      <c r="C624" s="14" t="s">
        <v>178</v>
      </c>
      <c r="D624" s="18" t="s">
        <v>1589</v>
      </c>
      <c r="F624" s="30" t="str">
        <f t="shared" si="26"/>
        <v>AV66030-2 8" DIAGONAL PLIERS</v>
      </c>
      <c r="I624" s="31" t="str">
        <f>VLOOKUP(D624,'[1]NEW PRICE LIST'!$C$4:$D$1917,2,FALSE)</f>
        <v>60PCS/CTN</v>
      </c>
      <c r="J624" s="13" t="s">
        <v>300</v>
      </c>
      <c r="K624" s="32">
        <f>VLOOKUP(D624,'[1]NEW PRICE LIST'!$C$4:$H$1917,3,FALSE)</f>
        <v>140</v>
      </c>
      <c r="L624" s="13">
        <v>100</v>
      </c>
      <c r="M624" s="13">
        <v>0</v>
      </c>
      <c r="N624" s="13">
        <v>0</v>
      </c>
    </row>
    <row r="625" spans="1:14" x14ac:dyDescent="0.25">
      <c r="A625" s="14" t="str">
        <f t="shared" si="25"/>
        <v>AVT0000624</v>
      </c>
      <c r="B625" s="13" t="str">
        <f>VLOOKUP(D625,'SUPPLIER_ITEMS (1st Tools)'!C800:D2527,2,FALSE)</f>
        <v>1ST-358-799</v>
      </c>
      <c r="C625" s="14" t="s">
        <v>178</v>
      </c>
      <c r="D625" s="18" t="s">
        <v>1590</v>
      </c>
      <c r="F625" s="30" t="str">
        <f t="shared" si="26"/>
        <v>AV66030-3 7" COMBINATION PLIERS</v>
      </c>
      <c r="I625" s="31" t="str">
        <f>VLOOKUP(D625,'[1]NEW PRICE LIST'!$C$4:$D$1917,2,FALSE)</f>
        <v>60PCS/CTN</v>
      </c>
      <c r="J625" s="13" t="s">
        <v>300</v>
      </c>
      <c r="K625" s="32">
        <f>VLOOKUP(D625,'[1]NEW PRICE LIST'!$C$4:$H$1917,3,FALSE)</f>
        <v>140</v>
      </c>
      <c r="L625" s="13">
        <v>100</v>
      </c>
      <c r="M625" s="13">
        <v>0</v>
      </c>
      <c r="N625" s="13">
        <v>0</v>
      </c>
    </row>
    <row r="626" spans="1:14" x14ac:dyDescent="0.25">
      <c r="A626" s="14" t="str">
        <f t="shared" si="25"/>
        <v>AVT0000625</v>
      </c>
      <c r="B626" s="13" t="str">
        <f>VLOOKUP(D626,'SUPPLIER_ITEMS (1st Tools)'!C801:D2528,2,FALSE)</f>
        <v>1ST-358-800</v>
      </c>
      <c r="C626" s="14" t="s">
        <v>178</v>
      </c>
      <c r="D626" s="18" t="s">
        <v>1591</v>
      </c>
      <c r="F626" s="30" t="str">
        <f t="shared" si="26"/>
        <v>AV66030-4 8" COMBINATION PLIERS</v>
      </c>
      <c r="I626" s="31" t="str">
        <f>VLOOKUP(D626,'[1]NEW PRICE LIST'!$C$4:$D$1917,2,FALSE)</f>
        <v>60PCS/CTN</v>
      </c>
      <c r="J626" s="13" t="s">
        <v>300</v>
      </c>
      <c r="K626" s="32">
        <f>VLOOKUP(D626,'[1]NEW PRICE LIST'!$C$4:$H$1917,3,FALSE)</f>
        <v>160</v>
      </c>
      <c r="L626" s="13">
        <v>100</v>
      </c>
      <c r="M626" s="13">
        <v>0</v>
      </c>
      <c r="N626" s="13">
        <v>0</v>
      </c>
    </row>
    <row r="627" spans="1:14" x14ac:dyDescent="0.25">
      <c r="A627" s="14" t="str">
        <f t="shared" si="25"/>
        <v>AVT0000626</v>
      </c>
      <c r="B627" s="13" t="str">
        <f>VLOOKUP(D627,'SUPPLIER_ITEMS (1st Tools)'!C802:D2529,2,FALSE)</f>
        <v>1ST-358-801</v>
      </c>
      <c r="C627" s="14" t="s">
        <v>178</v>
      </c>
      <c r="D627" s="18" t="s">
        <v>1592</v>
      </c>
      <c r="F627" s="30" t="str">
        <f t="shared" si="26"/>
        <v>AV66030-5 6" LONG NOSE PLIERS</v>
      </c>
      <c r="I627" s="31" t="str">
        <f>VLOOKUP(D627,'[1]NEW PRICE LIST'!$C$4:$D$1917,2,FALSE)</f>
        <v>60PCS/CTN</v>
      </c>
      <c r="J627" s="13" t="s">
        <v>300</v>
      </c>
      <c r="K627" s="32">
        <f>VLOOKUP(D627,'[1]NEW PRICE LIST'!$C$4:$H$1917,3,FALSE)</f>
        <v>110</v>
      </c>
      <c r="L627" s="13">
        <v>100</v>
      </c>
      <c r="M627" s="13">
        <v>0</v>
      </c>
      <c r="N627" s="13">
        <v>0</v>
      </c>
    </row>
    <row r="628" spans="1:14" x14ac:dyDescent="0.25">
      <c r="A628" s="14" t="str">
        <f t="shared" si="25"/>
        <v>AVT0000627</v>
      </c>
      <c r="B628" s="13" t="str">
        <f>VLOOKUP(D628,'SUPPLIER_ITEMS (1st Tools)'!C803:D2530,2,FALSE)</f>
        <v>1ST-358-802</v>
      </c>
      <c r="C628" s="14" t="s">
        <v>178</v>
      </c>
      <c r="D628" s="18" t="s">
        <v>1594</v>
      </c>
      <c r="F628" s="30" t="str">
        <f t="shared" si="26"/>
        <v>AV66030-6 8" LONG NOSE PLIERS</v>
      </c>
      <c r="I628" s="31" t="str">
        <f>VLOOKUP(D628,'[1]NEW PRICE LIST'!$C$4:$D$1917,2,FALSE)</f>
        <v>60PCS/CTN</v>
      </c>
      <c r="J628" s="13" t="s">
        <v>300</v>
      </c>
      <c r="K628" s="32">
        <f>VLOOKUP(D628,'[1]NEW PRICE LIST'!$C$4:$H$1917,3,FALSE)</f>
        <v>135</v>
      </c>
      <c r="L628" s="13">
        <v>100</v>
      </c>
      <c r="M628" s="13">
        <v>0</v>
      </c>
      <c r="N628" s="13">
        <v>0</v>
      </c>
    </row>
    <row r="629" spans="1:14" x14ac:dyDescent="0.25">
      <c r="A629" s="14" t="str">
        <f t="shared" si="25"/>
        <v>AVT0000628</v>
      </c>
      <c r="B629" s="13" t="str">
        <f>VLOOKUP(D629,'SUPPLIER_ITEMS (1st Tools)'!C804:D2531,2,FALSE)</f>
        <v>1ST-358-803</v>
      </c>
      <c r="C629" s="14" t="s">
        <v>177</v>
      </c>
      <c r="D629" s="19" t="s">
        <v>1595</v>
      </c>
      <c r="F629" s="30" t="str">
        <f t="shared" si="26"/>
        <v>AV66040-1 8" PIPE WRENCH HD</v>
      </c>
      <c r="I629" s="31" t="str">
        <f>VLOOKUP(D629,'[1]NEW PRICE LIST'!$C$4:$D$1917,2,FALSE)</f>
        <v>40PCS/CTN</v>
      </c>
      <c r="J629" s="13" t="s">
        <v>300</v>
      </c>
      <c r="K629" s="32">
        <f>VLOOKUP(D629,'[1]NEW PRICE LIST'!$C$4:$H$1917,3,FALSE)</f>
        <v>130</v>
      </c>
      <c r="L629" s="13">
        <v>100</v>
      </c>
      <c r="M629" s="13">
        <v>0</v>
      </c>
      <c r="N629" s="13">
        <v>0</v>
      </c>
    </row>
    <row r="630" spans="1:14" x14ac:dyDescent="0.25">
      <c r="A630" s="14" t="str">
        <f t="shared" si="25"/>
        <v>AVT0000629</v>
      </c>
      <c r="B630" s="13" t="str">
        <f>VLOOKUP(D630,'SUPPLIER_ITEMS (1st Tools)'!C805:D2532,2,FALSE)</f>
        <v>1ST-358-804</v>
      </c>
      <c r="C630" s="14" t="s">
        <v>177</v>
      </c>
      <c r="D630" s="19" t="s">
        <v>1596</v>
      </c>
      <c r="F630" s="30" t="str">
        <f t="shared" si="26"/>
        <v>AV66040-2 10" PIPE WRENCH HD</v>
      </c>
      <c r="I630" s="31" t="str">
        <f>VLOOKUP(D630,'[1]NEW PRICE LIST'!$C$4:$D$1917,2,FALSE)</f>
        <v>32PCS/CTN</v>
      </c>
      <c r="J630" s="13" t="s">
        <v>300</v>
      </c>
      <c r="K630" s="32">
        <f>VLOOKUP(D630,'[1]NEW PRICE LIST'!$C$4:$H$1917,3,FALSE)</f>
        <v>155</v>
      </c>
      <c r="L630" s="13">
        <v>100</v>
      </c>
      <c r="M630" s="13">
        <v>0</v>
      </c>
      <c r="N630" s="13">
        <v>0</v>
      </c>
    </row>
    <row r="631" spans="1:14" x14ac:dyDescent="0.25">
      <c r="A631" s="14" t="str">
        <f t="shared" si="25"/>
        <v>AVT0000630</v>
      </c>
      <c r="B631" s="13" t="str">
        <f>VLOOKUP(D631,'SUPPLIER_ITEMS (1st Tools)'!C806:D2533,2,FALSE)</f>
        <v>1ST-358-805</v>
      </c>
      <c r="C631" s="14" t="s">
        <v>177</v>
      </c>
      <c r="D631" s="19" t="s">
        <v>1597</v>
      </c>
      <c r="F631" s="30" t="str">
        <f t="shared" si="26"/>
        <v>AV66040-3 12" PIPE WRENCH HD</v>
      </c>
      <c r="I631" s="31" t="str">
        <f>VLOOKUP(D631,'[1]NEW PRICE LIST'!$C$4:$D$1917,2,FALSE)</f>
        <v>24PCS/CTN</v>
      </c>
      <c r="J631" s="13" t="s">
        <v>300</v>
      </c>
      <c r="K631" s="32">
        <f>VLOOKUP(D631,'[1]NEW PRICE LIST'!$C$4:$H$1917,3,FALSE)</f>
        <v>205</v>
      </c>
      <c r="L631" s="13">
        <v>100</v>
      </c>
      <c r="M631" s="13">
        <v>0</v>
      </c>
      <c r="N631" s="13">
        <v>0</v>
      </c>
    </row>
    <row r="632" spans="1:14" x14ac:dyDescent="0.25">
      <c r="A632" s="14" t="str">
        <f t="shared" si="25"/>
        <v>AVT0000631</v>
      </c>
      <c r="B632" s="13" t="str">
        <f>VLOOKUP(D632,'SUPPLIER_ITEMS (1st Tools)'!C807:D2534,2,FALSE)</f>
        <v>1ST-358-806</v>
      </c>
      <c r="C632" s="14" t="s">
        <v>177</v>
      </c>
      <c r="D632" s="19" t="s">
        <v>1599</v>
      </c>
      <c r="F632" s="30" t="str">
        <f t="shared" si="26"/>
        <v>AV66040-4 14" PIPE WRENCH HD</v>
      </c>
      <c r="I632" s="31" t="str">
        <f>VLOOKUP(D632,'[1]NEW PRICE LIST'!$C$4:$D$1917,2,FALSE)</f>
        <v>18PCS/CTN</v>
      </c>
      <c r="J632" s="13" t="s">
        <v>300</v>
      </c>
      <c r="K632" s="32">
        <f>VLOOKUP(D632,'[1]NEW PRICE LIST'!$C$4:$H$1917,3,FALSE)</f>
        <v>240</v>
      </c>
      <c r="L632" s="13">
        <v>100</v>
      </c>
      <c r="M632" s="13">
        <v>0</v>
      </c>
      <c r="N632" s="13">
        <v>0</v>
      </c>
    </row>
    <row r="633" spans="1:14" x14ac:dyDescent="0.25">
      <c r="A633" s="14" t="str">
        <f t="shared" si="25"/>
        <v>AVT0000632</v>
      </c>
      <c r="B633" s="13" t="str">
        <f>VLOOKUP(D633,'SUPPLIER_ITEMS (1st Tools)'!C808:D2535,2,FALSE)</f>
        <v>1ST-358-807</v>
      </c>
      <c r="C633" s="14" t="s">
        <v>177</v>
      </c>
      <c r="D633" s="19" t="s">
        <v>1601</v>
      </c>
      <c r="F633" s="30" t="str">
        <f t="shared" si="26"/>
        <v>AV66040-5 18" PIPE WRENCH HD</v>
      </c>
      <c r="I633" s="31" t="str">
        <f>VLOOKUP(D633,'[1]NEW PRICE LIST'!$C$4:$D$1917,2,FALSE)</f>
        <v>12PCS/CTN</v>
      </c>
      <c r="J633" s="13" t="s">
        <v>300</v>
      </c>
      <c r="K633" s="32">
        <f>VLOOKUP(D633,'[1]NEW PRICE LIST'!$C$4:$H$1917,3,FALSE)</f>
        <v>340</v>
      </c>
      <c r="L633" s="13">
        <v>100</v>
      </c>
      <c r="M633" s="13">
        <v>0</v>
      </c>
      <c r="N633" s="13">
        <v>0</v>
      </c>
    </row>
    <row r="634" spans="1:14" x14ac:dyDescent="0.25">
      <c r="A634" s="14" t="str">
        <f t="shared" si="25"/>
        <v>AVT0000633</v>
      </c>
      <c r="B634" s="13" t="str">
        <f>VLOOKUP(D634,'SUPPLIER_ITEMS (1st Tools)'!C809:D2536,2,FALSE)</f>
        <v>1ST-358-808</v>
      </c>
      <c r="C634" s="14" t="s">
        <v>177</v>
      </c>
      <c r="D634" s="18" t="s">
        <v>1603</v>
      </c>
      <c r="F634" s="30" t="str">
        <f t="shared" si="26"/>
        <v>AV66040-6 24" PIPE WRENCH HD</v>
      </c>
      <c r="I634" s="31" t="str">
        <f>VLOOKUP(D634,'[1]NEW PRICE LIST'!$C$4:$D$1917,2,FALSE)</f>
        <v>8PCS/CTN</v>
      </c>
      <c r="J634" s="13" t="s">
        <v>300</v>
      </c>
      <c r="K634" s="32">
        <f>VLOOKUP(D634,'[1]NEW PRICE LIST'!$C$4:$H$1917,3,FALSE)</f>
        <v>490</v>
      </c>
      <c r="L634" s="13">
        <v>100</v>
      </c>
      <c r="M634" s="13">
        <v>0</v>
      </c>
      <c r="N634" s="13">
        <v>0</v>
      </c>
    </row>
    <row r="635" spans="1:14" x14ac:dyDescent="0.25">
      <c r="A635" s="14" t="str">
        <f t="shared" si="25"/>
        <v>AVT0000634</v>
      </c>
      <c r="B635" s="13" t="str">
        <f>VLOOKUP(D635,'SUPPLIER_ITEMS (1st Tools)'!C810:D2537,2,FALSE)</f>
        <v>1ST-358-809</v>
      </c>
      <c r="C635" s="14" t="s">
        <v>177</v>
      </c>
      <c r="D635" s="19" t="s">
        <v>1605</v>
      </c>
      <c r="F635" s="30" t="str">
        <f t="shared" si="26"/>
        <v>AV66040-7 36" PIPE WRENCH HD</v>
      </c>
      <c r="I635" s="31" t="str">
        <f>VLOOKUP(D635,'[1]NEW PRICE LIST'!$C$4:$D$1917,2,FALSE)</f>
        <v>4PCS/CTN</v>
      </c>
      <c r="J635" s="13" t="s">
        <v>300</v>
      </c>
      <c r="K635" s="32">
        <f>VLOOKUP(D635,'[1]NEW PRICE LIST'!$C$4:$H$1917,3,FALSE)</f>
        <v>900</v>
      </c>
      <c r="L635" s="13">
        <v>100</v>
      </c>
      <c r="M635" s="13">
        <v>0</v>
      </c>
      <c r="N635" s="13">
        <v>0</v>
      </c>
    </row>
    <row r="636" spans="1:14" x14ac:dyDescent="0.25">
      <c r="A636" s="14" t="str">
        <f t="shared" si="25"/>
        <v>AVT0000635</v>
      </c>
      <c r="B636" s="13" t="str">
        <f>VLOOKUP(D636,'SUPPLIER_ITEMS (1st Tools)'!C816:D2543,2,FALSE)</f>
        <v>1ST-358-815</v>
      </c>
      <c r="C636" s="14" t="s">
        <v>175</v>
      </c>
      <c r="D636" s="19" t="s">
        <v>1611</v>
      </c>
      <c r="F636" s="30" t="str">
        <f t="shared" si="26"/>
        <v>AV66050-1 LEFT POLONET AVIATION SNIP</v>
      </c>
      <c r="I636" s="31" t="str">
        <f>VLOOKUP(D636,'[1]NEW PRICE LIST'!$C$4:$D$1917,2,FALSE)</f>
        <v>48PCS/CTN</v>
      </c>
      <c r="J636" s="13" t="s">
        <v>300</v>
      </c>
      <c r="K636" s="32">
        <f>VLOOKUP(D636,'[1]NEW PRICE LIST'!$C$4:$H$1917,3,FALSE)</f>
        <v>185</v>
      </c>
      <c r="L636" s="13">
        <v>100</v>
      </c>
      <c r="M636" s="13">
        <v>0</v>
      </c>
      <c r="N636" s="13">
        <v>0</v>
      </c>
    </row>
    <row r="637" spans="1:14" x14ac:dyDescent="0.25">
      <c r="A637" s="14" t="str">
        <f t="shared" si="25"/>
        <v>AVT0000636</v>
      </c>
      <c r="B637" s="13" t="str">
        <f>VLOOKUP(D637,'SUPPLIER_ITEMS (1st Tools)'!C817:D2544,2,FALSE)</f>
        <v>1ST-358-816</v>
      </c>
      <c r="C637" s="14" t="s">
        <v>175</v>
      </c>
      <c r="D637" s="19" t="s">
        <v>1612</v>
      </c>
      <c r="F637" s="30" t="str">
        <f t="shared" si="26"/>
        <v>AV66050-2 RIGHT POLONET AVIATION SNIP</v>
      </c>
      <c r="I637" s="31" t="str">
        <f>VLOOKUP(D637,'[1]NEW PRICE LIST'!$C$4:$D$1917,2,FALSE)</f>
        <v>48PCS/CTN</v>
      </c>
      <c r="J637" s="13" t="s">
        <v>300</v>
      </c>
      <c r="K637" s="32">
        <f>VLOOKUP(D637,'[1]NEW PRICE LIST'!$C$4:$H$1917,3,FALSE)</f>
        <v>185</v>
      </c>
      <c r="L637" s="13">
        <v>100</v>
      </c>
      <c r="M637" s="13">
        <v>0</v>
      </c>
      <c r="N637" s="13">
        <v>0</v>
      </c>
    </row>
    <row r="638" spans="1:14" x14ac:dyDescent="0.25">
      <c r="A638" s="14" t="str">
        <f t="shared" si="25"/>
        <v>AVT0000637</v>
      </c>
      <c r="B638" s="13" t="str">
        <f>VLOOKUP(D638,'SUPPLIER_ITEMS (1st Tools)'!C818:D2545,2,FALSE)</f>
        <v>1ST-358-817</v>
      </c>
      <c r="C638" s="14" t="s">
        <v>175</v>
      </c>
      <c r="D638" s="19" t="s">
        <v>1613</v>
      </c>
      <c r="F638" s="30" t="str">
        <f t="shared" si="26"/>
        <v>AV66050-3 STRAIGHT POLONET AVIATION SNIP</v>
      </c>
      <c r="I638" s="31" t="str">
        <f>VLOOKUP(D638,'[1]NEW PRICE LIST'!$C$4:$D$1917,2,FALSE)</f>
        <v>48PCS/CTN</v>
      </c>
      <c r="J638" s="13" t="s">
        <v>300</v>
      </c>
      <c r="K638" s="32">
        <f>VLOOKUP(D638,'[1]NEW PRICE LIST'!$C$4:$H$1917,3,FALSE)</f>
        <v>185</v>
      </c>
      <c r="L638" s="13">
        <v>100</v>
      </c>
      <c r="M638" s="13">
        <v>0</v>
      </c>
      <c r="N638" s="13">
        <v>0</v>
      </c>
    </row>
    <row r="639" spans="1:14" x14ac:dyDescent="0.25">
      <c r="A639" s="14" t="str">
        <f t="shared" si="25"/>
        <v>AVT0000638</v>
      </c>
      <c r="B639" s="13" t="str">
        <f>VLOOKUP(D639,'SUPPLIER_ITEMS (1st Tools)'!C819:D2546,2,FALSE)</f>
        <v>1ST-358-818</v>
      </c>
      <c r="C639" s="14" t="s">
        <v>174</v>
      </c>
      <c r="D639" s="18" t="s">
        <v>1614</v>
      </c>
      <c r="F639" s="30" t="str">
        <f t="shared" si="26"/>
        <v>AV66060-1 POLONET TIN SNIP 8"</v>
      </c>
      <c r="I639" s="31" t="str">
        <f>VLOOKUP(D639,'[1]NEW PRICE LIST'!$C$4:$D$1917,2,FALSE)</f>
        <v>60PCS/CTN</v>
      </c>
      <c r="J639" s="13" t="s">
        <v>300</v>
      </c>
      <c r="K639" s="32">
        <f>VLOOKUP(D639,'[1]NEW PRICE LIST'!$C$4:$H$1917,3,FALSE)</f>
        <v>180</v>
      </c>
      <c r="L639" s="13">
        <v>100</v>
      </c>
      <c r="M639" s="13">
        <v>0</v>
      </c>
      <c r="N639" s="13">
        <v>0</v>
      </c>
    </row>
    <row r="640" spans="1:14" x14ac:dyDescent="0.25">
      <c r="A640" s="14" t="str">
        <f t="shared" si="25"/>
        <v>AVT0000639</v>
      </c>
      <c r="B640" s="13" t="str">
        <f>VLOOKUP(D640,'SUPPLIER_ITEMS (1st Tools)'!C820:D2547,2,FALSE)</f>
        <v>1ST-358-819</v>
      </c>
      <c r="C640" s="14" t="s">
        <v>174</v>
      </c>
      <c r="D640" s="18" t="s">
        <v>1615</v>
      </c>
      <c r="F640" s="30" t="str">
        <f t="shared" si="26"/>
        <v>AV66060-2 POLONET TIN SNIP 10"</v>
      </c>
      <c r="I640" s="31" t="str">
        <f>VLOOKUP(D640,'[1]NEW PRICE LIST'!$C$4:$D$1917,2,FALSE)</f>
        <v>48PCS/CTN</v>
      </c>
      <c r="J640" s="13" t="s">
        <v>300</v>
      </c>
      <c r="K640" s="32">
        <f>VLOOKUP(D640,'[1]NEW PRICE LIST'!$C$4:$H$1917,3,FALSE)</f>
        <v>220</v>
      </c>
      <c r="L640" s="13">
        <v>100</v>
      </c>
      <c r="M640" s="13">
        <v>0</v>
      </c>
      <c r="N640" s="13">
        <v>0</v>
      </c>
    </row>
    <row r="641" spans="1:16" x14ac:dyDescent="0.25">
      <c r="A641" s="14" t="str">
        <f t="shared" si="25"/>
        <v>AVT0000640</v>
      </c>
      <c r="B641" s="13" t="str">
        <f>VLOOKUP(D641,'SUPPLIER_ITEMS (1st Tools)'!C821:D2548,2,FALSE)</f>
        <v>1ST-358-820</v>
      </c>
      <c r="C641" s="14" t="s">
        <v>174</v>
      </c>
      <c r="D641" s="18" t="s">
        <v>1616</v>
      </c>
      <c r="F641" s="30" t="str">
        <f t="shared" si="26"/>
        <v>AV66060-3 POLONET TIN SNIP 12"</v>
      </c>
      <c r="I641" s="31" t="str">
        <f>VLOOKUP(D641,'[1]NEW PRICE LIST'!$C$4:$D$1917,2,FALSE)</f>
        <v>36PCS/CTN</v>
      </c>
      <c r="J641" s="13" t="s">
        <v>300</v>
      </c>
      <c r="K641" s="32">
        <f>VLOOKUP(D641,'[1]NEW PRICE LIST'!$C$4:$H$1917,3,FALSE)</f>
        <v>260</v>
      </c>
      <c r="L641" s="13">
        <v>100</v>
      </c>
      <c r="M641" s="13">
        <v>0</v>
      </c>
      <c r="N641" s="13">
        <v>0</v>
      </c>
    </row>
    <row r="642" spans="1:16" x14ac:dyDescent="0.25">
      <c r="A642" s="14" t="str">
        <f t="shared" si="25"/>
        <v>AVT0000641</v>
      </c>
      <c r="B642" s="13" t="str">
        <f>VLOOKUP(D642,'SUPPLIER_ITEMS (1st Tools)'!C822:D2549,2,FALSE)</f>
        <v>1ST-358-821</v>
      </c>
      <c r="C642" s="14" t="s">
        <v>174</v>
      </c>
      <c r="D642" s="18" t="s">
        <v>1617</v>
      </c>
      <c r="F642" s="30" t="str">
        <f t="shared" si="26"/>
        <v>AV66060-4 POLONET TIN SNIP 14"</v>
      </c>
      <c r="I642" s="31" t="str">
        <f>VLOOKUP(D642,'[1]NEW PRICE LIST'!$C$4:$D$1917,2,FALSE)</f>
        <v>24PCS/CTN</v>
      </c>
      <c r="J642" s="13" t="s">
        <v>300</v>
      </c>
      <c r="K642" s="32">
        <f>VLOOKUP(D642,'[1]NEW PRICE LIST'!$C$4:$H$1917,3,FALSE)</f>
        <v>320</v>
      </c>
      <c r="L642" s="13">
        <v>100</v>
      </c>
      <c r="M642" s="13">
        <v>0</v>
      </c>
      <c r="N642" s="13">
        <v>0</v>
      </c>
    </row>
    <row r="643" spans="1:16" x14ac:dyDescent="0.25">
      <c r="A643" s="14" t="str">
        <f t="shared" si="25"/>
        <v>AVT0000642</v>
      </c>
      <c r="B643" s="13" t="str">
        <f>VLOOKUP(D643,'SUPPLIER_ITEMS (1st Tools)'!C823:D2550,2,FALSE)</f>
        <v>1ST-358-822</v>
      </c>
      <c r="C643" s="14" t="s">
        <v>174</v>
      </c>
      <c r="D643" s="18" t="s">
        <v>1619</v>
      </c>
      <c r="F643" s="30" t="str">
        <f t="shared" si="26"/>
        <v>AV66060-5 POLONET TIN SNIP 16"</v>
      </c>
      <c r="I643" s="31" t="str">
        <f>VLOOKUP(D643,'[1]NEW PRICE LIST'!$C$4:$D$1917,2,FALSE)</f>
        <v>12PCS/CTN</v>
      </c>
      <c r="J643" s="13" t="s">
        <v>300</v>
      </c>
      <c r="K643" s="32">
        <f>VLOOKUP(D643,'[1]NEW PRICE LIST'!$C$4:$H$1917,3,FALSE)</f>
        <v>960</v>
      </c>
      <c r="L643" s="13">
        <v>100</v>
      </c>
      <c r="M643" s="13">
        <v>0</v>
      </c>
      <c r="N643" s="13">
        <v>0</v>
      </c>
    </row>
    <row r="644" spans="1:16" x14ac:dyDescent="0.25">
      <c r="A644" s="14" t="str">
        <f t="shared" ref="A644:A707" si="27">"AVT"&amp;TEXT(RIGHT(A643,LEN(A643)-3)+1,"0000000")</f>
        <v>AVT0000643</v>
      </c>
      <c r="B644" s="13" t="str">
        <f>VLOOKUP(D644,'SUPPLIER_ITEMS (1st Tools)'!C824:D2551,2,FALSE)</f>
        <v>1ST-358-823</v>
      </c>
      <c r="C644" s="14" t="s">
        <v>173</v>
      </c>
      <c r="D644" s="18" t="s">
        <v>1621</v>
      </c>
      <c r="F644" s="30" t="str">
        <f t="shared" si="26"/>
        <v>AV66200-1 (LT55023-1) POLOLOCK PAINT BRUSH 1/2"</v>
      </c>
      <c r="I644" s="31" t="str">
        <f>VLOOKUP(D644,'[1]NEW PRICE LIST'!$C$4:$D$1917,2,FALSE)</f>
        <v>50DOZ/CTN</v>
      </c>
      <c r="J644" s="13" t="s">
        <v>3972</v>
      </c>
      <c r="K644" s="32">
        <f>VLOOKUP(D644,'[1]NEW PRICE LIST'!$C$4:$H$1917,3,FALSE)</f>
        <v>130</v>
      </c>
      <c r="L644" s="13">
        <v>100</v>
      </c>
      <c r="M644" s="13">
        <v>0</v>
      </c>
      <c r="N644" s="13">
        <v>0</v>
      </c>
    </row>
    <row r="645" spans="1:16" x14ac:dyDescent="0.25">
      <c r="A645" s="14" t="str">
        <f t="shared" si="27"/>
        <v>AVT0000644</v>
      </c>
      <c r="B645" s="13" t="str">
        <f>VLOOKUP(D645,'SUPPLIER_ITEMS (1st Tools)'!C825:D2552,2,FALSE)</f>
        <v>1ST-358-824</v>
      </c>
      <c r="C645" s="14" t="s">
        <v>173</v>
      </c>
      <c r="D645" s="18" t="s">
        <v>1623</v>
      </c>
      <c r="F645" s="30" t="str">
        <f t="shared" si="26"/>
        <v>AV66200-2 (LT55023-2) POLOLOCK PAINT BRUSH 3/4"</v>
      </c>
      <c r="I645" s="31" t="str">
        <f>VLOOKUP(D645,'[1]NEW PRICE LIST'!$C$4:$D$1917,2,FALSE)</f>
        <v>50DOZ/CTN</v>
      </c>
      <c r="J645" s="13" t="s">
        <v>3972</v>
      </c>
      <c r="K645" s="32">
        <f>VLOOKUP(D645,'[1]NEW PRICE LIST'!$C$4:$H$1917,3,FALSE)</f>
        <v>170</v>
      </c>
      <c r="L645" s="13">
        <v>100</v>
      </c>
      <c r="M645" s="13">
        <v>0</v>
      </c>
      <c r="N645" s="13">
        <v>0</v>
      </c>
    </row>
    <row r="646" spans="1:16" x14ac:dyDescent="0.25">
      <c r="A646" s="14" t="str">
        <f t="shared" si="27"/>
        <v>AVT0000645</v>
      </c>
      <c r="B646" s="13" t="str">
        <f>VLOOKUP(D646,'SUPPLIER_ITEMS (1st Tools)'!C826:D2553,2,FALSE)</f>
        <v>1ST-358-825</v>
      </c>
      <c r="C646" s="14" t="s">
        <v>173</v>
      </c>
      <c r="D646" s="18" t="s">
        <v>1625</v>
      </c>
      <c r="F646" s="30" t="str">
        <f t="shared" si="26"/>
        <v>AV66200-3 (LT55023-3) POLOLOCK PAINT BRUSH 1"</v>
      </c>
      <c r="I646" s="31" t="str">
        <f>VLOOKUP(D646,'[1]NEW PRICE LIST'!$C$4:$D$1917,2,FALSE)</f>
        <v>50DOZ/CTN</v>
      </c>
      <c r="J646" s="13" t="s">
        <v>3972</v>
      </c>
      <c r="K646" s="32">
        <f>VLOOKUP(D646,'[1]NEW PRICE LIST'!$C$4:$H$1917,3,FALSE)</f>
        <v>210</v>
      </c>
      <c r="L646" s="13">
        <v>100</v>
      </c>
      <c r="M646" s="13">
        <v>0</v>
      </c>
      <c r="N646" s="13">
        <v>0</v>
      </c>
    </row>
    <row r="647" spans="1:16" x14ac:dyDescent="0.25">
      <c r="A647" s="14" t="str">
        <f t="shared" si="27"/>
        <v>AVT0000646</v>
      </c>
      <c r="B647" s="13" t="str">
        <f>VLOOKUP(D647,'SUPPLIER_ITEMS (1st Tools)'!C827:D2554,2,FALSE)</f>
        <v>1ST-358-826</v>
      </c>
      <c r="C647" s="14" t="s">
        <v>173</v>
      </c>
      <c r="D647" s="18" t="s">
        <v>1627</v>
      </c>
      <c r="F647" s="30" t="str">
        <f t="shared" si="26"/>
        <v>AV66200-4 (LT55023-4) POLOLOCK PAINT BRUSH 1"1/2</v>
      </c>
      <c r="I647" s="31" t="str">
        <f>VLOOKUP(D647,'[1]NEW PRICE LIST'!$C$4:$D$1917,2,FALSE)</f>
        <v>50DOZ/CTN</v>
      </c>
      <c r="J647" s="13" t="s">
        <v>3972</v>
      </c>
      <c r="K647" s="32">
        <f>VLOOKUP(D647,'[1]NEW PRICE LIST'!$C$4:$H$1917,3,FALSE)</f>
        <v>310</v>
      </c>
      <c r="L647" s="13">
        <v>100</v>
      </c>
      <c r="M647" s="13">
        <v>0</v>
      </c>
      <c r="N647" s="13">
        <v>0</v>
      </c>
    </row>
    <row r="648" spans="1:16" x14ac:dyDescent="0.25">
      <c r="A648" s="14" t="str">
        <f t="shared" si="27"/>
        <v>AVT0000647</v>
      </c>
      <c r="B648" s="13" t="str">
        <f>VLOOKUP(D648,'SUPPLIER_ITEMS (1st Tools)'!C828:D2555,2,FALSE)</f>
        <v>1ST-358-827</v>
      </c>
      <c r="C648" s="14" t="s">
        <v>173</v>
      </c>
      <c r="D648" s="18" t="s">
        <v>1629</v>
      </c>
      <c r="F648" s="30" t="str">
        <f t="shared" si="26"/>
        <v>AV66200-5 (LT55023-5) POLOLOCK PAINT BRUSH 2"</v>
      </c>
      <c r="I648" s="31" t="str">
        <f>VLOOKUP(D648,'[1]NEW PRICE LIST'!$C$4:$D$1917,2,FALSE)</f>
        <v>40DOZ/CTN</v>
      </c>
      <c r="J648" s="13" t="s">
        <v>3972</v>
      </c>
      <c r="K648" s="32">
        <f>VLOOKUP(D648,'[1]NEW PRICE LIST'!$C$4:$H$1917,3,FALSE)</f>
        <v>460</v>
      </c>
      <c r="L648" s="13">
        <v>100</v>
      </c>
      <c r="M648" s="13">
        <v>0</v>
      </c>
      <c r="N648" s="13">
        <v>0</v>
      </c>
    </row>
    <row r="649" spans="1:16" x14ac:dyDescent="0.25">
      <c r="A649" s="14" t="str">
        <f t="shared" si="27"/>
        <v>AVT0000648</v>
      </c>
      <c r="B649" s="13" t="str">
        <f>VLOOKUP(D649,'SUPPLIER_ITEMS (1st Tools)'!C829:D2556,2,FALSE)</f>
        <v>1ST-358-828</v>
      </c>
      <c r="C649" s="14" t="s">
        <v>173</v>
      </c>
      <c r="D649" s="18" t="s">
        <v>1631</v>
      </c>
      <c r="F649" s="30" t="str">
        <f t="shared" si="26"/>
        <v>AV66200-6 (LT55023-6) POLOLOCK PAINT BRUSH 2"1/2</v>
      </c>
      <c r="I649" s="31" t="str">
        <f>VLOOKUP(D649,'[1]NEW PRICE LIST'!$C$4:$D$1917,2,FALSE)</f>
        <v>30DOZ/CTN</v>
      </c>
      <c r="J649" s="13" t="s">
        <v>3972</v>
      </c>
      <c r="K649" s="32">
        <f>VLOOKUP(D649,'[1]NEW PRICE LIST'!$C$4:$H$1917,3,FALSE)</f>
        <v>570</v>
      </c>
      <c r="L649" s="13">
        <v>100</v>
      </c>
      <c r="M649" s="13">
        <v>0</v>
      </c>
      <c r="N649" s="13">
        <v>0</v>
      </c>
    </row>
    <row r="650" spans="1:16" x14ac:dyDescent="0.25">
      <c r="A650" s="14" t="str">
        <f t="shared" si="27"/>
        <v>AVT0000649</v>
      </c>
      <c r="B650" s="13" t="str">
        <f>VLOOKUP(D650,'SUPPLIER_ITEMS (1st Tools)'!C830:D2557,2,FALSE)</f>
        <v>1ST-358-829</v>
      </c>
      <c r="C650" s="14" t="s">
        <v>173</v>
      </c>
      <c r="D650" s="18" t="s">
        <v>1633</v>
      </c>
      <c r="F650" s="30" t="str">
        <f t="shared" si="26"/>
        <v>AV66200-7 (LT55023-7)POLOLOCK PAINT BRUSH 3"</v>
      </c>
      <c r="I650" s="31" t="str">
        <f>VLOOKUP(D650,'[1]NEW PRICE LIST'!$C$4:$D$1917,2,FALSE)</f>
        <v>30DOZ/CTN</v>
      </c>
      <c r="J650" s="13" t="s">
        <v>3972</v>
      </c>
      <c r="K650" s="32">
        <f>VLOOKUP(D650,'[1]NEW PRICE LIST'!$C$4:$H$1917,3,FALSE)</f>
        <v>910</v>
      </c>
      <c r="L650" s="13">
        <v>100</v>
      </c>
      <c r="M650" s="13">
        <v>0</v>
      </c>
      <c r="N650" s="13">
        <v>0</v>
      </c>
    </row>
    <row r="651" spans="1:16" x14ac:dyDescent="0.25">
      <c r="A651" s="14" t="str">
        <f t="shared" si="27"/>
        <v>AVT0000650</v>
      </c>
      <c r="B651" s="13" t="str">
        <f>VLOOKUP(D651,'SUPPLIER_ITEMS (1st Tools)'!C831:D2558,2,FALSE)</f>
        <v>1ST-358-830</v>
      </c>
      <c r="C651" s="14" t="s">
        <v>173</v>
      </c>
      <c r="D651" s="18" t="s">
        <v>1635</v>
      </c>
      <c r="F651" s="30" t="str">
        <f t="shared" si="26"/>
        <v>AV66200-8 (LT55023-8) POLOLOCK PAINT BRUSH 4"</v>
      </c>
      <c r="I651" s="31" t="str">
        <f>VLOOKUP(D651,'[1]NEW PRICE LIST'!$C$4:$D$1917,2,FALSE)</f>
        <v>20DOZ/CTN</v>
      </c>
      <c r="J651" s="13" t="s">
        <v>3972</v>
      </c>
      <c r="K651" s="32">
        <f>VLOOKUP(D651,'[1]NEW PRICE LIST'!$C$4:$H$1917,3,FALSE)</f>
        <v>1320</v>
      </c>
      <c r="L651" s="13">
        <v>100</v>
      </c>
      <c r="M651" s="13">
        <v>0</v>
      </c>
      <c r="N651" s="13">
        <v>0</v>
      </c>
    </row>
    <row r="652" spans="1:16" ht="26.4" x14ac:dyDescent="0.25">
      <c r="A652" s="14" t="str">
        <f t="shared" si="27"/>
        <v>AVT0000651</v>
      </c>
      <c r="B652" s="13" t="str">
        <f>VLOOKUP(D652,'SUPPLIER_ITEMS (1st Tools)'!C832:D2559,2,FALSE)</f>
        <v>1ST-358-831</v>
      </c>
      <c r="C652" s="14" t="s">
        <v>172</v>
      </c>
      <c r="D652" s="18" t="s">
        <v>2740</v>
      </c>
      <c r="F652" s="30" t="str">
        <f t="shared" si="26"/>
        <v>AV66190-1 (LT22012-7H) POLONET ACRYLON PAINT ROLLER W/HANDLE 7"</v>
      </c>
      <c r="I652" s="31" t="str">
        <f>VLOOKUP(D652,'[1]NEW PRICE LIST'!$C$4:$D$1917,2,FALSE)</f>
        <v>60PCS/CTN</v>
      </c>
      <c r="J652" s="13" t="s">
        <v>300</v>
      </c>
      <c r="K652" s="32">
        <f>VLOOKUP(D652,'[1]NEW PRICE LIST'!$C$4:$H$1917,3,FALSE)</f>
        <v>75</v>
      </c>
      <c r="L652" s="13">
        <v>100</v>
      </c>
      <c r="M652" s="13">
        <v>0</v>
      </c>
      <c r="N652" s="13">
        <v>15</v>
      </c>
      <c r="P652" s="13" t="s">
        <v>3963</v>
      </c>
    </row>
    <row r="653" spans="1:16" ht="26.4" x14ac:dyDescent="0.25">
      <c r="A653" s="14" t="str">
        <f t="shared" si="27"/>
        <v>AVT0000652</v>
      </c>
      <c r="B653" s="13" t="str">
        <f>VLOOKUP(D653,'SUPPLIER_ITEMS (1st Tools)'!C833:D2560,2,FALSE)</f>
        <v>1ST-358-832</v>
      </c>
      <c r="C653" s="14" t="s">
        <v>172</v>
      </c>
      <c r="D653" s="18" t="s">
        <v>3804</v>
      </c>
      <c r="F653" s="30" t="str">
        <f t="shared" si="26"/>
        <v>AV66190-2 (LT22012-9H) POLONET ACRYLON PAINT ROLLER W/HANDLE 9"</v>
      </c>
      <c r="I653" s="31" t="str">
        <f>VLOOKUP(D653,'[1]NEW PRICE LIST'!$C$4:$D$1917,2,FALSE)</f>
        <v>60PCS/CTN</v>
      </c>
      <c r="J653" s="13" t="s">
        <v>300</v>
      </c>
      <c r="K653" s="32">
        <f>VLOOKUP(D653,'[1]NEW PRICE LIST'!$C$4:$H$1917,3,FALSE)</f>
        <v>95</v>
      </c>
      <c r="L653" s="13">
        <v>100</v>
      </c>
      <c r="M653" s="13">
        <v>0</v>
      </c>
      <c r="N653" s="13">
        <v>15</v>
      </c>
      <c r="P653" s="13" t="s">
        <v>3963</v>
      </c>
    </row>
    <row r="654" spans="1:16" x14ac:dyDescent="0.25">
      <c r="A654" s="14" t="str">
        <f t="shared" si="27"/>
        <v>AVT0000653</v>
      </c>
      <c r="B654" s="13" t="str">
        <f>VLOOKUP(D654,'SUPPLIER_ITEMS (1st Tools)'!C834:D2561,2,FALSE)</f>
        <v>1ST-358-833</v>
      </c>
      <c r="C654" s="14" t="s">
        <v>172</v>
      </c>
      <c r="D654" s="19" t="s">
        <v>2741</v>
      </c>
      <c r="F654" s="30" t="str">
        <f t="shared" si="26"/>
        <v>AV66190-3 ACRYLON PAINT ROLLER ONLY 7"</v>
      </c>
      <c r="I654" s="31" t="str">
        <f>VLOOKUP(D654,'[1]NEW PRICE LIST'!$C$4:$D$1917,2,FALSE)</f>
        <v>120PCS/CTN</v>
      </c>
      <c r="J654" s="13" t="s">
        <v>300</v>
      </c>
      <c r="K654" s="32">
        <f>VLOOKUP(D654,'[1]NEW PRICE LIST'!$C$4:$H$1917,3,FALSE)</f>
        <v>40</v>
      </c>
      <c r="L654" s="13">
        <v>100</v>
      </c>
      <c r="M654" s="13">
        <v>0</v>
      </c>
      <c r="N654" s="13">
        <v>0</v>
      </c>
    </row>
    <row r="655" spans="1:16" x14ac:dyDescent="0.25">
      <c r="A655" s="14" t="str">
        <f t="shared" si="27"/>
        <v>AVT0000654</v>
      </c>
      <c r="B655" s="13" t="str">
        <f>VLOOKUP(D655,'SUPPLIER_ITEMS (1st Tools)'!C835:D2562,2,FALSE)</f>
        <v>1ST-358-834</v>
      </c>
      <c r="C655" s="14" t="s">
        <v>172</v>
      </c>
      <c r="D655" s="19" t="s">
        <v>2742</v>
      </c>
      <c r="F655" s="30" t="str">
        <f t="shared" ref="F655:F699" si="28">"AV"&amp;RIGHT(D655,LEN(D655)-2)</f>
        <v>AV66190-4 ACRYLON PAINT ROLLER ONLY 9"</v>
      </c>
      <c r="I655" s="31" t="str">
        <f>VLOOKUP(D655,'[1]NEW PRICE LIST'!$C$4:$D$1917,2,FALSE)</f>
        <v>120PCS/CTN</v>
      </c>
      <c r="J655" s="13" t="s">
        <v>300</v>
      </c>
      <c r="K655" s="32">
        <f>VLOOKUP(D655,'[1]NEW PRICE LIST'!$C$4:$H$1917,3,FALSE)</f>
        <v>55</v>
      </c>
      <c r="L655" s="13">
        <v>100</v>
      </c>
      <c r="M655" s="13">
        <v>0</v>
      </c>
      <c r="N655" s="13">
        <v>0</v>
      </c>
    </row>
    <row r="656" spans="1:16" x14ac:dyDescent="0.25">
      <c r="A656" s="14" t="str">
        <f t="shared" si="27"/>
        <v>AVT0000655</v>
      </c>
      <c r="B656" s="13" t="str">
        <f>VLOOKUP(D656,'SUPPLIER_ITEMS (1st Tools)'!C836:D2563,2,FALSE)</f>
        <v>1ST-358-835</v>
      </c>
      <c r="C656" s="14" t="s">
        <v>172</v>
      </c>
      <c r="D656" s="18" t="s">
        <v>2743</v>
      </c>
      <c r="F656" s="30" t="str">
        <f t="shared" si="28"/>
        <v>AV66191-1 POLONET COTTON BABY ROLLER W/HANDLE 4"</v>
      </c>
      <c r="I656" s="31" t="str">
        <f>VLOOKUP(D656,'[1]NEW PRICE LIST'!$C$4:$D$1917,2,FALSE)</f>
        <v>200PCS/CTN</v>
      </c>
      <c r="J656" s="13" t="s">
        <v>300</v>
      </c>
      <c r="K656" s="32">
        <f>VLOOKUP(D656,'[1]NEW PRICE LIST'!$C$4:$H$1917,3,FALSE)</f>
        <v>28</v>
      </c>
      <c r="L656" s="13">
        <v>100</v>
      </c>
      <c r="M656" s="13">
        <v>0</v>
      </c>
      <c r="N656" s="13">
        <v>0</v>
      </c>
    </row>
    <row r="657" spans="1:14" ht="26.4" x14ac:dyDescent="0.25">
      <c r="A657" s="14" t="str">
        <f t="shared" si="27"/>
        <v>AVT0000656</v>
      </c>
      <c r="B657" s="13" t="str">
        <f>VLOOKUP(D657,'SUPPLIER_ITEMS (1st Tools)'!C837:D2564,2,FALSE)</f>
        <v>1ST-358-836</v>
      </c>
      <c r="C657" s="14" t="s">
        <v>172</v>
      </c>
      <c r="D657" s="18" t="s">
        <v>2744</v>
      </c>
      <c r="F657" s="30" t="str">
        <f t="shared" si="28"/>
        <v>AV66191-2 (LT22013-FH) POLONET FOAM BABY ROLLER W/HANDLE 4"</v>
      </c>
      <c r="I657" s="31" t="str">
        <f>VLOOKUP(D657,'[1]NEW PRICE LIST'!$C$4:$D$1917,2,FALSE)</f>
        <v>200PCS/CTN</v>
      </c>
      <c r="J657" s="13" t="s">
        <v>300</v>
      </c>
      <c r="K657" s="32">
        <f>VLOOKUP(D657,'[1]NEW PRICE LIST'!$C$4:$H$1917,3,FALSE)</f>
        <v>28</v>
      </c>
      <c r="L657" s="13">
        <v>100</v>
      </c>
      <c r="M657" s="13">
        <v>0</v>
      </c>
      <c r="N657" s="13">
        <v>0</v>
      </c>
    </row>
    <row r="658" spans="1:14" ht="26.4" x14ac:dyDescent="0.25">
      <c r="A658" s="14" t="str">
        <f t="shared" si="27"/>
        <v>AVT0000657</v>
      </c>
      <c r="B658" s="13" t="str">
        <f>VLOOKUP(D658,'SUPPLIER_ITEMS (1st Tools)'!C838:D2565,2,FALSE)</f>
        <v>1ST-358-837</v>
      </c>
      <c r="C658" s="14" t="s">
        <v>172</v>
      </c>
      <c r="D658" s="18" t="s">
        <v>2745</v>
      </c>
      <c r="F658" s="30" t="str">
        <f t="shared" si="28"/>
        <v>AV66191-3 (LT22013-C) POLOLOCK COTTON BABY ROLLER ONLY 4"</v>
      </c>
      <c r="I658" s="31" t="str">
        <f>VLOOKUP(D658,'[1]NEW PRICE LIST'!$C$4:$D$1917,2,FALSE)</f>
        <v>500PCS/CTN</v>
      </c>
      <c r="J658" s="13" t="s">
        <v>300</v>
      </c>
      <c r="K658" s="32">
        <f>VLOOKUP(D658,'[1]NEW PRICE LIST'!$C$4:$H$1917,3,FALSE)</f>
        <v>18</v>
      </c>
      <c r="L658" s="13">
        <v>100</v>
      </c>
      <c r="M658" s="13">
        <v>0</v>
      </c>
      <c r="N658" s="13">
        <v>0</v>
      </c>
    </row>
    <row r="659" spans="1:14" ht="26.4" x14ac:dyDescent="0.25">
      <c r="A659" s="14" t="str">
        <f t="shared" si="27"/>
        <v>AVT0000658</v>
      </c>
      <c r="B659" s="13" t="str">
        <f>VLOOKUP(D659,'SUPPLIER_ITEMS (1st Tools)'!C839:D2566,2,FALSE)</f>
        <v>1ST-358-838</v>
      </c>
      <c r="C659" s="14" t="s">
        <v>172</v>
      </c>
      <c r="D659" s="18" t="s">
        <v>2746</v>
      </c>
      <c r="F659" s="30" t="str">
        <f t="shared" si="28"/>
        <v>AV66191-4 (LT22013-F) POLOLOCK FOAM BABY ROLLER ONLY 4"</v>
      </c>
      <c r="I659" s="31" t="str">
        <f>VLOOKUP(D659,'[1]NEW PRICE LIST'!$C$4:$D$1917,2,FALSE)</f>
        <v>500PCS/CTN</v>
      </c>
      <c r="J659" s="13" t="s">
        <v>300</v>
      </c>
      <c r="K659" s="32">
        <f>VLOOKUP(D659,'[1]NEW PRICE LIST'!$C$4:$H$1917,3,FALSE)</f>
        <v>18</v>
      </c>
      <c r="L659" s="13">
        <v>100</v>
      </c>
      <c r="M659" s="13">
        <v>0</v>
      </c>
      <c r="N659" s="13">
        <v>0</v>
      </c>
    </row>
    <row r="660" spans="1:14" ht="26.4" x14ac:dyDescent="0.25">
      <c r="A660" s="14" t="str">
        <f t="shared" si="27"/>
        <v>AVT0000659</v>
      </c>
      <c r="B660" s="13" t="str">
        <f>VLOOKUP(D660,'SUPPLIER_ITEMS (1st Tools)'!C840:D2567,2,FALSE)</f>
        <v>1ST-358-839</v>
      </c>
      <c r="C660" s="14" t="s">
        <v>172</v>
      </c>
      <c r="D660" s="18" t="s">
        <v>1641</v>
      </c>
      <c r="F660" s="30" t="str">
        <f t="shared" si="28"/>
        <v>AV66192-1 POLONET 5PCS PAINT ROLLER COTTON 4"</v>
      </c>
      <c r="I660" s="31" t="str">
        <f>VLOOKUP(D660,'[1]NEW PRICE LIST'!$C$4:$D$1917,2,FALSE)</f>
        <v>5PCS/PACK*200PA CKS/CTN</v>
      </c>
      <c r="J660" s="13" t="s">
        <v>3973</v>
      </c>
      <c r="K660" s="32">
        <f>VLOOKUP(D660,'[1]NEW PRICE LIST'!$C$4:$H$1917,3,FALSE)</f>
        <v>44</v>
      </c>
      <c r="L660" s="13">
        <v>100</v>
      </c>
      <c r="M660" s="13">
        <v>0</v>
      </c>
      <c r="N660" s="13">
        <v>0</v>
      </c>
    </row>
    <row r="661" spans="1:14" ht="26.4" x14ac:dyDescent="0.25">
      <c r="A661" s="14" t="str">
        <f t="shared" si="27"/>
        <v>AVT0000660</v>
      </c>
      <c r="B661" s="13" t="str">
        <f>VLOOKUP(D661,'SUPPLIER_ITEMS (1st Tools)'!C841:D2568,2,FALSE)</f>
        <v>1ST-358-840</v>
      </c>
      <c r="C661" s="14" t="s">
        <v>172</v>
      </c>
      <c r="D661" s="18" t="s">
        <v>1643</v>
      </c>
      <c r="F661" s="30" t="str">
        <f t="shared" si="28"/>
        <v>AV66192-2 POLONET 5PCS PAINT ROLLER FOAM 4"</v>
      </c>
      <c r="I661" s="31" t="str">
        <f>VLOOKUP(D661,'[1]NEW PRICE LIST'!$C$4:$D$1917,2,FALSE)</f>
        <v>5PCS/PACK*200PA CKS/CTN</v>
      </c>
      <c r="J661" s="13" t="s">
        <v>3973</v>
      </c>
      <c r="K661" s="32">
        <f>VLOOKUP(D661,'[1]NEW PRICE LIST'!$C$4:$H$1917,3,FALSE)</f>
        <v>48</v>
      </c>
      <c r="L661" s="13">
        <v>100</v>
      </c>
      <c r="M661" s="13">
        <v>0</v>
      </c>
      <c r="N661" s="13">
        <v>0</v>
      </c>
    </row>
    <row r="662" spans="1:14" x14ac:dyDescent="0.25">
      <c r="A662" s="14" t="str">
        <f t="shared" si="27"/>
        <v>AVT0000661</v>
      </c>
      <c r="B662" s="13" t="str">
        <f>VLOOKUP(D662,'SUPPLIER_ITEMS (1st Tools)'!C860:D2587,2,FALSE)</f>
        <v>1ST-358-859</v>
      </c>
      <c r="C662" s="14" t="s">
        <v>169</v>
      </c>
      <c r="D662" s="19" t="s">
        <v>1667</v>
      </c>
      <c r="F662" s="30" t="str">
        <f t="shared" si="28"/>
        <v>AV66240-1 SCREW DRIVER BIT 50MM</v>
      </c>
      <c r="I662" s="31" t="str">
        <f>VLOOKUP(D662,'[1]NEW PRICE LIST'!$C$4:$D$1917,2,FALSE)</f>
        <v>100CARD/CTN</v>
      </c>
      <c r="J662" s="13" t="s">
        <v>3974</v>
      </c>
      <c r="K662" s="32">
        <v>130</v>
      </c>
      <c r="L662" s="13">
        <v>100</v>
      </c>
      <c r="M662" s="13">
        <v>0</v>
      </c>
      <c r="N662" s="13">
        <v>0</v>
      </c>
    </row>
    <row r="663" spans="1:14" x14ac:dyDescent="0.25">
      <c r="A663" s="14" t="str">
        <f t="shared" si="27"/>
        <v>AVT0000662</v>
      </c>
      <c r="B663" s="13" t="str">
        <f>VLOOKUP(D663,'SUPPLIER_ITEMS (1st Tools)'!C861:D2588,2,FALSE)</f>
        <v>1ST-358-860</v>
      </c>
      <c r="C663" s="14" t="s">
        <v>169</v>
      </c>
      <c r="D663" s="19" t="s">
        <v>1669</v>
      </c>
      <c r="F663" s="30" t="str">
        <f t="shared" si="28"/>
        <v>AV66240-2 SCREW DRIVER BIT 65MM</v>
      </c>
      <c r="I663" s="31" t="str">
        <f>VLOOKUP(D663,'[1]NEW PRICE LIST'!$C$4:$D$1917,2,FALSE)</f>
        <v>100CARD/CTN</v>
      </c>
      <c r="J663" s="13" t="s">
        <v>3974</v>
      </c>
      <c r="K663" s="32">
        <v>140</v>
      </c>
      <c r="L663" s="13">
        <v>100</v>
      </c>
      <c r="M663" s="13">
        <v>0</v>
      </c>
      <c r="N663" s="13">
        <v>0</v>
      </c>
    </row>
    <row r="664" spans="1:14" x14ac:dyDescent="0.25">
      <c r="A664" s="14" t="str">
        <f t="shared" si="27"/>
        <v>AVT0000663</v>
      </c>
      <c r="B664" s="13" t="str">
        <f>VLOOKUP(D664,'SUPPLIER_ITEMS (1st Tools)'!C862:D2589,2,FALSE)</f>
        <v>1ST-358-861</v>
      </c>
      <c r="C664" s="14" t="s">
        <v>168</v>
      </c>
      <c r="D664" s="18" t="s">
        <v>1671</v>
      </c>
      <c r="F664" s="30" t="str">
        <f t="shared" si="28"/>
        <v>AV66250-1 8*48MM 6PCS MAGNETIC TEKSCREW ADAPTOR</v>
      </c>
      <c r="I664" s="31" t="str">
        <f>VLOOKUP(D664,'[1]NEW PRICE LIST'!$C$4:$D$1917,2,FALSE)</f>
        <v>80CARD/CTN</v>
      </c>
      <c r="J664" s="13" t="s">
        <v>3974</v>
      </c>
      <c r="K664" s="32">
        <f>VLOOKUP(D664,'[1]NEW PRICE LIST'!$C$4:$H$1917,3,FALSE)</f>
        <v>20</v>
      </c>
      <c r="L664" s="13">
        <v>100</v>
      </c>
      <c r="M664" s="13">
        <v>0</v>
      </c>
      <c r="N664" s="13">
        <v>0</v>
      </c>
    </row>
    <row r="665" spans="1:14" x14ac:dyDescent="0.25">
      <c r="A665" s="14" t="str">
        <f t="shared" si="27"/>
        <v>AVT0000664</v>
      </c>
      <c r="B665" s="13" t="str">
        <f>VLOOKUP(D665,'SUPPLIER_ITEMS (1st Tools)'!C863:D2590,2,FALSE)</f>
        <v>1ST-358-862</v>
      </c>
      <c r="C665" s="14" t="s">
        <v>168</v>
      </c>
      <c r="D665" s="18" t="s">
        <v>1673</v>
      </c>
      <c r="F665" s="30" t="str">
        <f t="shared" si="28"/>
        <v>AV66250-2 8*65MM 6PCS MAGNETIC TEKSCREW ADAPTOR</v>
      </c>
      <c r="I665" s="31" t="str">
        <f>VLOOKUP(D665,'[1]NEW PRICE LIST'!$C$4:$D$1917,2,FALSE)</f>
        <v>80CARD/CTN</v>
      </c>
      <c r="J665" s="13" t="s">
        <v>3974</v>
      </c>
      <c r="K665" s="32">
        <f>VLOOKUP(D665,'[1]NEW PRICE LIST'!$C$4:$H$1917,3,FALSE)</f>
        <v>25</v>
      </c>
      <c r="L665" s="13">
        <v>100</v>
      </c>
      <c r="M665" s="13">
        <v>0</v>
      </c>
      <c r="N665" s="13">
        <v>0</v>
      </c>
    </row>
    <row r="666" spans="1:14" x14ac:dyDescent="0.25">
      <c r="A666" s="14" t="str">
        <f t="shared" si="27"/>
        <v>AVT0000665</v>
      </c>
      <c r="B666" s="13" t="str">
        <f>VLOOKUP(D666,'SUPPLIER_ITEMS (1st Tools)'!C864:D2591,2,FALSE)</f>
        <v>1ST-358-863</v>
      </c>
      <c r="C666" s="14" t="s">
        <v>167</v>
      </c>
      <c r="D666" s="18" t="s">
        <v>1675</v>
      </c>
      <c r="F666" s="30" t="str">
        <f t="shared" si="28"/>
        <v>AV66260-1 12"*1/2"*18T BI-METAL HACKSAW BLADE</v>
      </c>
      <c r="I666" s="31" t="str">
        <f>VLOOKUP(D666,'[1]NEW PRICE LIST'!$C$4:$D$1917,2,FALSE)</f>
        <v>1000PCS/CTN</v>
      </c>
      <c r="J666" s="13" t="s">
        <v>300</v>
      </c>
      <c r="K666" s="32">
        <f>VLOOKUP(D666,'[1]NEW PRICE LIST'!$C$4:$H$1917,3,FALSE)</f>
        <v>33</v>
      </c>
      <c r="L666" s="13">
        <v>100</v>
      </c>
      <c r="M666" s="13">
        <v>0</v>
      </c>
      <c r="N666" s="13">
        <v>0</v>
      </c>
    </row>
    <row r="667" spans="1:14" x14ac:dyDescent="0.25">
      <c r="A667" s="14" t="str">
        <f t="shared" si="27"/>
        <v>AVT0000666</v>
      </c>
      <c r="B667" s="13" t="str">
        <f>VLOOKUP(D667,'SUPPLIER_ITEMS (1st Tools)'!C865:D2592,2,FALSE)</f>
        <v>1ST-358-864</v>
      </c>
      <c r="C667" s="14" t="s">
        <v>167</v>
      </c>
      <c r="D667" s="18" t="s">
        <v>1676</v>
      </c>
      <c r="F667" s="30" t="str">
        <f t="shared" si="28"/>
        <v>AV66260-2 12"*1/2"*24T BI-METAL HACKSAW BLADE</v>
      </c>
      <c r="I667" s="31" t="str">
        <f>VLOOKUP(D667,'[1]NEW PRICE LIST'!$C$4:$D$1917,2,FALSE)</f>
        <v>1000PCS/CTN</v>
      </c>
      <c r="J667" s="13" t="s">
        <v>300</v>
      </c>
      <c r="K667" s="32">
        <f>VLOOKUP(D667,'[1]NEW PRICE LIST'!$C$4:$H$1917,3,FALSE)</f>
        <v>33</v>
      </c>
      <c r="L667" s="13">
        <v>100</v>
      </c>
      <c r="M667" s="13">
        <v>0</v>
      </c>
      <c r="N667" s="13">
        <v>0</v>
      </c>
    </row>
    <row r="668" spans="1:14" x14ac:dyDescent="0.25">
      <c r="A668" s="14" t="str">
        <f t="shared" si="27"/>
        <v>AVT0000667</v>
      </c>
      <c r="B668" s="13" t="str">
        <f>VLOOKUP(D668,'SUPPLIER_ITEMS (1st Tools)'!C866:D2593,2,FALSE)</f>
        <v>1ST-358-865</v>
      </c>
      <c r="C668" s="14" t="s">
        <v>166</v>
      </c>
      <c r="D668" s="19" t="s">
        <v>1677</v>
      </c>
      <c r="F668" s="30" t="str">
        <f t="shared" si="28"/>
        <v>AV66071-1 (LT44004-1) HACKSAW FRAME CHROME</v>
      </c>
      <c r="I668" s="31" t="str">
        <f>VLOOKUP(D668,'[1]NEW PRICE LIST'!$C$4:$D$1917,2,FALSE)</f>
        <v>48PCS/CTN</v>
      </c>
      <c r="J668" s="13" t="s">
        <v>300</v>
      </c>
      <c r="K668" s="32">
        <f>VLOOKUP(D668,'[1]NEW PRICE LIST'!$C$4:$H$1917,3,FALSE)</f>
        <v>95</v>
      </c>
      <c r="L668" s="13">
        <v>100</v>
      </c>
      <c r="M668" s="13">
        <v>0</v>
      </c>
      <c r="N668" s="13">
        <v>0</v>
      </c>
    </row>
    <row r="669" spans="1:14" x14ac:dyDescent="0.25">
      <c r="A669" s="14" t="str">
        <f t="shared" si="27"/>
        <v>AVT0000668</v>
      </c>
      <c r="B669" s="13" t="str">
        <f>VLOOKUP(D669,'SUPPLIER_ITEMS (1st Tools)'!C867:D2594,2,FALSE)</f>
        <v>1ST-358-866</v>
      </c>
      <c r="C669" s="14" t="s">
        <v>166</v>
      </c>
      <c r="D669" s="19" t="s">
        <v>1678</v>
      </c>
      <c r="F669" s="30" t="str">
        <f t="shared" si="28"/>
        <v>AV66071-2 HACKSAW FRAME BLACK</v>
      </c>
      <c r="I669" s="31" t="str">
        <f>VLOOKUP(D669,'[1]NEW PRICE LIST'!$C$4:$D$1917,2,FALSE)</f>
        <v>48PCS/CTN</v>
      </c>
      <c r="J669" s="13" t="s">
        <v>300</v>
      </c>
      <c r="K669" s="32">
        <f>VLOOKUP(D669,'[1]NEW PRICE LIST'!$C$4:$H$1917,3,FALSE)</f>
        <v>80</v>
      </c>
      <c r="L669" s="13">
        <v>100</v>
      </c>
      <c r="M669" s="13">
        <v>0</v>
      </c>
      <c r="N669" s="13">
        <v>0</v>
      </c>
    </row>
    <row r="670" spans="1:14" x14ac:dyDescent="0.25">
      <c r="A670" s="14" t="str">
        <f t="shared" si="27"/>
        <v>AVT0000669</v>
      </c>
      <c r="B670" s="13" t="str">
        <f>VLOOKUP(D670,'SUPPLIER_ITEMS (1st Tools)'!C868:D2595,2,FALSE)</f>
        <v>1ST-358-867</v>
      </c>
      <c r="C670" s="14" t="s">
        <v>165</v>
      </c>
      <c r="D670" s="18" t="s">
        <v>1679</v>
      </c>
      <c r="F670" s="30" t="str">
        <f t="shared" si="28"/>
        <v>AV66360-1 POLONET COMPASS SAW W/PVC HANDLE 16"</v>
      </c>
      <c r="I670" s="31" t="str">
        <f>VLOOKUP(D670,'[1]NEW PRICE LIST'!$C$4:$D$1917,2,FALSE)</f>
        <v>60PCS/CTN</v>
      </c>
      <c r="J670" s="13" t="s">
        <v>300</v>
      </c>
      <c r="K670" s="32">
        <f>VLOOKUP(D670,'[1]NEW PRICE LIST'!$C$4:$H$1917,3,FALSE)</f>
        <v>85</v>
      </c>
      <c r="L670" s="13">
        <v>100</v>
      </c>
      <c r="M670" s="13">
        <v>0</v>
      </c>
      <c r="N670" s="13">
        <v>0</v>
      </c>
    </row>
    <row r="671" spans="1:14" x14ac:dyDescent="0.25">
      <c r="A671" s="14" t="str">
        <f t="shared" si="27"/>
        <v>AVT0000670</v>
      </c>
      <c r="B671" s="13" t="str">
        <f>VLOOKUP(D671,'SUPPLIER_ITEMS (1st Tools)'!C869:D2596,2,FALSE)</f>
        <v>1ST-358-868</v>
      </c>
      <c r="C671" s="14" t="s">
        <v>165</v>
      </c>
      <c r="D671" s="18" t="s">
        <v>1680</v>
      </c>
      <c r="F671" s="30" t="str">
        <f t="shared" si="28"/>
        <v>AV66361-1 18" POLONET HANDSAW W/PVC HANDLE</v>
      </c>
      <c r="I671" s="31" t="str">
        <f>VLOOKUP(D671,'[1]NEW PRICE LIST'!$C$4:$D$1917,2,FALSE)</f>
        <v>48PCS/CTN</v>
      </c>
      <c r="J671" s="13" t="s">
        <v>300</v>
      </c>
      <c r="K671" s="32">
        <f>VLOOKUP(D671,'[1]NEW PRICE LIST'!$C$4:$H$1917,3,FALSE)</f>
        <v>130</v>
      </c>
      <c r="L671" s="13">
        <v>100</v>
      </c>
      <c r="M671" s="13">
        <v>0</v>
      </c>
      <c r="N671" s="13">
        <v>0</v>
      </c>
    </row>
    <row r="672" spans="1:14" x14ac:dyDescent="0.25">
      <c r="A672" s="14" t="str">
        <f t="shared" si="27"/>
        <v>AVT0000671</v>
      </c>
      <c r="B672" s="13" t="str">
        <f>VLOOKUP(D672,'SUPPLIER_ITEMS (1st Tools)'!C870:D2597,2,FALSE)</f>
        <v>1ST-358-869</v>
      </c>
      <c r="C672" s="14" t="s">
        <v>165</v>
      </c>
      <c r="D672" s="18" t="s">
        <v>1681</v>
      </c>
      <c r="F672" s="30" t="str">
        <f t="shared" si="28"/>
        <v>AV66361-2 20" POLONET HANDSAW W/PVC HANDLE</v>
      </c>
      <c r="I672" s="31" t="str">
        <f>VLOOKUP(D672,'[1]NEW PRICE LIST'!$C$4:$D$1917,2,FALSE)</f>
        <v>48PCS/CTN</v>
      </c>
      <c r="J672" s="13" t="s">
        <v>300</v>
      </c>
      <c r="K672" s="32">
        <f>VLOOKUP(D672,'[1]NEW PRICE LIST'!$C$4:$H$1917,3,FALSE)</f>
        <v>135</v>
      </c>
      <c r="L672" s="13">
        <v>100</v>
      </c>
      <c r="M672" s="13">
        <v>0</v>
      </c>
      <c r="N672" s="13">
        <v>0</v>
      </c>
    </row>
    <row r="673" spans="1:14" ht="26.4" x14ac:dyDescent="0.25">
      <c r="A673" s="14" t="str">
        <f t="shared" si="27"/>
        <v>AVT0000672</v>
      </c>
      <c r="B673" s="13" t="str">
        <f>VLOOKUP(D673,'SUPPLIER_ITEMS (1st Tools)'!C871:D2598,2,FALSE)</f>
        <v>1ST-358-870</v>
      </c>
      <c r="C673" s="14" t="s">
        <v>165</v>
      </c>
      <c r="D673" s="18" t="s">
        <v>1682</v>
      </c>
      <c r="F673" s="30" t="str">
        <f t="shared" si="28"/>
        <v>AV66362-1 16" POLONET COMPASS SAW W/HEAVY DUTY WIDE SAW</v>
      </c>
      <c r="I673" s="31" t="str">
        <f>VLOOKUP(D673,'[1]NEW PRICE LIST'!$C$4:$D$1917,2,FALSE)</f>
        <v>60PCS/CTN</v>
      </c>
      <c r="J673" s="13" t="s">
        <v>300</v>
      </c>
      <c r="K673" s="32">
        <f>VLOOKUP(D673,'[1]NEW PRICE LIST'!$C$4:$H$1917,3,FALSE)</f>
        <v>125</v>
      </c>
      <c r="L673" s="13">
        <v>100</v>
      </c>
      <c r="M673" s="13">
        <v>0</v>
      </c>
      <c r="N673" s="13">
        <v>0</v>
      </c>
    </row>
    <row r="674" spans="1:14" ht="26.4" x14ac:dyDescent="0.25">
      <c r="A674" s="14" t="str">
        <f t="shared" si="27"/>
        <v>AVT0000673</v>
      </c>
      <c r="B674" s="13" t="str">
        <f>VLOOKUP(D674,'SUPPLIER_ITEMS (1st Tools)'!C872:D2599,2,FALSE)</f>
        <v>1ST-358-871</v>
      </c>
      <c r="C674" s="14" t="s">
        <v>165</v>
      </c>
      <c r="D674" s="18" t="s">
        <v>1683</v>
      </c>
      <c r="F674" s="30" t="str">
        <f t="shared" si="28"/>
        <v>AV66362-2 16" POLONET COMPASS SAW W/HEAVY DUTY NARROW SAW</v>
      </c>
      <c r="I674" s="31" t="str">
        <f>VLOOKUP(D674,'[1]NEW PRICE LIST'!$C$4:$D$1917,2,FALSE)</f>
        <v>60PCS/CTN</v>
      </c>
      <c r="J674" s="13" t="s">
        <v>300</v>
      </c>
      <c r="K674" s="32">
        <f>VLOOKUP(D674,'[1]NEW PRICE LIST'!$C$4:$H$1917,3,FALSE)</f>
        <v>120</v>
      </c>
      <c r="L674" s="13">
        <v>100</v>
      </c>
      <c r="M674" s="13">
        <v>0</v>
      </c>
      <c r="N674" s="13">
        <v>0</v>
      </c>
    </row>
    <row r="675" spans="1:14" x14ac:dyDescent="0.25">
      <c r="A675" s="14" t="str">
        <f t="shared" si="27"/>
        <v>AVT0000674</v>
      </c>
      <c r="B675" s="13" t="str">
        <f>VLOOKUP(D675,'SUPPLIER_ITEMS (1st Tools)'!C873:D2600,2,FALSE)</f>
        <v>1ST-358-872</v>
      </c>
      <c r="C675" s="14" t="s">
        <v>164</v>
      </c>
      <c r="D675" s="18" t="s">
        <v>810</v>
      </c>
      <c r="F675" s="30" t="str">
        <f t="shared" si="28"/>
        <v>AV66070 8-12" POLONET HACKSAW FRAME W/ BLADE</v>
      </c>
      <c r="I675" s="31" t="str">
        <f>VLOOKUP(D675,'[1]NEW PRICE LIST'!$C$4:$D$1917,2,FALSE)</f>
        <v>48PCS/CTN</v>
      </c>
      <c r="J675" s="13" t="s">
        <v>300</v>
      </c>
      <c r="K675" s="32">
        <f>VLOOKUP(D675,'[1]NEW PRICE LIST'!$C$4:$H$1917,3,FALSE)</f>
        <v>180</v>
      </c>
      <c r="L675" s="13">
        <v>100</v>
      </c>
      <c r="M675" s="13">
        <v>0</v>
      </c>
      <c r="N675" s="13">
        <v>0</v>
      </c>
    </row>
    <row r="676" spans="1:14" x14ac:dyDescent="0.25">
      <c r="A676" s="14" t="str">
        <f t="shared" si="27"/>
        <v>AVT0000675</v>
      </c>
      <c r="B676" s="13" t="str">
        <f>VLOOKUP(D676,'SUPPLIER_ITEMS (1st Tools)'!C874:D2601,2,FALSE)</f>
        <v>1ST-358-873</v>
      </c>
      <c r="C676" s="14" t="s">
        <v>163</v>
      </c>
      <c r="D676" s="14" t="s">
        <v>813</v>
      </c>
      <c r="F676" s="30" t="str">
        <f t="shared" si="28"/>
        <v>AV66230 LOCK INSTALLATION KIT 2-1/8" (54MM)</v>
      </c>
      <c r="I676" s="31" t="str">
        <f>VLOOKUP(D676,'[1]NEW PRICE LIST'!$C$4:$D$1917,2,FALSE)</f>
        <v>60SET/CTN</v>
      </c>
      <c r="J676" s="13" t="s">
        <v>3622</v>
      </c>
      <c r="K676" s="32">
        <f>VLOOKUP(D676,'[1]NEW PRICE LIST'!$C$4:$H$1917,3,FALSE)</f>
        <v>225</v>
      </c>
      <c r="L676" s="13">
        <v>100</v>
      </c>
      <c r="M676" s="13">
        <v>0</v>
      </c>
      <c r="N676" s="13">
        <v>0</v>
      </c>
    </row>
    <row r="677" spans="1:14" ht="26.4" x14ac:dyDescent="0.25">
      <c r="A677" s="14" t="str">
        <f t="shared" si="27"/>
        <v>AVT0000676</v>
      </c>
      <c r="B677" s="13" t="str">
        <f>VLOOKUP(D677,'SUPPLIER_ITEMS (1st Tools)'!C875:D2602,2,FALSE)</f>
        <v>1ST-358-874</v>
      </c>
      <c r="C677" s="14" t="s">
        <v>162</v>
      </c>
      <c r="D677" s="14" t="s">
        <v>816</v>
      </c>
      <c r="F677" s="30" t="str">
        <f t="shared" si="28"/>
        <v>AV66231 POLONET BORING BIT 35MM</v>
      </c>
      <c r="I677" s="31" t="str">
        <f>VLOOKUP(D677,'[1]NEW PRICE LIST'!$C$4:$D$1917,2,FALSE)</f>
        <v>20PCS/BAG,
200PCS/CTN</v>
      </c>
      <c r="J677" s="13" t="s">
        <v>301</v>
      </c>
      <c r="K677" s="32">
        <f>VLOOKUP(D677,'[1]NEW PRICE LIST'!$C$4:$H$1917,3,FALSE)</f>
        <v>140</v>
      </c>
      <c r="L677" s="13">
        <v>100</v>
      </c>
      <c r="M677" s="13">
        <v>0</v>
      </c>
      <c r="N677" s="13">
        <v>0</v>
      </c>
    </row>
    <row r="678" spans="1:14" ht="26.4" x14ac:dyDescent="0.25">
      <c r="A678" s="14" t="str">
        <f t="shared" si="27"/>
        <v>AVT0000677</v>
      </c>
      <c r="B678" s="13" t="str">
        <f>VLOOKUP(D678,'SUPPLIER_ITEMS (1st Tools)'!C876:D2603,2,FALSE)</f>
        <v>1ST-358-875</v>
      </c>
      <c r="C678" s="14" t="s">
        <v>161</v>
      </c>
      <c r="D678" s="19" t="s">
        <v>3807</v>
      </c>
      <c r="F678" s="30" t="str">
        <f t="shared" si="28"/>
        <v>AV66232-1 POLONET HOLE SAW 3 PCS (2-1/8", 木 工扁钻1支，7/8“接杆1支）</v>
      </c>
      <c r="I678" s="31" t="str">
        <f>VLOOKUP(D678,'[1]NEW PRICE LIST'!$C$4:$D$1917,2,FALSE)</f>
        <v>100SETS/CTN</v>
      </c>
      <c r="J678" s="13" t="s">
        <v>3622</v>
      </c>
      <c r="K678" s="32">
        <f>VLOOKUP(D678,'[1]NEW PRICE LIST'!$C$4:$H$1917,3,FALSE)</f>
        <v>110</v>
      </c>
      <c r="L678" s="13">
        <v>100</v>
      </c>
      <c r="M678" s="13">
        <v>0</v>
      </c>
      <c r="N678" s="13">
        <v>0</v>
      </c>
    </row>
    <row r="679" spans="1:14" ht="26.4" x14ac:dyDescent="0.25">
      <c r="A679" s="14" t="str">
        <f t="shared" si="27"/>
        <v>AVT0000678</v>
      </c>
      <c r="B679" s="13" t="str">
        <f>VLOOKUP(D679,'SUPPLIER_ITEMS (1st Tools)'!C877:D2604,2,FALSE)</f>
        <v>1ST-358-876</v>
      </c>
      <c r="C679" s="14" t="s">
        <v>161</v>
      </c>
      <c r="D679" s="19" t="s">
        <v>3808</v>
      </c>
      <c r="F679" s="30" t="str">
        <f t="shared" si="28"/>
        <v>AV66232-2 POLONET HOLE SAW 6 PCS (1-1/4”, 1- 1/2", 2", 2-1/8",接杆1支, 内六角1支）</v>
      </c>
      <c r="I679" s="31" t="str">
        <f>VLOOKUP(D679,'[1]NEW PRICE LIST'!$C$4:$D$1917,2,FALSE)</f>
        <v>60SETS/CTN</v>
      </c>
      <c r="J679" s="13" t="s">
        <v>3622</v>
      </c>
      <c r="K679" s="32">
        <f>VLOOKUP(D679,'[1]NEW PRICE LIST'!$C$4:$H$1917,3,FALSE)</f>
        <v>120</v>
      </c>
      <c r="L679" s="13">
        <v>100</v>
      </c>
      <c r="M679" s="13">
        <v>0</v>
      </c>
      <c r="N679" s="13">
        <v>0</v>
      </c>
    </row>
    <row r="680" spans="1:14" x14ac:dyDescent="0.25">
      <c r="A680" s="14" t="str">
        <f t="shared" si="27"/>
        <v>AVT0000679</v>
      </c>
      <c r="B680" s="13" t="str">
        <f>VLOOKUP(D680,'SUPPLIER_ITEMS (1st Tools)'!C878:D2605,2,FALSE)</f>
        <v>1ST-358-877</v>
      </c>
      <c r="C680" s="14" t="s">
        <v>160</v>
      </c>
      <c r="D680" s="19" t="s">
        <v>1686</v>
      </c>
      <c r="F680" s="30" t="str">
        <f t="shared" si="28"/>
        <v>AV66080 CAULKING GUN SEMI-CIRCLE DOUBLE STRIP</v>
      </c>
      <c r="I680" s="31" t="str">
        <f>VLOOKUP(D680,'[1]NEW PRICE LIST'!$C$4:$D$1917,2,FALSE)</f>
        <v>50PCS/CTN</v>
      </c>
      <c r="J680" s="13" t="s">
        <v>300</v>
      </c>
      <c r="K680" s="32">
        <f>VLOOKUP(D680,'[1]NEW PRICE LIST'!$C$4:$H$1917,3,FALSE)</f>
        <v>85</v>
      </c>
      <c r="L680" s="13">
        <v>100</v>
      </c>
      <c r="M680" s="13">
        <v>0</v>
      </c>
      <c r="N680" s="13">
        <v>0</v>
      </c>
    </row>
    <row r="681" spans="1:14" ht="26.4" x14ac:dyDescent="0.25">
      <c r="A681" s="14" t="str">
        <f t="shared" si="27"/>
        <v>AVT0000680</v>
      </c>
      <c r="B681" s="13" t="str">
        <f>VLOOKUP(D681,'SUPPLIER_ITEMS (1st Tools)'!C879:D2606,2,FALSE)</f>
        <v>1ST-358-878</v>
      </c>
      <c r="C681" s="14" t="s">
        <v>160</v>
      </c>
      <c r="D681" s="19" t="s">
        <v>1687</v>
      </c>
      <c r="F681" s="30" t="str">
        <f t="shared" si="28"/>
        <v>AV66081 CAULKING GUN SEMI-CIRCLE GLASS GLUE GUN W/ HOLSTER</v>
      </c>
      <c r="I681" s="31" t="str">
        <f>VLOOKUP(D681,'[1]NEW PRICE LIST'!$C$4:$D$1917,2,FALSE)</f>
        <v>50PCS/CTN</v>
      </c>
      <c r="J681" s="13" t="s">
        <v>300</v>
      </c>
      <c r="K681" s="32">
        <f>VLOOKUP(D681,'[1]NEW PRICE LIST'!$C$4:$H$1917,3,FALSE)</f>
        <v>110</v>
      </c>
      <c r="L681" s="13">
        <v>100</v>
      </c>
      <c r="M681" s="13">
        <v>0</v>
      </c>
      <c r="N681" s="13">
        <v>0</v>
      </c>
    </row>
    <row r="682" spans="1:14" x14ac:dyDescent="0.25">
      <c r="A682" s="14" t="str">
        <f t="shared" si="27"/>
        <v>AVT0000681</v>
      </c>
      <c r="B682" s="13" t="str">
        <f>VLOOKUP(D682,'SUPPLIER_ITEMS (1st Tools)'!C880:D2607,2,FALSE)</f>
        <v>1ST-358-879</v>
      </c>
      <c r="C682" s="14" t="s">
        <v>159</v>
      </c>
      <c r="D682" s="14" t="s">
        <v>819</v>
      </c>
      <c r="F682" s="30" t="str">
        <f t="shared" si="28"/>
        <v>AV66380 POLONET WHEEL BARROW</v>
      </c>
      <c r="I682" s="31" t="str">
        <f>VLOOKUP(D682,'[1]NEW PRICE LIST'!$C$4:$D$1917,2,FALSE)</f>
        <v>1SET</v>
      </c>
      <c r="J682" s="13" t="s">
        <v>3622</v>
      </c>
      <c r="K682" s="32">
        <f>VLOOKUP(D682,'[1]NEW PRICE LIST'!$C$4:$H$1917,3,FALSE)</f>
        <v>1600</v>
      </c>
      <c r="L682" s="13">
        <v>100</v>
      </c>
      <c r="M682" s="13">
        <v>0</v>
      </c>
      <c r="N682" s="13">
        <v>0</v>
      </c>
    </row>
    <row r="683" spans="1:14" x14ac:dyDescent="0.25">
      <c r="A683" s="14" t="str">
        <f t="shared" si="27"/>
        <v>AVT0000682</v>
      </c>
      <c r="B683" s="13" t="str">
        <f>VLOOKUP(D683,'SUPPLIER_ITEMS (1st Tools)'!C881:D2608,2,FALSE)</f>
        <v>1ST-358-880</v>
      </c>
      <c r="C683" s="14" t="s">
        <v>158</v>
      </c>
      <c r="D683" s="18" t="s">
        <v>1688</v>
      </c>
      <c r="F683" s="30" t="str">
        <f t="shared" si="28"/>
        <v>AV66010-1 (LT77006-1) PILLOW BLOCK BEARING 1/2" #201</v>
      </c>
      <c r="I683" s="31" t="str">
        <f>VLOOKUP(D683,'[1]NEW PRICE LIST'!$C$4:$D$1917,2,FALSE)</f>
        <v>40PCS/CTN</v>
      </c>
      <c r="J683" s="13" t="s">
        <v>300</v>
      </c>
      <c r="K683" s="32">
        <f>VLOOKUP(D683,'[1]NEW PRICE LIST'!$C$4:$H$1917,3,FALSE)</f>
        <v>150</v>
      </c>
      <c r="L683" s="13">
        <v>100</v>
      </c>
      <c r="M683" s="13">
        <v>0</v>
      </c>
      <c r="N683" s="13">
        <v>0</v>
      </c>
    </row>
    <row r="684" spans="1:14" x14ac:dyDescent="0.25">
      <c r="A684" s="14" t="str">
        <f t="shared" si="27"/>
        <v>AVT0000683</v>
      </c>
      <c r="B684" s="13" t="str">
        <f>VLOOKUP(D684,'SUPPLIER_ITEMS (1st Tools)'!C882:D2609,2,FALSE)</f>
        <v>1ST-358-881</v>
      </c>
      <c r="C684" s="14" t="s">
        <v>158</v>
      </c>
      <c r="D684" s="18" t="s">
        <v>1690</v>
      </c>
      <c r="F684" s="30" t="str">
        <f t="shared" si="28"/>
        <v>AV66010-2 (LT77006-2) PILLOW BLOCK BEARING 5/8" #202</v>
      </c>
      <c r="I684" s="31" t="str">
        <f>VLOOKUP(D684,'[1]NEW PRICE LIST'!$C$4:$D$1917,2,FALSE)</f>
        <v>40PCS/CTN</v>
      </c>
      <c r="J684" s="13" t="s">
        <v>300</v>
      </c>
      <c r="K684" s="32">
        <f>VLOOKUP(D684,'[1]NEW PRICE LIST'!$C$4:$H$1917,3,FALSE)</f>
        <v>150</v>
      </c>
      <c r="L684" s="13">
        <v>100</v>
      </c>
      <c r="M684" s="13">
        <v>0</v>
      </c>
      <c r="N684" s="13">
        <v>0</v>
      </c>
    </row>
    <row r="685" spans="1:14" x14ac:dyDescent="0.25">
      <c r="A685" s="14" t="str">
        <f t="shared" si="27"/>
        <v>AVT0000684</v>
      </c>
      <c r="B685" s="13" t="str">
        <f>VLOOKUP(D685,'SUPPLIER_ITEMS (1st Tools)'!C883:D2610,2,FALSE)</f>
        <v>1ST-358-882</v>
      </c>
      <c r="C685" s="14" t="s">
        <v>158</v>
      </c>
      <c r="D685" s="18" t="s">
        <v>1691</v>
      </c>
      <c r="F685" s="30" t="str">
        <f t="shared" si="28"/>
        <v>AV66010-3 (LT77006-3) PILLOW BLOCK BEARING 3/4" #204</v>
      </c>
      <c r="I685" s="31" t="str">
        <f>VLOOKUP(D685,'[1]NEW PRICE LIST'!$C$4:$D$1917,2,FALSE)</f>
        <v>40PCS/CTN</v>
      </c>
      <c r="J685" s="13" t="s">
        <v>300</v>
      </c>
      <c r="K685" s="32">
        <f>VLOOKUP(D685,'[1]NEW PRICE LIST'!$C$4:$H$1917,3,FALSE)</f>
        <v>160</v>
      </c>
      <c r="L685" s="13">
        <v>100</v>
      </c>
      <c r="M685" s="13">
        <v>0</v>
      </c>
      <c r="N685" s="13">
        <v>0</v>
      </c>
    </row>
    <row r="686" spans="1:14" x14ac:dyDescent="0.25">
      <c r="A686" s="14" t="str">
        <f t="shared" si="27"/>
        <v>AVT0000685</v>
      </c>
      <c r="B686" s="13" t="str">
        <f>VLOOKUP(D686,'SUPPLIER_ITEMS (1st Tools)'!C884:D2611,2,FALSE)</f>
        <v>1ST-358-883</v>
      </c>
      <c r="C686" s="14" t="s">
        <v>158</v>
      </c>
      <c r="D686" s="18" t="s">
        <v>1693</v>
      </c>
      <c r="F686" s="30" t="str">
        <f t="shared" si="28"/>
        <v>AV66010-4 (LT77006-4) PILLOW BLOCK BEARING 1" #205</v>
      </c>
      <c r="I686" s="31" t="str">
        <f>VLOOKUP(D686,'[1]NEW PRICE LIST'!$C$4:$D$1917,2,FALSE)</f>
        <v>40PCS/CTN</v>
      </c>
      <c r="J686" s="13" t="s">
        <v>300</v>
      </c>
      <c r="K686" s="32">
        <f>VLOOKUP(D686,'[1]NEW PRICE LIST'!$C$4:$H$1917,3,FALSE)</f>
        <v>170</v>
      </c>
      <c r="L686" s="13">
        <v>100</v>
      </c>
      <c r="M686" s="13">
        <v>0</v>
      </c>
      <c r="N686" s="13">
        <v>0</v>
      </c>
    </row>
    <row r="687" spans="1:14" x14ac:dyDescent="0.25">
      <c r="A687" s="14" t="str">
        <f t="shared" si="27"/>
        <v>AVT0000686</v>
      </c>
      <c r="B687" s="13" t="str">
        <f>VLOOKUP(D687,'SUPPLIER_ITEMS (1st Tools)'!C885:D2612,2,FALSE)</f>
        <v>1ST-358-884</v>
      </c>
      <c r="C687" s="14" t="s">
        <v>158</v>
      </c>
      <c r="D687" s="18" t="s">
        <v>1695</v>
      </c>
      <c r="F687" s="30" t="str">
        <f t="shared" si="28"/>
        <v>AV66010-5 (LT77006-5) PILLOW BLOCK BEARING 1-1/8" #206</v>
      </c>
      <c r="I687" s="31" t="str">
        <f>VLOOKUP(D687,'[1]NEW PRICE LIST'!$C$4:$D$1917,2,FALSE)</f>
        <v>24PCS/CTN</v>
      </c>
      <c r="J687" s="13" t="s">
        <v>300</v>
      </c>
      <c r="K687" s="32">
        <f>VLOOKUP(D687,'[1]NEW PRICE LIST'!$C$4:$H$1917,3,FALSE)</f>
        <v>230</v>
      </c>
      <c r="L687" s="13">
        <v>100</v>
      </c>
      <c r="M687" s="13">
        <v>0</v>
      </c>
      <c r="N687" s="13">
        <v>0</v>
      </c>
    </row>
    <row r="688" spans="1:14" x14ac:dyDescent="0.25">
      <c r="A688" s="14" t="str">
        <f t="shared" si="27"/>
        <v>AVT0000687</v>
      </c>
      <c r="B688" s="13" t="str">
        <f>VLOOKUP(D688,'SUPPLIER_ITEMS (1st Tools)'!C886:D2613,2,FALSE)</f>
        <v>1ST-358-885</v>
      </c>
      <c r="C688" s="14" t="s">
        <v>158</v>
      </c>
      <c r="D688" s="18" t="s">
        <v>1697</v>
      </c>
      <c r="F688" s="30" t="str">
        <f t="shared" si="28"/>
        <v>AV66010-6 (LT77006-6) PILLOW BLOCK BEARING 1-1/4 " #207</v>
      </c>
      <c r="I688" s="31" t="str">
        <f>VLOOKUP(D688,'[1]NEW PRICE LIST'!$C$4:$D$1917,2,FALSE)</f>
        <v>15PCS/CTN</v>
      </c>
      <c r="J688" s="13" t="s">
        <v>300</v>
      </c>
      <c r="K688" s="32">
        <f>VLOOKUP(D688,'[1]NEW PRICE LIST'!$C$4:$H$1917,3,FALSE)</f>
        <v>330</v>
      </c>
      <c r="L688" s="13">
        <v>100</v>
      </c>
      <c r="M688" s="13">
        <v>0</v>
      </c>
      <c r="N688" s="13">
        <v>0</v>
      </c>
    </row>
    <row r="689" spans="1:14" x14ac:dyDescent="0.25">
      <c r="A689" s="14" t="str">
        <f t="shared" si="27"/>
        <v>AVT0000688</v>
      </c>
      <c r="B689" s="13" t="str">
        <f>VLOOKUP(D689,'SUPPLIER_ITEMS (1st Tools)'!C887:D2614,2,FALSE)</f>
        <v>1ST-358-886</v>
      </c>
      <c r="C689" s="14" t="s">
        <v>158</v>
      </c>
      <c r="D689" s="18" t="s">
        <v>3809</v>
      </c>
      <c r="F689" s="30" t="str">
        <f t="shared" si="28"/>
        <v>AV66010-7 (LT77006-7) PILLOW BLOCK BEARING 1-1/2" #208</v>
      </c>
      <c r="I689" s="31" t="str">
        <f>VLOOKUP(D689,'[1]NEW PRICE LIST'!$C$4:$D$1917,2,FALSE)</f>
        <v>15PCS/CTN</v>
      </c>
      <c r="J689" s="13" t="s">
        <v>300</v>
      </c>
      <c r="K689" s="32">
        <f>VLOOKUP(D689,'[1]NEW PRICE LIST'!$C$4:$H$1917,3,FALSE)</f>
        <v>380</v>
      </c>
      <c r="L689" s="13">
        <v>100</v>
      </c>
      <c r="M689" s="13">
        <v>0</v>
      </c>
      <c r="N689" s="13">
        <v>0</v>
      </c>
    </row>
    <row r="690" spans="1:14" x14ac:dyDescent="0.25">
      <c r="A690" s="14" t="str">
        <f t="shared" si="27"/>
        <v>AVT0000689</v>
      </c>
      <c r="B690" s="13" t="str">
        <f>VLOOKUP(D690,'SUPPLIER_ITEMS (1st Tools)'!C888:D2615,2,FALSE)</f>
        <v>1ST-358-887</v>
      </c>
      <c r="C690" s="14" t="s">
        <v>158</v>
      </c>
      <c r="D690" s="18" t="s">
        <v>1700</v>
      </c>
      <c r="F690" s="30" t="str">
        <f t="shared" si="28"/>
        <v>AV66010-8 (LT77006-8) PILLOW BLOCK BEARING 2" #211</v>
      </c>
      <c r="I690" s="31" t="str">
        <f>VLOOKUP(D690,'[1]NEW PRICE LIST'!$C$4:$D$1917,2,FALSE)</f>
        <v>10PCS/CTN</v>
      </c>
      <c r="J690" s="13" t="s">
        <v>300</v>
      </c>
      <c r="K690" s="32">
        <f>VLOOKUP(D690,'[1]NEW PRICE LIST'!$C$4:$H$1917,3,FALSE)</f>
        <v>595</v>
      </c>
      <c r="L690" s="13">
        <v>100</v>
      </c>
      <c r="M690" s="13">
        <v>0</v>
      </c>
      <c r="N690" s="13">
        <v>0</v>
      </c>
    </row>
    <row r="691" spans="1:14" x14ac:dyDescent="0.25">
      <c r="A691" s="14" t="str">
        <f t="shared" si="27"/>
        <v>AVT0000690</v>
      </c>
      <c r="B691" s="13" t="str">
        <f>VLOOKUP(D691,'SUPPLIER_ITEMS (1st Tools)'!C890:D2617,2,FALSE)</f>
        <v>1ST-358-889</v>
      </c>
      <c r="C691" s="14" t="s">
        <v>157</v>
      </c>
      <c r="D691" s="18" t="s">
        <v>1704</v>
      </c>
      <c r="F691" s="30" t="str">
        <f t="shared" si="28"/>
        <v>AV66530-02 TURN BUCKLE 1/4''-6MM</v>
      </c>
      <c r="I691" s="31" t="str">
        <f>VLOOKUP(D691,'[1]NEW PRICE LIST'!$C$4:$D$1917,2,FALSE)</f>
        <v>500PCS/SACK</v>
      </c>
      <c r="J691" s="13" t="s">
        <v>303</v>
      </c>
      <c r="K691" s="32">
        <f>VLOOKUP(D691,'[1]NEW PRICE LIST'!$C$4:$H$1917,3,FALSE)</f>
        <v>15</v>
      </c>
      <c r="L691" s="13">
        <v>100</v>
      </c>
      <c r="M691" s="13">
        <v>0</v>
      </c>
      <c r="N691" s="13">
        <v>0</v>
      </c>
    </row>
    <row r="692" spans="1:14" x14ac:dyDescent="0.25">
      <c r="A692" s="14" t="str">
        <f t="shared" si="27"/>
        <v>AVT0000691</v>
      </c>
      <c r="B692" s="13" t="str">
        <f>VLOOKUP(D692,'SUPPLIER_ITEMS (1st Tools)'!C891:D2618,2,FALSE)</f>
        <v>1ST-358-890</v>
      </c>
      <c r="C692" s="14" t="s">
        <v>157</v>
      </c>
      <c r="D692" s="18" t="s">
        <v>1706</v>
      </c>
      <c r="F692" s="30" t="str">
        <f t="shared" si="28"/>
        <v>AV66530-03 TURN BUCKLE 5/16''-8MM</v>
      </c>
      <c r="I692" s="31" t="str">
        <f>VLOOKUP(D692,'[1]NEW PRICE LIST'!$C$4:$D$1917,2,FALSE)</f>
        <v>300PCS/SACK</v>
      </c>
      <c r="J692" s="13" t="s">
        <v>303</v>
      </c>
      <c r="K692" s="32">
        <f>VLOOKUP(D692,'[1]NEW PRICE LIST'!$C$4:$H$1917,3,FALSE)</f>
        <v>20</v>
      </c>
      <c r="L692" s="13">
        <v>100</v>
      </c>
      <c r="M692" s="13">
        <v>0</v>
      </c>
      <c r="N692" s="13">
        <v>0</v>
      </c>
    </row>
    <row r="693" spans="1:14" x14ac:dyDescent="0.25">
      <c r="A693" s="14" t="str">
        <f t="shared" si="27"/>
        <v>AVT0000692</v>
      </c>
      <c r="B693" s="13" t="str">
        <f>VLOOKUP(D693,'SUPPLIER_ITEMS (1st Tools)'!C892:D2619,2,FALSE)</f>
        <v>1ST-358-891</v>
      </c>
      <c r="C693" s="14" t="s">
        <v>157</v>
      </c>
      <c r="D693" s="18" t="s">
        <v>1708</v>
      </c>
      <c r="F693" s="30" t="str">
        <f t="shared" si="28"/>
        <v>AV66530-04 TURNBUCKLE 3/8''-10MM</v>
      </c>
      <c r="I693" s="31" t="str">
        <f>VLOOKUP(D693,'[1]NEW PRICE LIST'!$C$4:$D$1917,2,FALSE)</f>
        <v>200PCS/SACK</v>
      </c>
      <c r="J693" s="13" t="s">
        <v>303</v>
      </c>
      <c r="K693" s="32">
        <f>VLOOKUP(D693,'[1]NEW PRICE LIST'!$C$4:$H$1917,3,FALSE)</f>
        <v>25</v>
      </c>
      <c r="L693" s="13">
        <v>100</v>
      </c>
      <c r="M693" s="13">
        <v>0</v>
      </c>
      <c r="N693" s="13">
        <v>0</v>
      </c>
    </row>
    <row r="694" spans="1:14" x14ac:dyDescent="0.25">
      <c r="A694" s="14" t="str">
        <f t="shared" si="27"/>
        <v>AVT0000693</v>
      </c>
      <c r="B694" s="13" t="str">
        <f>VLOOKUP(D694,'SUPPLIER_ITEMS (1st Tools)'!C893:D2620,2,FALSE)</f>
        <v>1ST-358-892</v>
      </c>
      <c r="C694" s="14" t="s">
        <v>157</v>
      </c>
      <c r="D694" s="18" t="s">
        <v>1709</v>
      </c>
      <c r="F694" s="30" t="str">
        <f t="shared" si="28"/>
        <v>AV66530-05 TURNBUCKLE 1/2''-12MM</v>
      </c>
      <c r="I694" s="31" t="str">
        <f>VLOOKUP(D694,'[1]NEW PRICE LIST'!$C$4:$D$1917,2,FALSE)</f>
        <v>100PCS/SACK</v>
      </c>
      <c r="J694" s="13" t="s">
        <v>303</v>
      </c>
      <c r="K694" s="32">
        <f>VLOOKUP(D694,'[1]NEW PRICE LIST'!$C$4:$H$1917,3,FALSE)</f>
        <v>49</v>
      </c>
      <c r="L694" s="13">
        <v>100</v>
      </c>
      <c r="M694" s="13">
        <v>0</v>
      </c>
      <c r="N694" s="13">
        <v>0</v>
      </c>
    </row>
    <row r="695" spans="1:14" x14ac:dyDescent="0.25">
      <c r="A695" s="14" t="str">
        <f t="shared" si="27"/>
        <v>AVT0000694</v>
      </c>
      <c r="B695" s="13" t="str">
        <f>VLOOKUP(D695,'SUPPLIER_ITEMS (1st Tools)'!C894:D2621,2,FALSE)</f>
        <v>1ST-358-893</v>
      </c>
      <c r="C695" s="14" t="s">
        <v>157</v>
      </c>
      <c r="D695" s="18" t="s">
        <v>1710</v>
      </c>
      <c r="F695" s="30" t="str">
        <f t="shared" si="28"/>
        <v>AV66530-07 TURNBUCKLE 5/8''-16MM</v>
      </c>
      <c r="I695" s="31" t="str">
        <f>VLOOKUP(D695,'[1]NEW PRICE LIST'!$C$4:$D$1917,2,FALSE)</f>
        <v>50PCS/SACK</v>
      </c>
      <c r="J695" s="13" t="s">
        <v>303</v>
      </c>
      <c r="K695" s="32">
        <f>VLOOKUP(D695,'[1]NEW PRICE LIST'!$C$4:$H$1917,3,FALSE)</f>
        <v>85</v>
      </c>
      <c r="L695" s="13">
        <v>100</v>
      </c>
      <c r="M695" s="13">
        <v>0</v>
      </c>
      <c r="N695" s="13">
        <v>0</v>
      </c>
    </row>
    <row r="696" spans="1:14" x14ac:dyDescent="0.25">
      <c r="A696" s="14" t="str">
        <f t="shared" si="27"/>
        <v>AVT0000695</v>
      </c>
      <c r="B696" s="13" t="str">
        <f>VLOOKUP(D696,'SUPPLIER_ITEMS (1st Tools)'!C895:D2622,2,FALSE)</f>
        <v>1ST-358-894</v>
      </c>
      <c r="C696" s="14" t="s">
        <v>157</v>
      </c>
      <c r="D696" s="18" t="s">
        <v>1712</v>
      </c>
      <c r="F696" s="30" t="str">
        <f t="shared" si="28"/>
        <v>AV66530-09 TURNBUCKLE 3/4''-20MM</v>
      </c>
      <c r="I696" s="31" t="str">
        <f>VLOOKUP(D696,'[1]NEW PRICE LIST'!$C$4:$D$1917,2,FALSE)</f>
        <v>35PCS/SACK</v>
      </c>
      <c r="J696" s="13" t="s">
        <v>303</v>
      </c>
      <c r="K696" s="32">
        <f>VLOOKUP(D696,'[1]NEW PRICE LIST'!$C$4:$H$1917,3,FALSE)</f>
        <v>140</v>
      </c>
      <c r="L696" s="13">
        <v>100</v>
      </c>
      <c r="M696" s="13">
        <v>0</v>
      </c>
      <c r="N696" s="13">
        <v>0</v>
      </c>
    </row>
    <row r="697" spans="1:14" x14ac:dyDescent="0.25">
      <c r="A697" s="14" t="str">
        <f t="shared" si="27"/>
        <v>AVT0000696</v>
      </c>
      <c r="B697" s="13" t="str">
        <f>VLOOKUP(D697,'SUPPLIER_ITEMS (1st Tools)'!C896:D2623,2,FALSE)</f>
        <v>1ST-358-895</v>
      </c>
      <c r="C697" s="14" t="s">
        <v>157</v>
      </c>
      <c r="D697" s="18" t="s">
        <v>1713</v>
      </c>
      <c r="F697" s="30" t="str">
        <f t="shared" si="28"/>
        <v>AV66530-10 TURNBUCKLE 7/8''-22MM</v>
      </c>
      <c r="I697" s="31" t="str">
        <f>VLOOKUP(D697,'[1]NEW PRICE LIST'!$C$4:$D$1917,2,FALSE)</f>
        <v>20PCS/SACK</v>
      </c>
      <c r="J697" s="13" t="s">
        <v>303</v>
      </c>
      <c r="K697" s="32">
        <f>VLOOKUP(D697,'[1]NEW PRICE LIST'!$C$4:$H$1917,3,FALSE)</f>
        <v>220</v>
      </c>
      <c r="L697" s="13">
        <v>100</v>
      </c>
      <c r="M697" s="13">
        <v>0</v>
      </c>
      <c r="N697" s="13">
        <v>0</v>
      </c>
    </row>
    <row r="698" spans="1:14" x14ac:dyDescent="0.25">
      <c r="A698" s="14" t="str">
        <f t="shared" si="27"/>
        <v>AVT0000697</v>
      </c>
      <c r="B698" s="13" t="str">
        <f>VLOOKUP(D698,'SUPPLIER_ITEMS (1st Tools)'!C897:D2624,2,FALSE)</f>
        <v>1ST-358-896</v>
      </c>
      <c r="C698" s="14" t="s">
        <v>157</v>
      </c>
      <c r="D698" s="18" t="s">
        <v>1714</v>
      </c>
      <c r="F698" s="30" t="str">
        <f t="shared" si="28"/>
        <v>AV66530-11 TURNBUCKLE 1''-24MM</v>
      </c>
      <c r="I698" s="31" t="str">
        <f>VLOOKUP(D698,'[1]NEW PRICE LIST'!$C$4:$D$1917,2,FALSE)</f>
        <v>15PCS/SACK</v>
      </c>
      <c r="J698" s="13" t="s">
        <v>303</v>
      </c>
      <c r="K698" s="32">
        <f>VLOOKUP(D698,'[1]NEW PRICE LIST'!$C$4:$H$1917,3,FALSE)</f>
        <v>260</v>
      </c>
      <c r="L698" s="13">
        <v>100</v>
      </c>
      <c r="M698" s="13">
        <v>0</v>
      </c>
      <c r="N698" s="13">
        <v>0</v>
      </c>
    </row>
    <row r="699" spans="1:14" x14ac:dyDescent="0.25">
      <c r="A699" s="14" t="str">
        <f t="shared" si="27"/>
        <v>AVT0000698</v>
      </c>
      <c r="B699" s="13" t="str">
        <f>VLOOKUP(D699,'SUPPLIER_ITEMS (1st Tools)'!C898:D2625,2,FALSE)</f>
        <v>1ST-358-897</v>
      </c>
      <c r="C699" s="14" t="s">
        <v>156</v>
      </c>
      <c r="D699" s="18" t="s">
        <v>3810</v>
      </c>
      <c r="F699" s="30" t="str">
        <f t="shared" si="28"/>
        <v>AV66550-1 6" RUBBER WHEEL W/RIM&amp;BEARING HEAVY DUTY</v>
      </c>
      <c r="I699" s="31" t="str">
        <f>VLOOKUP(D699,'[1]NEW PRICE LIST'!$C$4:$D$1917,2,FALSE)</f>
        <v>20PCS/BAG</v>
      </c>
      <c r="J699" s="13" t="s">
        <v>301</v>
      </c>
      <c r="K699" s="32">
        <f>VLOOKUP(D699,'[1]NEW PRICE LIST'!$C$4:$H$1917,3,FALSE)</f>
        <v>265</v>
      </c>
      <c r="L699" s="13">
        <v>100</v>
      </c>
      <c r="M699" s="13">
        <v>0</v>
      </c>
      <c r="N699" s="13">
        <v>0</v>
      </c>
    </row>
    <row r="700" spans="1:14" x14ac:dyDescent="0.25">
      <c r="A700" s="14" t="str">
        <f t="shared" si="27"/>
        <v>AVT0000699</v>
      </c>
      <c r="B700" s="13" t="str">
        <f>VLOOKUP(D700,'SUPPLIER_ITEMS (1st Tools)'!C899:D2626,2,FALSE)</f>
        <v>1ST-358-898</v>
      </c>
      <c r="C700" s="14" t="s">
        <v>156</v>
      </c>
      <c r="D700" s="18" t="s">
        <v>1715</v>
      </c>
      <c r="F700" s="30" t="str">
        <f t="shared" ref="F700:F748" si="29">"AV"&amp;RIGHT(D700,LEN(D700)-2)</f>
        <v>AV66550-2 8" RUBBER WHEEL W/RIM&amp;BEARING HEAVY DUTY</v>
      </c>
      <c r="I700" s="31" t="str">
        <f>VLOOKUP(D700,'[1]NEW PRICE LIST'!$C$4:$D$1917,2,FALSE)</f>
        <v>10PCS/BAG</v>
      </c>
      <c r="J700" s="13" t="s">
        <v>301</v>
      </c>
      <c r="K700" s="32">
        <f>VLOOKUP(D700,'[1]NEW PRICE LIST'!$C$4:$H$1917,3,FALSE)</f>
        <v>450</v>
      </c>
      <c r="L700" s="13">
        <v>100</v>
      </c>
      <c r="M700" s="13">
        <v>0</v>
      </c>
      <c r="N700" s="13">
        <v>0</v>
      </c>
    </row>
    <row r="701" spans="1:14" x14ac:dyDescent="0.25">
      <c r="A701" s="14" t="str">
        <f t="shared" si="27"/>
        <v>AVT0000700</v>
      </c>
      <c r="B701" s="13" t="str">
        <f>VLOOKUP(D701,'SUPPLIER_ITEMS (1st Tools)'!C900:D2627,2,FALSE)</f>
        <v>1ST-358-899</v>
      </c>
      <c r="C701" s="14" t="s">
        <v>156</v>
      </c>
      <c r="D701" s="18" t="s">
        <v>1717</v>
      </c>
      <c r="F701" s="30" t="str">
        <f t="shared" si="29"/>
        <v>AV66550-3 10" RUBBER WHEEL W/RIM&amp;BEARING HEAVY DUTY</v>
      </c>
      <c r="I701" s="31" t="str">
        <f>VLOOKUP(D701,'[1]NEW PRICE LIST'!$C$4:$D$1917,2,FALSE)</f>
        <v>6PCS/BAG</v>
      </c>
      <c r="J701" s="13" t="s">
        <v>301</v>
      </c>
      <c r="K701" s="32">
        <f>VLOOKUP(D701,'[1]NEW PRICE LIST'!$C$4:$H$1917,3,FALSE)</f>
        <v>870</v>
      </c>
      <c r="L701" s="13">
        <v>100</v>
      </c>
      <c r="M701" s="13">
        <v>0</v>
      </c>
      <c r="N701" s="13">
        <v>0</v>
      </c>
    </row>
    <row r="702" spans="1:14" x14ac:dyDescent="0.25">
      <c r="A702" s="14" t="str">
        <f t="shared" si="27"/>
        <v>AVT0000701</v>
      </c>
      <c r="B702" s="13" t="str">
        <f>VLOOKUP(D702,'SUPPLIER_ITEMS (1st Tools)'!C901:D2628,2,FALSE)</f>
        <v>1ST-358-900</v>
      </c>
      <c r="C702" s="14" t="s">
        <v>156</v>
      </c>
      <c r="D702" s="18" t="s">
        <v>1719</v>
      </c>
      <c r="F702" s="30" t="str">
        <f t="shared" si="29"/>
        <v>AV66550-4 12" RUBBER WHEEL W/RIM&amp;BEARING HEAVY DUTY</v>
      </c>
      <c r="I702" s="31" t="str">
        <f>VLOOKUP(D702,'[1]NEW PRICE LIST'!$C$4:$D$1917,2,FALSE)</f>
        <v>6PCS/BAG</v>
      </c>
      <c r="J702" s="13" t="s">
        <v>301</v>
      </c>
      <c r="K702" s="32">
        <f>VLOOKUP(D702,'[1]NEW PRICE LIST'!$C$4:$H$1917,3,FALSE)</f>
        <v>1300</v>
      </c>
      <c r="L702" s="13">
        <v>100</v>
      </c>
      <c r="M702" s="13">
        <v>0</v>
      </c>
      <c r="N702" s="13">
        <v>0</v>
      </c>
    </row>
    <row r="703" spans="1:14" x14ac:dyDescent="0.25">
      <c r="A703" s="14" t="str">
        <f t="shared" si="27"/>
        <v>AVT0000702</v>
      </c>
      <c r="B703" s="13" t="str">
        <f>VLOOKUP(D703,'SUPPLIER_ITEMS (1st Tools)'!C902:D2629,2,FALSE)</f>
        <v>1ST-358-901</v>
      </c>
      <c r="C703" s="14" t="s">
        <v>155</v>
      </c>
      <c r="D703" s="18" t="s">
        <v>1721</v>
      </c>
      <c r="F703" s="30" t="str">
        <f t="shared" si="29"/>
        <v>AV66560-1 1/2" TACKLE PULLEY SINGLE</v>
      </c>
      <c r="I703" s="31" t="str">
        <f>VLOOKUP(D703,'[1]NEW PRICE LIST'!$C$4:$D$1917,2,FALSE)</f>
        <v>12PCS*150BAG/CT N</v>
      </c>
      <c r="J703" s="13" t="s">
        <v>3970</v>
      </c>
      <c r="K703" s="32">
        <f>VLOOKUP(D703,'[1]NEW PRICE LIST'!$C$4:$H$1917,3,FALSE)</f>
        <v>16.5</v>
      </c>
      <c r="L703" s="13">
        <v>100</v>
      </c>
      <c r="M703" s="13">
        <v>0</v>
      </c>
      <c r="N703" s="13">
        <v>0</v>
      </c>
    </row>
    <row r="704" spans="1:14" x14ac:dyDescent="0.25">
      <c r="A704" s="14" t="str">
        <f t="shared" si="27"/>
        <v>AVT0000703</v>
      </c>
      <c r="B704" s="13" t="str">
        <f>VLOOKUP(D704,'SUPPLIER_ITEMS (1st Tools)'!C903:D2630,2,FALSE)</f>
        <v>1ST-358-902</v>
      </c>
      <c r="C704" s="14" t="s">
        <v>155</v>
      </c>
      <c r="D704" s="18" t="s">
        <v>1723</v>
      </c>
      <c r="F704" s="30" t="str">
        <f t="shared" si="29"/>
        <v>AV66560-2 3/4" TACKLE PULLEY SINGLE</v>
      </c>
      <c r="I704" s="31" t="str">
        <f>VLOOKUP(D704,'[1]NEW PRICE LIST'!$C$4:$D$1917,2,FALSE)</f>
        <v>12PCS*80BAG/CTN</v>
      </c>
      <c r="J704" s="13" t="s">
        <v>3970</v>
      </c>
      <c r="K704" s="32">
        <f>VLOOKUP(D704,'[1]NEW PRICE LIST'!$C$4:$H$1917,3,FALSE)</f>
        <v>17.5</v>
      </c>
      <c r="L704" s="13">
        <v>100</v>
      </c>
      <c r="M704" s="13">
        <v>0</v>
      </c>
      <c r="N704" s="13">
        <v>0</v>
      </c>
    </row>
    <row r="705" spans="1:14" x14ac:dyDescent="0.25">
      <c r="A705" s="14" t="str">
        <f t="shared" si="27"/>
        <v>AVT0000704</v>
      </c>
      <c r="B705" s="13" t="str">
        <f>VLOOKUP(D705,'SUPPLIER_ITEMS (1st Tools)'!C904:D2631,2,FALSE)</f>
        <v>1ST-358-903</v>
      </c>
      <c r="C705" s="14" t="s">
        <v>155</v>
      </c>
      <c r="D705" s="18" t="s">
        <v>1725</v>
      </c>
      <c r="F705" s="30" t="str">
        <f t="shared" si="29"/>
        <v>AV66560-3 1" TACKLE PULLEY SINGLE</v>
      </c>
      <c r="I705" s="31" t="str">
        <f>VLOOKUP(D705,'[1]NEW PRICE LIST'!$C$4:$D$1917,2,FALSE)</f>
        <v>12PCS*40BAG/CTN</v>
      </c>
      <c r="J705" s="13" t="s">
        <v>3970</v>
      </c>
      <c r="K705" s="32">
        <f>VLOOKUP(D705,'[1]NEW PRICE LIST'!$C$4:$H$1917,3,FALSE)</f>
        <v>23</v>
      </c>
      <c r="L705" s="13">
        <v>100</v>
      </c>
      <c r="M705" s="13">
        <v>0</v>
      </c>
      <c r="N705" s="13">
        <v>0</v>
      </c>
    </row>
    <row r="706" spans="1:14" x14ac:dyDescent="0.25">
      <c r="A706" s="14" t="str">
        <f t="shared" si="27"/>
        <v>AVT0000705</v>
      </c>
      <c r="B706" s="13" t="str">
        <f>VLOOKUP(D706,'SUPPLIER_ITEMS (1st Tools)'!C905:D2632,2,FALSE)</f>
        <v>1ST-358-904</v>
      </c>
      <c r="C706" s="14" t="s">
        <v>155</v>
      </c>
      <c r="D706" s="18" t="s">
        <v>1727</v>
      </c>
      <c r="F706" s="30" t="str">
        <f t="shared" si="29"/>
        <v>AV66560-4 1-1/4"TACKLE PULLEY SINGLE</v>
      </c>
      <c r="I706" s="31" t="str">
        <f>VLOOKUP(D706,'[1]NEW PRICE LIST'!$C$4:$D$1917,2,FALSE)</f>
        <v>12PCS*25BAG/CTN</v>
      </c>
      <c r="J706" s="13" t="s">
        <v>3970</v>
      </c>
      <c r="K706" s="32">
        <f>VLOOKUP(D706,'[1]NEW PRICE LIST'!$C$4:$H$1917,3,FALSE)</f>
        <v>33</v>
      </c>
      <c r="L706" s="13">
        <v>100</v>
      </c>
      <c r="M706" s="13">
        <v>0</v>
      </c>
      <c r="N706" s="13">
        <v>0</v>
      </c>
    </row>
    <row r="707" spans="1:14" x14ac:dyDescent="0.25">
      <c r="A707" s="14" t="str">
        <f t="shared" si="27"/>
        <v>AVT0000706</v>
      </c>
      <c r="B707" s="13" t="str">
        <f>VLOOKUP(D707,'SUPPLIER_ITEMS (1st Tools)'!C906:D2633,2,FALSE)</f>
        <v>1ST-358-905</v>
      </c>
      <c r="C707" s="14" t="s">
        <v>155</v>
      </c>
      <c r="D707" s="18" t="s">
        <v>1729</v>
      </c>
      <c r="F707" s="30" t="str">
        <f t="shared" si="29"/>
        <v>AV66560-5 1-1/2" TACKLE PULLEY SINGLE</v>
      </c>
      <c r="I707" s="31" t="str">
        <f>VLOOKUP(D707,'[1]NEW PRICE LIST'!$C$4:$D$1917,2,FALSE)</f>
        <v>6PCS*30BAG /CTN</v>
      </c>
      <c r="J707" s="13" t="s">
        <v>3970</v>
      </c>
      <c r="K707" s="32">
        <f>VLOOKUP(D707,'[1]NEW PRICE LIST'!$C$4:$H$1917,3,FALSE)</f>
        <v>55</v>
      </c>
      <c r="L707" s="13">
        <v>100</v>
      </c>
      <c r="M707" s="13">
        <v>0</v>
      </c>
      <c r="N707" s="13">
        <v>0</v>
      </c>
    </row>
    <row r="708" spans="1:14" x14ac:dyDescent="0.25">
      <c r="A708" s="14" t="str">
        <f t="shared" ref="A708:A771" si="30">"AVT"&amp;TEXT(RIGHT(A707,LEN(A707)-3)+1,"0000000")</f>
        <v>AVT0000707</v>
      </c>
      <c r="B708" s="13" t="str">
        <f>VLOOKUP(D708,'SUPPLIER_ITEMS (1st Tools)'!C907:D2634,2,FALSE)</f>
        <v>1ST-358-906</v>
      </c>
      <c r="C708" s="14" t="s">
        <v>155</v>
      </c>
      <c r="D708" s="18" t="s">
        <v>1730</v>
      </c>
      <c r="F708" s="30" t="str">
        <f t="shared" si="29"/>
        <v>AV66560-6 2" TACKLE PULLEY SINGLE</v>
      </c>
      <c r="I708" s="31" t="str">
        <f>VLOOKUP(D708,'[1]NEW PRICE LIST'!$C$4:$D$1917,2,FALSE)</f>
        <v>6PCS*18BAG /CTN</v>
      </c>
      <c r="J708" s="13" t="s">
        <v>3970</v>
      </c>
      <c r="K708" s="32">
        <f>VLOOKUP(D708,'[1]NEW PRICE LIST'!$C$4:$H$1917,3,FALSE)</f>
        <v>76</v>
      </c>
      <c r="L708" s="13">
        <v>100</v>
      </c>
      <c r="M708" s="13">
        <v>0</v>
      </c>
      <c r="N708" s="13">
        <v>0</v>
      </c>
    </row>
    <row r="709" spans="1:14" x14ac:dyDescent="0.25">
      <c r="A709" s="14" t="str">
        <f t="shared" si="30"/>
        <v>AVT0000708</v>
      </c>
      <c r="B709" s="13" t="str">
        <f>VLOOKUP(D709,'SUPPLIER_ITEMS (1st Tools)'!C908:D2635,2,FALSE)</f>
        <v>1ST-358-907</v>
      </c>
      <c r="C709" s="14" t="s">
        <v>155</v>
      </c>
      <c r="D709" s="18" t="s">
        <v>1732</v>
      </c>
      <c r="F709" s="30" t="str">
        <f t="shared" si="29"/>
        <v>AV66560-7 2-1/2" TACKLE PULLEY SINGLE</v>
      </c>
      <c r="I709" s="31" t="str">
        <f>VLOOKUP(D709,'[1]NEW PRICE LIST'!$C$4:$D$1917,2,FALSE)</f>
        <v>6PCS*10BAG /CTN</v>
      </c>
      <c r="J709" s="13" t="s">
        <v>3970</v>
      </c>
      <c r="K709" s="32">
        <f>VLOOKUP(D709,'[1]NEW PRICE LIST'!$C$4:$H$1917,3,FALSE)</f>
        <v>130</v>
      </c>
      <c r="L709" s="13">
        <v>100</v>
      </c>
      <c r="M709" s="13">
        <v>0</v>
      </c>
      <c r="N709" s="13">
        <v>0</v>
      </c>
    </row>
    <row r="710" spans="1:14" x14ac:dyDescent="0.25">
      <c r="A710" s="14" t="str">
        <f t="shared" si="30"/>
        <v>AVT0000709</v>
      </c>
      <c r="B710" s="13" t="str">
        <f>VLOOKUP(D710,'SUPPLIER_ITEMS (1st Tools)'!C909:D2636,2,FALSE)</f>
        <v>1ST-358-908</v>
      </c>
      <c r="C710" s="14" t="s">
        <v>155</v>
      </c>
      <c r="D710" s="18" t="s">
        <v>1733</v>
      </c>
      <c r="F710" s="30" t="str">
        <f t="shared" si="29"/>
        <v>AV66560-8 3" TACKLE PULLEY SINGLE</v>
      </c>
      <c r="I710" s="31" t="str">
        <f>VLOOKUP(D710,'[1]NEW PRICE LIST'!$C$4:$D$1917,2,FALSE)</f>
        <v>6PCS*8BAG /CTN</v>
      </c>
      <c r="J710" s="13" t="s">
        <v>3970</v>
      </c>
      <c r="K710" s="32">
        <f>VLOOKUP(D710,'[1]NEW PRICE LIST'!$C$4:$H$1917,3,FALSE)</f>
        <v>160</v>
      </c>
      <c r="L710" s="13">
        <v>100</v>
      </c>
      <c r="M710" s="13">
        <v>0</v>
      </c>
      <c r="N710" s="13">
        <v>0</v>
      </c>
    </row>
    <row r="711" spans="1:14" x14ac:dyDescent="0.25">
      <c r="A711" s="14" t="str">
        <f t="shared" si="30"/>
        <v>AVT0000710</v>
      </c>
      <c r="B711" s="13" t="str">
        <f>VLOOKUP(D711,'SUPPLIER_ITEMS (1st Tools)'!C910:D2637,2,FALSE)</f>
        <v>1ST-358-909</v>
      </c>
      <c r="C711" s="14" t="s">
        <v>154</v>
      </c>
      <c r="D711" s="18" t="s">
        <v>1734</v>
      </c>
      <c r="F711" s="30" t="str">
        <f t="shared" si="29"/>
        <v>AV66561-1 3/4" TACKLE PULLEY DOUBLE</v>
      </c>
      <c r="I711" s="31" t="str">
        <f>VLOOKUP(D711,'[1]NEW PRICE LIST'!$C$4:$D$1917,2,FALSE)</f>
        <v>12PCS*50BAG/CTN</v>
      </c>
      <c r="J711" s="13" t="s">
        <v>3970</v>
      </c>
      <c r="K711" s="32">
        <f>VLOOKUP(D711,'[1]NEW PRICE LIST'!$C$4:$H$1917,3,FALSE)</f>
        <v>35</v>
      </c>
      <c r="L711" s="13">
        <v>100</v>
      </c>
      <c r="M711" s="13">
        <v>0</v>
      </c>
      <c r="N711" s="13">
        <v>0</v>
      </c>
    </row>
    <row r="712" spans="1:14" x14ac:dyDescent="0.25">
      <c r="A712" s="14" t="str">
        <f t="shared" si="30"/>
        <v>AVT0000711</v>
      </c>
      <c r="B712" s="13" t="str">
        <f>VLOOKUP(D712,'SUPPLIER_ITEMS (1st Tools)'!C911:D2638,2,FALSE)</f>
        <v>1ST-358-910</v>
      </c>
      <c r="C712" s="14" t="s">
        <v>154</v>
      </c>
      <c r="D712" s="18" t="s">
        <v>1735</v>
      </c>
      <c r="F712" s="30" t="str">
        <f t="shared" si="29"/>
        <v>AV66561-2 1" TACKLE PULLEY DOUBLE</v>
      </c>
      <c r="I712" s="31" t="str">
        <f>VLOOKUP(D712,'[1]NEW PRICE LIST'!$C$4:$D$1917,2,FALSE)</f>
        <v>12PCS*25BAG/CTN</v>
      </c>
      <c r="J712" s="13" t="s">
        <v>3970</v>
      </c>
      <c r="K712" s="32">
        <f>VLOOKUP(D712,'[1]NEW PRICE LIST'!$C$4:$H$1917,3,FALSE)</f>
        <v>45</v>
      </c>
      <c r="L712" s="13">
        <v>100</v>
      </c>
      <c r="M712" s="13">
        <v>0</v>
      </c>
      <c r="N712" s="13">
        <v>0</v>
      </c>
    </row>
    <row r="713" spans="1:14" x14ac:dyDescent="0.25">
      <c r="A713" s="14" t="str">
        <f t="shared" si="30"/>
        <v>AVT0000712</v>
      </c>
      <c r="B713" s="13" t="str">
        <f>VLOOKUP(D713,'SUPPLIER_ITEMS (1st Tools)'!C912:D2639,2,FALSE)</f>
        <v>1ST-358-911</v>
      </c>
      <c r="C713" s="14" t="s">
        <v>154</v>
      </c>
      <c r="D713" s="18" t="s">
        <v>1736</v>
      </c>
      <c r="F713" s="30" t="str">
        <f t="shared" si="29"/>
        <v>AV66561-3 1-1/4" TACKLE PULLEY DOUBLE</v>
      </c>
      <c r="I713" s="31" t="str">
        <f>VLOOKUP(D713,'[1]NEW PRICE LIST'!$C$4:$D$1917,2,FALSE)</f>
        <v>12PCS*16BAG/CTN</v>
      </c>
      <c r="J713" s="13" t="s">
        <v>3970</v>
      </c>
      <c r="K713" s="32">
        <f>VLOOKUP(D713,'[1]NEW PRICE LIST'!$C$4:$H$1917,3,FALSE)</f>
        <v>60</v>
      </c>
      <c r="L713" s="13">
        <v>100</v>
      </c>
      <c r="M713" s="13">
        <v>0</v>
      </c>
      <c r="N713" s="13">
        <v>0</v>
      </c>
    </row>
    <row r="714" spans="1:14" x14ac:dyDescent="0.25">
      <c r="A714" s="14" t="str">
        <f t="shared" si="30"/>
        <v>AVT0000713</v>
      </c>
      <c r="B714" s="13" t="str">
        <f>VLOOKUP(D714,'SUPPLIER_ITEMS (1st Tools)'!C913:D2640,2,FALSE)</f>
        <v>1ST-358-912</v>
      </c>
      <c r="C714" s="14" t="s">
        <v>154</v>
      </c>
      <c r="D714" s="18" t="s">
        <v>1737</v>
      </c>
      <c r="F714" s="30" t="str">
        <f t="shared" si="29"/>
        <v>AV66561-4 1-1/2" TACKLE PULLEY DOUBLE</v>
      </c>
      <c r="I714" s="31" t="str">
        <f>VLOOKUP(D714,'[1]NEW PRICE LIST'!$C$4:$D$1917,2,FALSE)</f>
        <v>6PCS*18BAG/CTN</v>
      </c>
      <c r="J714" s="13" t="s">
        <v>3970</v>
      </c>
      <c r="K714" s="32">
        <f>VLOOKUP(D714,'[1]NEW PRICE LIST'!$C$4:$H$1917,3,FALSE)</f>
        <v>110</v>
      </c>
      <c r="L714" s="13">
        <v>100</v>
      </c>
      <c r="M714" s="13">
        <v>0</v>
      </c>
      <c r="N714" s="13">
        <v>0</v>
      </c>
    </row>
    <row r="715" spans="1:14" x14ac:dyDescent="0.25">
      <c r="A715" s="14" t="str">
        <f t="shared" si="30"/>
        <v>AVT0000714</v>
      </c>
      <c r="B715" s="13" t="str">
        <f>VLOOKUP(D715,'SUPPLIER_ITEMS (1st Tools)'!C914:D2641,2,FALSE)</f>
        <v>1ST-358-913</v>
      </c>
      <c r="C715" s="14" t="s">
        <v>154</v>
      </c>
      <c r="D715" s="18" t="s">
        <v>1738</v>
      </c>
      <c r="F715" s="30" t="str">
        <f t="shared" si="29"/>
        <v>AV66561-5 2" TACKLE PULLEY DOUBLE</v>
      </c>
      <c r="I715" s="31" t="str">
        <f>VLOOKUP(D715,'[1]NEW PRICE LIST'!$C$4:$D$1917,2,FALSE)</f>
        <v>6PCS*12BAG/CTN</v>
      </c>
      <c r="J715" s="13" t="s">
        <v>3970</v>
      </c>
      <c r="K715" s="32">
        <f>VLOOKUP(D715,'[1]NEW PRICE LIST'!$C$4:$H$1917,3,FALSE)</f>
        <v>150</v>
      </c>
      <c r="L715" s="13">
        <v>100</v>
      </c>
      <c r="M715" s="13">
        <v>0</v>
      </c>
      <c r="N715" s="13">
        <v>0</v>
      </c>
    </row>
    <row r="716" spans="1:14" x14ac:dyDescent="0.25">
      <c r="A716" s="14" t="str">
        <f t="shared" si="30"/>
        <v>AVT0000715</v>
      </c>
      <c r="B716" s="13" t="str">
        <f>VLOOKUP(D716,'SUPPLIER_ITEMS (1st Tools)'!C915:D2642,2,FALSE)</f>
        <v>1ST-358-914</v>
      </c>
      <c r="C716" s="14" t="s">
        <v>154</v>
      </c>
      <c r="D716" s="18" t="s">
        <v>1739</v>
      </c>
      <c r="F716" s="30" t="str">
        <f t="shared" si="29"/>
        <v>AV66561-6 2-1/2" TACKLE PULLEY DOUBLE</v>
      </c>
      <c r="I716" s="31" t="str">
        <f>VLOOKUP(D716,'[1]NEW PRICE LIST'!$C$4:$D$1917,2,FALSE)</f>
        <v>6PCS*6BAG/CTN</v>
      </c>
      <c r="J716" s="13" t="s">
        <v>3970</v>
      </c>
      <c r="K716" s="32">
        <f>VLOOKUP(D716,'[1]NEW PRICE LIST'!$C$4:$H$1917,3,FALSE)</f>
        <v>240</v>
      </c>
      <c r="L716" s="13">
        <v>100</v>
      </c>
      <c r="M716" s="13">
        <v>0</v>
      </c>
      <c r="N716" s="13">
        <v>0</v>
      </c>
    </row>
    <row r="717" spans="1:14" x14ac:dyDescent="0.25">
      <c r="A717" s="14" t="str">
        <f t="shared" si="30"/>
        <v>AVT0000716</v>
      </c>
      <c r="B717" s="13" t="str">
        <f>VLOOKUP(D717,'SUPPLIER_ITEMS (1st Tools)'!C916:D2643,2,FALSE)</f>
        <v>1ST-358-915</v>
      </c>
      <c r="C717" s="14" t="s">
        <v>154</v>
      </c>
      <c r="D717" s="18" t="s">
        <v>1740</v>
      </c>
      <c r="F717" s="30" t="str">
        <f t="shared" si="29"/>
        <v>AV66561-7 3" TACKLE PULLEY DOUBLE</v>
      </c>
      <c r="I717" s="31" t="str">
        <f>VLOOKUP(D717,'[1]NEW PRICE LIST'!$C$4:$D$1917,2,FALSE)</f>
        <v>6PCS*4BAG/CTN</v>
      </c>
      <c r="J717" s="13" t="s">
        <v>3970</v>
      </c>
      <c r="K717" s="32">
        <f>VLOOKUP(D717,'[1]NEW PRICE LIST'!$C$4:$H$1917,3,FALSE)</f>
        <v>280</v>
      </c>
      <c r="L717" s="13">
        <v>100</v>
      </c>
      <c r="M717" s="13">
        <v>0</v>
      </c>
      <c r="N717" s="13">
        <v>0</v>
      </c>
    </row>
    <row r="718" spans="1:14" x14ac:dyDescent="0.25">
      <c r="A718" s="14" t="str">
        <f t="shared" si="30"/>
        <v>AVT0000717</v>
      </c>
      <c r="B718" s="13" t="str">
        <f>VLOOKUP(D718,'SUPPLIER_ITEMS (1st Tools)'!C917:D2644,2,FALSE)</f>
        <v>1ST-358-916</v>
      </c>
      <c r="C718" s="14" t="s">
        <v>153</v>
      </c>
      <c r="D718" s="19" t="s">
        <v>1742</v>
      </c>
      <c r="F718" s="30" t="str">
        <f t="shared" si="29"/>
        <v>AV66570-01 GALVANIZED SHACKLE U-TYPE 1/4"</v>
      </c>
      <c r="I718" s="31" t="str">
        <f>VLOOKUP(D718,'[1]NEW PRICE LIST'!$C$4:$D$1917,2,FALSE)</f>
        <v>1000PCS/BAG</v>
      </c>
      <c r="J718" s="13" t="s">
        <v>301</v>
      </c>
      <c r="K718" s="32">
        <f>VLOOKUP(D718,'[1]NEW PRICE LIST'!$C$4:$H$1917,3,FALSE)</f>
        <v>10</v>
      </c>
      <c r="L718" s="13">
        <v>100</v>
      </c>
      <c r="M718" s="13">
        <v>0</v>
      </c>
      <c r="N718" s="13">
        <v>0</v>
      </c>
    </row>
    <row r="719" spans="1:14" x14ac:dyDescent="0.25">
      <c r="A719" s="14" t="str">
        <f t="shared" si="30"/>
        <v>AVT0000718</v>
      </c>
      <c r="B719" s="13" t="str">
        <f>VLOOKUP(D719,'SUPPLIER_ITEMS (1st Tools)'!C918:D2645,2,FALSE)</f>
        <v>1ST-358-917</v>
      </c>
      <c r="C719" s="14" t="s">
        <v>153</v>
      </c>
      <c r="D719" s="19" t="s">
        <v>1743</v>
      </c>
      <c r="F719" s="30" t="str">
        <f t="shared" si="29"/>
        <v>AV66570-02 GALVANIZED SHACKLE U-TYPE 5/16"</v>
      </c>
      <c r="I719" s="31" t="str">
        <f>VLOOKUP(D719,'[1]NEW PRICE LIST'!$C$4:$D$1917,2,FALSE)</f>
        <v>500PCS/BAG</v>
      </c>
      <c r="J719" s="13" t="s">
        <v>301</v>
      </c>
      <c r="K719" s="32">
        <f>VLOOKUP(D719,'[1]NEW PRICE LIST'!$C$4:$H$1917,3,FALSE)</f>
        <v>17</v>
      </c>
      <c r="L719" s="13">
        <v>100</v>
      </c>
      <c r="M719" s="13">
        <v>0</v>
      </c>
      <c r="N719" s="13">
        <v>0</v>
      </c>
    </row>
    <row r="720" spans="1:14" x14ac:dyDescent="0.25">
      <c r="A720" s="14" t="str">
        <f t="shared" si="30"/>
        <v>AVT0000719</v>
      </c>
      <c r="B720" s="13" t="str">
        <f>VLOOKUP(D720,'SUPPLIER_ITEMS (1st Tools)'!C919:D2646,2,FALSE)</f>
        <v>1ST-358-918</v>
      </c>
      <c r="C720" s="14" t="s">
        <v>153</v>
      </c>
      <c r="D720" s="19" t="s">
        <v>1744</v>
      </c>
      <c r="F720" s="30" t="str">
        <f t="shared" si="29"/>
        <v>AV66570-03 GALVANIZED SHACKLE U-TYPE 3/8"</v>
      </c>
      <c r="I720" s="31" t="str">
        <f>VLOOKUP(D720,'[1]NEW PRICE LIST'!$C$4:$D$1917,2,FALSE)</f>
        <v>300PCS/BAG</v>
      </c>
      <c r="J720" s="13" t="s">
        <v>301</v>
      </c>
      <c r="K720" s="32">
        <f>VLOOKUP(D720,'[1]NEW PRICE LIST'!$C$4:$H$1917,3,FALSE)</f>
        <v>20</v>
      </c>
      <c r="L720" s="13">
        <v>100</v>
      </c>
      <c r="M720" s="13">
        <v>0</v>
      </c>
      <c r="N720" s="13">
        <v>0</v>
      </c>
    </row>
    <row r="721" spans="1:14" x14ac:dyDescent="0.25">
      <c r="A721" s="14" t="str">
        <f t="shared" si="30"/>
        <v>AVT0000720</v>
      </c>
      <c r="B721" s="13" t="str">
        <f>VLOOKUP(D721,'SUPPLIER_ITEMS (1st Tools)'!C920:D2647,2,FALSE)</f>
        <v>1ST-358-919</v>
      </c>
      <c r="C721" s="14" t="s">
        <v>153</v>
      </c>
      <c r="D721" s="18" t="s">
        <v>1745</v>
      </c>
      <c r="F721" s="30" t="str">
        <f t="shared" si="29"/>
        <v>AV66570-04 GALVANIZED SHACKLE U-TYPE 1/2"</v>
      </c>
      <c r="I721" s="31" t="str">
        <f>VLOOKUP(D721,'[1]NEW PRICE LIST'!$C$4:$D$1917,2,FALSE)</f>
        <v>200PCS/BAG</v>
      </c>
      <c r="J721" s="13" t="s">
        <v>301</v>
      </c>
      <c r="K721" s="32">
        <f>VLOOKUP(D721,'[1]NEW PRICE LIST'!$C$4:$H$1917,3,FALSE)</f>
        <v>30</v>
      </c>
      <c r="L721" s="13">
        <v>100</v>
      </c>
      <c r="M721" s="13">
        <v>0</v>
      </c>
      <c r="N721" s="13">
        <v>0</v>
      </c>
    </row>
    <row r="722" spans="1:14" x14ac:dyDescent="0.25">
      <c r="A722" s="14" t="str">
        <f t="shared" si="30"/>
        <v>AVT0000721</v>
      </c>
      <c r="B722" s="13" t="str">
        <f>VLOOKUP(D722,'SUPPLIER_ITEMS (1st Tools)'!C921:D2648,2,FALSE)</f>
        <v>1ST-358-920</v>
      </c>
      <c r="C722" s="14" t="s">
        <v>153</v>
      </c>
      <c r="D722" s="19" t="s">
        <v>1746</v>
      </c>
      <c r="F722" s="30" t="str">
        <f t="shared" si="29"/>
        <v>AV66570-05 GALVANIZED SHACKLE U-TYPE 5/8"</v>
      </c>
      <c r="I722" s="31" t="str">
        <f>VLOOKUP(D722,'[1]NEW PRICE LIST'!$C$4:$D$1917,2,FALSE)</f>
        <v>100PCS/BAG</v>
      </c>
      <c r="J722" s="13" t="s">
        <v>301</v>
      </c>
      <c r="K722" s="32">
        <f>VLOOKUP(D722,'[1]NEW PRICE LIST'!$C$4:$H$1917,3,FALSE)</f>
        <v>60</v>
      </c>
      <c r="L722" s="13">
        <v>100</v>
      </c>
      <c r="M722" s="13">
        <v>0</v>
      </c>
      <c r="N722" s="13">
        <v>0</v>
      </c>
    </row>
    <row r="723" spans="1:14" x14ac:dyDescent="0.25">
      <c r="A723" s="14" t="str">
        <f t="shared" si="30"/>
        <v>AVT0000722</v>
      </c>
      <c r="B723" s="13" t="str">
        <f>VLOOKUP(D723,'SUPPLIER_ITEMS (1st Tools)'!C922:D2649,2,FALSE)</f>
        <v>1ST-358-921</v>
      </c>
      <c r="C723" s="14" t="s">
        <v>153</v>
      </c>
      <c r="D723" s="19" t="s">
        <v>1747</v>
      </c>
      <c r="F723" s="30" t="str">
        <f t="shared" si="29"/>
        <v>AV66570-06 GALVANIZED SHACKLE U-TYPE 3/4"</v>
      </c>
      <c r="I723" s="31" t="str">
        <f>VLOOKUP(D723,'[1]NEW PRICE LIST'!$C$4:$D$1917,2,FALSE)</f>
        <v>50PCS/BAG</v>
      </c>
      <c r="J723" s="13" t="s">
        <v>301</v>
      </c>
      <c r="K723" s="32">
        <f>VLOOKUP(D723,'[1]NEW PRICE LIST'!$C$4:$H$1917,3,FALSE)</f>
        <v>110</v>
      </c>
      <c r="L723" s="13">
        <v>100</v>
      </c>
      <c r="M723" s="13">
        <v>0</v>
      </c>
      <c r="N723" s="13">
        <v>0</v>
      </c>
    </row>
    <row r="724" spans="1:14" x14ac:dyDescent="0.25">
      <c r="A724" s="14" t="str">
        <f t="shared" si="30"/>
        <v>AVT0000723</v>
      </c>
      <c r="B724" s="13" t="str">
        <f>VLOOKUP(D724,'SUPPLIER_ITEMS (1st Tools)'!C923:D2650,2,FALSE)</f>
        <v>1ST-358-922</v>
      </c>
      <c r="C724" s="14" t="s">
        <v>153</v>
      </c>
      <c r="D724" s="19" t="s">
        <v>1748</v>
      </c>
      <c r="F724" s="30" t="str">
        <f t="shared" si="29"/>
        <v>AV66570-07 GALVANIZED SHACKLE U-TYPE 7/8"</v>
      </c>
      <c r="I724" s="31" t="str">
        <f>VLOOKUP(D724,'[1]NEW PRICE LIST'!$C$4:$D$1917,2,FALSE)</f>
        <v>25PCS/BAG</v>
      </c>
      <c r="J724" s="13" t="s">
        <v>301</v>
      </c>
      <c r="K724" s="32">
        <f>VLOOKUP(D724,'[1]NEW PRICE LIST'!$C$4:$H$1917,3,FALSE)</f>
        <v>170</v>
      </c>
      <c r="L724" s="13">
        <v>100</v>
      </c>
      <c r="M724" s="13">
        <v>0</v>
      </c>
      <c r="N724" s="13">
        <v>0</v>
      </c>
    </row>
    <row r="725" spans="1:14" x14ac:dyDescent="0.25">
      <c r="A725" s="14" t="str">
        <f t="shared" si="30"/>
        <v>AVT0000724</v>
      </c>
      <c r="B725" s="13" t="str">
        <f>VLOOKUP(D725,'SUPPLIER_ITEMS (1st Tools)'!C924:D2651,2,FALSE)</f>
        <v>1ST-358-923</v>
      </c>
      <c r="C725" s="14" t="s">
        <v>153</v>
      </c>
      <c r="D725" s="18" t="s">
        <v>1749</v>
      </c>
      <c r="F725" s="30" t="str">
        <f t="shared" si="29"/>
        <v>AV66570-08 GALVANIZED SHACKLE U-TYPE 1"</v>
      </c>
      <c r="I725" s="31" t="str">
        <f>VLOOKUP(D725,'[1]NEW PRICE LIST'!$C$4:$D$1917,2,FALSE)</f>
        <v>25PCS/BAG</v>
      </c>
      <c r="J725" s="13" t="s">
        <v>301</v>
      </c>
      <c r="K725" s="32">
        <f>VLOOKUP(D725,'[1]NEW PRICE LIST'!$C$4:$H$1917,3,FALSE)</f>
        <v>230</v>
      </c>
      <c r="L725" s="13">
        <v>100</v>
      </c>
      <c r="M725" s="13">
        <v>0</v>
      </c>
      <c r="N725" s="13">
        <v>0</v>
      </c>
    </row>
    <row r="726" spans="1:14" x14ac:dyDescent="0.25">
      <c r="A726" s="14" t="str">
        <f t="shared" si="30"/>
        <v>AVT0000725</v>
      </c>
      <c r="B726" s="13" t="str">
        <f>VLOOKUP(D726,'SUPPLIER_ITEMS (1st Tools)'!C925:D2652,2,FALSE)</f>
        <v>1ST-358-924</v>
      </c>
      <c r="C726" s="14" t="s">
        <v>153</v>
      </c>
      <c r="D726" s="19" t="s">
        <v>1750</v>
      </c>
      <c r="F726" s="30" t="str">
        <f t="shared" si="29"/>
        <v>AV66570-09 GALVANIZED SHACKLE U-TYPE 1-1/4"</v>
      </c>
      <c r="I726" s="31" t="str">
        <f>VLOOKUP(D726,'[1]NEW PRICE LIST'!$C$4:$D$1917,2,FALSE)</f>
        <v>10PCS/BAG</v>
      </c>
      <c r="J726" s="13" t="s">
        <v>301</v>
      </c>
      <c r="K726" s="32">
        <f>VLOOKUP(D726,'[1]NEW PRICE LIST'!$C$4:$H$1917,3,FALSE)</f>
        <v>480</v>
      </c>
      <c r="L726" s="13">
        <v>100</v>
      </c>
      <c r="M726" s="13">
        <v>0</v>
      </c>
      <c r="N726" s="13">
        <v>0</v>
      </c>
    </row>
    <row r="727" spans="1:14" x14ac:dyDescent="0.25">
      <c r="A727" s="14" t="str">
        <f t="shared" si="30"/>
        <v>AVT0000726</v>
      </c>
      <c r="B727" s="13" t="str">
        <f>VLOOKUP(D727,'SUPPLIER_ITEMS (1st Tools)'!C926:D2653,2,FALSE)</f>
        <v>1ST-358-925</v>
      </c>
      <c r="C727" s="14" t="s">
        <v>153</v>
      </c>
      <c r="D727" s="19" t="s">
        <v>1752</v>
      </c>
      <c r="F727" s="30" t="str">
        <f t="shared" si="29"/>
        <v>AV66570-10 GALVANIZED SHACKLE U-TYPE 1-1/2"</v>
      </c>
      <c r="I727" s="31" t="str">
        <f>VLOOKUP(D727,'[1]NEW PRICE LIST'!$C$4:$D$1917,2,FALSE)</f>
        <v>8PCS/BAG</v>
      </c>
      <c r="J727" s="13" t="s">
        <v>301</v>
      </c>
      <c r="K727" s="32">
        <f>VLOOKUP(D727,'[1]NEW PRICE LIST'!$C$4:$H$1917,3,FALSE)</f>
        <v>750</v>
      </c>
      <c r="L727" s="13">
        <v>100</v>
      </c>
      <c r="M727" s="13">
        <v>0</v>
      </c>
      <c r="N727" s="13">
        <v>0</v>
      </c>
    </row>
    <row r="728" spans="1:14" x14ac:dyDescent="0.25">
      <c r="A728" s="14" t="str">
        <f t="shared" si="30"/>
        <v>AVT0000727</v>
      </c>
      <c r="B728" s="13" t="str">
        <f>VLOOKUP(D728,'SUPPLIER_ITEMS (1st Tools)'!C927:D2654,2,FALSE)</f>
        <v>1ST-358-926</v>
      </c>
      <c r="C728" s="14" t="s">
        <v>3966</v>
      </c>
      <c r="D728" s="18" t="s">
        <v>1754</v>
      </c>
      <c r="F728" s="30" t="str">
        <f t="shared" si="29"/>
        <v>AV66580-01 GALVANIZED CABLE CLIP 3/16"-5mm</v>
      </c>
      <c r="I728" s="31" t="str">
        <f>VLOOKUP(D728,'[1]NEW PRICE LIST'!$C$4:$D$1917,2,FALSE)</f>
        <v>2000PCS/BAG</v>
      </c>
      <c r="J728" s="13" t="s">
        <v>301</v>
      </c>
      <c r="K728" s="32">
        <f>VLOOKUP(D728,'[1]NEW PRICE LIST'!$C$4:$H$1917,3,FALSE)</f>
        <v>4.5</v>
      </c>
      <c r="L728" s="13">
        <v>100</v>
      </c>
      <c r="M728" s="13">
        <v>0</v>
      </c>
      <c r="N728" s="13">
        <v>0</v>
      </c>
    </row>
    <row r="729" spans="1:14" x14ac:dyDescent="0.25">
      <c r="A729" s="14" t="str">
        <f t="shared" si="30"/>
        <v>AVT0000728</v>
      </c>
      <c r="B729" s="13" t="str">
        <f>VLOOKUP(D729,'SUPPLIER_ITEMS (1st Tools)'!C928:D2655,2,FALSE)</f>
        <v>1ST-358-927</v>
      </c>
      <c r="C729" s="14" t="s">
        <v>3966</v>
      </c>
      <c r="D729" s="18" t="s">
        <v>1756</v>
      </c>
      <c r="F729" s="30" t="str">
        <f t="shared" si="29"/>
        <v>AV66580-02 GALVANIZED CABLE CLIP 1/4"-6mm</v>
      </c>
      <c r="I729" s="31" t="str">
        <f>VLOOKUP(D729,'[1]NEW PRICE LIST'!$C$4:$D$1917,2,FALSE)</f>
        <v>1500PCS/BAG</v>
      </c>
      <c r="J729" s="13" t="s">
        <v>301</v>
      </c>
      <c r="K729" s="32">
        <f>VLOOKUP(D729,'[1]NEW PRICE LIST'!$C$4:$H$1917,3,FALSE)</f>
        <v>5</v>
      </c>
      <c r="L729" s="13">
        <v>100</v>
      </c>
      <c r="M729" s="13">
        <v>0</v>
      </c>
      <c r="N729" s="13">
        <v>0</v>
      </c>
    </row>
    <row r="730" spans="1:14" x14ac:dyDescent="0.25">
      <c r="A730" s="14" t="str">
        <f t="shared" si="30"/>
        <v>AVT0000729</v>
      </c>
      <c r="B730" s="13" t="str">
        <f>VLOOKUP(D730,'SUPPLIER_ITEMS (1st Tools)'!C929:D2656,2,FALSE)</f>
        <v>1ST-358-928</v>
      </c>
      <c r="C730" s="14" t="s">
        <v>3966</v>
      </c>
      <c r="D730" s="18" t="s">
        <v>1758</v>
      </c>
      <c r="F730" s="30" t="str">
        <f t="shared" si="29"/>
        <v>AV66580-03 GALVANIZED CABLE CLIP 5/16"-8mm</v>
      </c>
      <c r="I730" s="31" t="str">
        <f>VLOOKUP(D730,'[1]NEW PRICE LIST'!$C$4:$D$1917,2,FALSE)</f>
        <v>1000PCS/BAG</v>
      </c>
      <c r="J730" s="13" t="s">
        <v>301</v>
      </c>
      <c r="K730" s="32">
        <f>VLOOKUP(D730,'[1]NEW PRICE LIST'!$C$4:$H$1917,3,FALSE)</f>
        <v>6</v>
      </c>
      <c r="L730" s="13">
        <v>100</v>
      </c>
      <c r="M730" s="13">
        <v>0</v>
      </c>
      <c r="N730" s="13">
        <v>0</v>
      </c>
    </row>
    <row r="731" spans="1:14" x14ac:dyDescent="0.25">
      <c r="A731" s="14" t="str">
        <f t="shared" si="30"/>
        <v>AVT0000730</v>
      </c>
      <c r="B731" s="13" t="str">
        <f>VLOOKUP(D731,'SUPPLIER_ITEMS (1st Tools)'!C930:D2657,2,FALSE)</f>
        <v>1ST-358-929</v>
      </c>
      <c r="C731" s="14" t="s">
        <v>3966</v>
      </c>
      <c r="D731" s="18" t="s">
        <v>1760</v>
      </c>
      <c r="F731" s="30" t="str">
        <f t="shared" si="29"/>
        <v>AV66580-04 GALVANIZED CABLE CLIP 3/8"-10mm</v>
      </c>
      <c r="I731" s="31" t="str">
        <f>VLOOKUP(D731,'[1]NEW PRICE LIST'!$C$4:$D$1917,2,FALSE)</f>
        <v>500PCS/BAG</v>
      </c>
      <c r="J731" s="13" t="s">
        <v>301</v>
      </c>
      <c r="K731" s="32">
        <f>VLOOKUP(D731,'[1]NEW PRICE LIST'!$C$4:$H$1917,3,FALSE)</f>
        <v>11</v>
      </c>
      <c r="L731" s="13">
        <v>100</v>
      </c>
      <c r="M731" s="13">
        <v>0</v>
      </c>
      <c r="N731" s="13">
        <v>0</v>
      </c>
    </row>
    <row r="732" spans="1:14" x14ac:dyDescent="0.25">
      <c r="A732" s="14" t="str">
        <f t="shared" si="30"/>
        <v>AVT0000731</v>
      </c>
      <c r="B732" s="13" t="str">
        <f>VLOOKUP(D732,'SUPPLIER_ITEMS (1st Tools)'!C931:D2658,2,FALSE)</f>
        <v>1ST-358-930</v>
      </c>
      <c r="C732" s="14" t="s">
        <v>3966</v>
      </c>
      <c r="D732" s="18" t="s">
        <v>1762</v>
      </c>
      <c r="F732" s="30" t="str">
        <f t="shared" si="29"/>
        <v>AV66580-05 GALVANIZED CABLE CLIP 1/2"-12mm</v>
      </c>
      <c r="I732" s="31" t="str">
        <f>VLOOKUP(D732,'[1]NEW PRICE LIST'!$C$4:$D$1917,2,FALSE)</f>
        <v>250PCS/BAG</v>
      </c>
      <c r="J732" s="13" t="s">
        <v>301</v>
      </c>
      <c r="K732" s="32">
        <f>VLOOKUP(D732,'[1]NEW PRICE LIST'!$C$4:$H$1917,3,FALSE)</f>
        <v>21</v>
      </c>
      <c r="L732" s="13">
        <v>100</v>
      </c>
      <c r="M732" s="13">
        <v>0</v>
      </c>
      <c r="N732" s="13">
        <v>0</v>
      </c>
    </row>
    <row r="733" spans="1:14" x14ac:dyDescent="0.25">
      <c r="A733" s="14" t="str">
        <f t="shared" si="30"/>
        <v>AVT0000732</v>
      </c>
      <c r="B733" s="13" t="str">
        <f>VLOOKUP(D733,'SUPPLIER_ITEMS (1st Tools)'!C932:D2659,2,FALSE)</f>
        <v>1ST-358-931</v>
      </c>
      <c r="C733" s="14" t="s">
        <v>152</v>
      </c>
      <c r="D733" s="18" t="s">
        <v>1764</v>
      </c>
      <c r="F733" s="30" t="str">
        <f t="shared" si="29"/>
        <v>AV66580-06 GALVANIZED CABLE CLIP 5/8"-16mm</v>
      </c>
      <c r="I733" s="31" t="str">
        <f>VLOOKUP(D733,'[1]NEW PRICE LIST'!$C$4:$D$1917,2,FALSE)</f>
        <v>200PCS/BAG</v>
      </c>
      <c r="J733" s="13" t="s">
        <v>301</v>
      </c>
      <c r="K733" s="32">
        <f>VLOOKUP(D733,'[1]NEW PRICE LIST'!$C$4:$H$1917,3,FALSE)</f>
        <v>35</v>
      </c>
      <c r="L733" s="13">
        <v>100</v>
      </c>
      <c r="M733" s="13">
        <v>0</v>
      </c>
      <c r="N733" s="13">
        <v>0</v>
      </c>
    </row>
    <row r="734" spans="1:14" x14ac:dyDescent="0.25">
      <c r="A734" s="14" t="str">
        <f t="shared" si="30"/>
        <v>AVT0000733</v>
      </c>
      <c r="B734" s="13" t="str">
        <f>VLOOKUP(D734,'SUPPLIER_ITEMS (1st Tools)'!C933:D2660,2,FALSE)</f>
        <v>1ST-358-932</v>
      </c>
      <c r="C734" s="14" t="s">
        <v>152</v>
      </c>
      <c r="D734" s="18" t="s">
        <v>1765</v>
      </c>
      <c r="F734" s="30" t="str">
        <f t="shared" si="29"/>
        <v>AV66580-07 GALVANIZED CABLE CLIP 3/4"-20mm</v>
      </c>
      <c r="I734" s="31" t="str">
        <f>VLOOKUP(D734,'[1]NEW PRICE LIST'!$C$4:$D$1917,2,FALSE)</f>
        <v>100PCS/BAG</v>
      </c>
      <c r="J734" s="13" t="s">
        <v>301</v>
      </c>
      <c r="K734" s="32">
        <f>VLOOKUP(D734,'[1]NEW PRICE LIST'!$C$4:$H$1917,3,FALSE)</f>
        <v>45</v>
      </c>
      <c r="L734" s="13">
        <v>100</v>
      </c>
      <c r="M734" s="13">
        <v>0</v>
      </c>
      <c r="N734" s="13">
        <v>0</v>
      </c>
    </row>
    <row r="735" spans="1:14" x14ac:dyDescent="0.25">
      <c r="A735" s="14" t="str">
        <f t="shared" si="30"/>
        <v>AVT0000734</v>
      </c>
      <c r="B735" s="13" t="str">
        <f>VLOOKUP(D735,'SUPPLIER_ITEMS (1st Tools)'!C934:D2661,2,FALSE)</f>
        <v>1ST-358-933</v>
      </c>
      <c r="C735" s="14" t="s">
        <v>152</v>
      </c>
      <c r="D735" s="18" t="s">
        <v>1766</v>
      </c>
      <c r="F735" s="30" t="str">
        <f t="shared" si="29"/>
        <v>AV66580-08 GALVANIZED CABLE CLIP 7/8"-22mm</v>
      </c>
      <c r="I735" s="31" t="str">
        <f>VLOOKUP(D735,'[1]NEW PRICE LIST'!$C$4:$D$1917,2,FALSE)</f>
        <v>100PCS/BAG</v>
      </c>
      <c r="J735" s="13" t="s">
        <v>301</v>
      </c>
      <c r="K735" s="32">
        <f>VLOOKUP(D735,'[1]NEW PRICE LIST'!$C$4:$H$1917,3,FALSE)</f>
        <v>75</v>
      </c>
      <c r="L735" s="13">
        <v>100</v>
      </c>
      <c r="M735" s="13">
        <v>0</v>
      </c>
      <c r="N735" s="13">
        <v>0</v>
      </c>
    </row>
    <row r="736" spans="1:14" x14ac:dyDescent="0.25">
      <c r="A736" s="14" t="str">
        <f t="shared" si="30"/>
        <v>AVT0000735</v>
      </c>
      <c r="B736" s="13" t="str">
        <f>VLOOKUP(D736,'SUPPLIER_ITEMS (1st Tools)'!C935:D2662,2,FALSE)</f>
        <v>1ST-358-934</v>
      </c>
      <c r="C736" s="14" t="s">
        <v>152</v>
      </c>
      <c r="D736" s="18" t="s">
        <v>1767</v>
      </c>
      <c r="F736" s="30" t="str">
        <f t="shared" si="29"/>
        <v>AV66580-09 GALVANIZED CABLE CLIP 1"-25mm</v>
      </c>
      <c r="I736" s="31" t="str">
        <f>VLOOKUP(D736,'[1]NEW PRICE LIST'!$C$4:$D$1917,2,FALSE)</f>
        <v>50PCS/BAG</v>
      </c>
      <c r="J736" s="13" t="s">
        <v>301</v>
      </c>
      <c r="K736" s="32">
        <f>VLOOKUP(D736,'[1]NEW PRICE LIST'!$C$4:$H$1917,3,FALSE)</f>
        <v>85</v>
      </c>
      <c r="L736" s="13">
        <v>100</v>
      </c>
      <c r="M736" s="13">
        <v>0</v>
      </c>
      <c r="N736" s="13">
        <v>0</v>
      </c>
    </row>
    <row r="737" spans="1:14" x14ac:dyDescent="0.25">
      <c r="A737" s="14" t="str">
        <f t="shared" si="30"/>
        <v>AVT0000736</v>
      </c>
      <c r="B737" s="13" t="str">
        <f>VLOOKUP(D737,'SUPPLIER_ITEMS (1st Tools)'!C936:D2663,2,FALSE)</f>
        <v>1ST-358-935</v>
      </c>
      <c r="C737" s="14" t="s">
        <v>152</v>
      </c>
      <c r="D737" s="18" t="s">
        <v>3811</v>
      </c>
      <c r="F737" s="30" t="str">
        <f t="shared" si="29"/>
        <v>AV66580-10 GALVANIZED CABLE CLIP 1-1/4"- 32mm</v>
      </c>
      <c r="I737" s="31" t="str">
        <f>VLOOKUP(D737,'[1]NEW PRICE LIST'!$C$4:$D$1917,2,FALSE)</f>
        <v>50PCS/BAG</v>
      </c>
      <c r="J737" s="13" t="s">
        <v>301</v>
      </c>
      <c r="K737" s="32">
        <f>VLOOKUP(D737,'[1]NEW PRICE LIST'!$C$4:$H$1917,3,FALSE)</f>
        <v>125</v>
      </c>
      <c r="L737" s="13">
        <v>100</v>
      </c>
      <c r="M737" s="13">
        <v>0</v>
      </c>
      <c r="N737" s="13">
        <v>0</v>
      </c>
    </row>
    <row r="738" spans="1:14" x14ac:dyDescent="0.25">
      <c r="A738" s="14" t="str">
        <f t="shared" si="30"/>
        <v>AVT0000737</v>
      </c>
      <c r="B738" s="13" t="str">
        <f>VLOOKUP(D738,'SUPPLIER_ITEMS (1st Tools)'!C937:D2664,2,FALSE)</f>
        <v>1ST-358-936</v>
      </c>
      <c r="C738" s="14" t="s">
        <v>152</v>
      </c>
      <c r="D738" s="18" t="s">
        <v>3812</v>
      </c>
      <c r="F738" s="30" t="str">
        <f t="shared" si="29"/>
        <v>AV66580-11 GALVANIZED CABLE CLIP 1-1/2"- 38mm</v>
      </c>
      <c r="I738" s="31" t="str">
        <f>VLOOKUP(D738,'[1]NEW PRICE LIST'!$C$4:$D$1917,2,FALSE)</f>
        <v>30PCS/BAG</v>
      </c>
      <c r="J738" s="13" t="s">
        <v>301</v>
      </c>
      <c r="K738" s="32">
        <f>VLOOKUP(D738,'[1]NEW PRICE LIST'!$C$4:$H$1917,3,FALSE)</f>
        <v>190</v>
      </c>
      <c r="L738" s="13">
        <v>100</v>
      </c>
      <c r="M738" s="13">
        <v>0</v>
      </c>
      <c r="N738" s="13">
        <v>0</v>
      </c>
    </row>
    <row r="739" spans="1:14" x14ac:dyDescent="0.25">
      <c r="A739" s="14" t="str">
        <f t="shared" si="30"/>
        <v>AVT0000738</v>
      </c>
      <c r="B739" s="13" t="str">
        <f>VLOOKUP(D739,'SUPPLIER_ITEMS (1st Tools)'!C938:D2665,2,FALSE)</f>
        <v>1ST-358-937</v>
      </c>
      <c r="C739" s="14" t="s">
        <v>151</v>
      </c>
      <c r="D739" s="19" t="s">
        <v>1768</v>
      </c>
      <c r="F739" s="30" t="str">
        <f t="shared" si="29"/>
        <v>AV66280-1 (LT66001) 500G COTTON HAND GLOVES</v>
      </c>
      <c r="I739" s="31" t="str">
        <f>VLOOKUP(D739,'[1]NEW PRICE LIST'!$C$4:$D$1917,2,FALSE)</f>
        <v>50DOZ/BAG</v>
      </c>
      <c r="J739" s="13" t="s">
        <v>301</v>
      </c>
      <c r="K739" s="32">
        <f>VLOOKUP(D739,'[1]NEW PRICE LIST'!$C$4:$H$1917,3,FALSE)</f>
        <v>120</v>
      </c>
      <c r="L739" s="13">
        <v>100</v>
      </c>
      <c r="M739" s="13">
        <v>0</v>
      </c>
      <c r="N739" s="13">
        <v>0</v>
      </c>
    </row>
    <row r="740" spans="1:14" x14ac:dyDescent="0.25">
      <c r="A740" s="14" t="str">
        <f t="shared" si="30"/>
        <v>AVT0000739</v>
      </c>
      <c r="B740" s="13" t="str">
        <f>VLOOKUP(D740,'SUPPLIER_ITEMS (1st Tools)'!C939:D2666,2,FALSE)</f>
        <v>1ST-358-938</v>
      </c>
      <c r="C740" s="14" t="s">
        <v>151</v>
      </c>
      <c r="D740" s="19" t="s">
        <v>3813</v>
      </c>
      <c r="F740" s="30" t="str">
        <f t="shared" si="29"/>
        <v>AV66280-2 (LT66005) 700G COTTON GLOVES S9"</v>
      </c>
      <c r="I740" s="31" t="str">
        <f>VLOOKUP(D740,'[1]NEW PRICE LIST'!$C$4:$D$1917,2,FALSE)</f>
        <v>50DOZ/BAG</v>
      </c>
      <c r="J740" s="13" t="s">
        <v>301</v>
      </c>
      <c r="K740" s="32">
        <f>VLOOKUP(D740,'[1]NEW PRICE LIST'!$C$4:$H$1917,3,FALSE)</f>
        <v>150</v>
      </c>
      <c r="L740" s="13">
        <v>100</v>
      </c>
      <c r="M740" s="13">
        <v>0</v>
      </c>
      <c r="N740" s="13">
        <v>0</v>
      </c>
    </row>
    <row r="741" spans="1:14" x14ac:dyDescent="0.25">
      <c r="A741" s="14" t="str">
        <f t="shared" si="30"/>
        <v>AVT0000740</v>
      </c>
      <c r="B741" s="13" t="str">
        <f>VLOOKUP(D741,'SUPPLIER_ITEMS (1st Tools)'!C940:D2667,2,FALSE)</f>
        <v>1ST-358-939</v>
      </c>
      <c r="C741" s="14" t="s">
        <v>151</v>
      </c>
      <c r="D741" s="19" t="s">
        <v>1770</v>
      </c>
      <c r="F741" s="30" t="str">
        <f t="shared" si="29"/>
        <v>AV66280-3 COLORFUL COTTON HAND GLOVES</v>
      </c>
      <c r="I741" s="31" t="str">
        <f>VLOOKUP(D741,'[1]NEW PRICE LIST'!$C$4:$D$1917,2,FALSE)</f>
        <v>50DOZ/BAG</v>
      </c>
      <c r="J741" s="13" t="s">
        <v>301</v>
      </c>
      <c r="K741" s="32">
        <f>VLOOKUP(D741,'[1]NEW PRICE LIST'!$C$4:$H$1917,3,FALSE)</f>
        <v>110</v>
      </c>
      <c r="L741" s="13">
        <v>100</v>
      </c>
      <c r="M741" s="13">
        <v>0</v>
      </c>
      <c r="N741" s="13">
        <v>0</v>
      </c>
    </row>
    <row r="742" spans="1:14" x14ac:dyDescent="0.25">
      <c r="A742" s="14" t="str">
        <f t="shared" si="30"/>
        <v>AVT0000741</v>
      </c>
      <c r="B742" s="13" t="str">
        <f>VLOOKUP(D742,'SUPPLIER_ITEMS (1st Tools)'!C941:D2668,2,FALSE)</f>
        <v>1ST-358-940</v>
      </c>
      <c r="C742" s="14" t="s">
        <v>151</v>
      </c>
      <c r="D742" s="18" t="s">
        <v>1771</v>
      </c>
      <c r="F742" s="30" t="str">
        <f t="shared" si="29"/>
        <v>AV66282-1 WELDING GLOVES 10.5 POLOLOCK</v>
      </c>
      <c r="I742" s="31" t="str">
        <f>VLOOKUP(D742,'[1]NEW PRICE LIST'!$C$4:$D$1917,2,FALSE)</f>
        <v>120PAIRS/CTN</v>
      </c>
      <c r="J742" s="13" t="s">
        <v>3975</v>
      </c>
      <c r="K742" s="32">
        <f>VLOOKUP(D742,'[1]NEW PRICE LIST'!$C$4:$H$1917,3,FALSE)</f>
        <v>100</v>
      </c>
      <c r="L742" s="13">
        <v>100</v>
      </c>
      <c r="M742" s="13">
        <v>0</v>
      </c>
      <c r="N742" s="13">
        <v>0</v>
      </c>
    </row>
    <row r="743" spans="1:14" x14ac:dyDescent="0.25">
      <c r="A743" s="14" t="str">
        <f t="shared" si="30"/>
        <v>AVT0000742</v>
      </c>
      <c r="B743" s="13" t="str">
        <f>VLOOKUP(D743,'SUPPLIER_ITEMS (1st Tools)'!C942:D2669,2,FALSE)</f>
        <v>1ST-358-941</v>
      </c>
      <c r="C743" s="14" t="s">
        <v>151</v>
      </c>
      <c r="D743" s="18" t="s">
        <v>1773</v>
      </c>
      <c r="F743" s="30" t="str">
        <f t="shared" si="29"/>
        <v>AV66282-2 WELDING GLOVES 14"POLOLOCK</v>
      </c>
      <c r="I743" s="31" t="str">
        <f>VLOOKUP(D743,'[1]NEW PRICE LIST'!$C$4:$D$1917,2,FALSE)</f>
        <v>60PAIRS/CTN</v>
      </c>
      <c r="J743" s="13" t="s">
        <v>3975</v>
      </c>
      <c r="K743" s="32">
        <f>VLOOKUP(D743,'[1]NEW PRICE LIST'!$C$4:$H$1917,3,FALSE)</f>
        <v>170</v>
      </c>
      <c r="L743" s="13">
        <v>100</v>
      </c>
      <c r="M743" s="13">
        <v>0</v>
      </c>
      <c r="N743" s="13">
        <v>0</v>
      </c>
    </row>
    <row r="744" spans="1:14" x14ac:dyDescent="0.25">
      <c r="A744" s="14" t="str">
        <f t="shared" si="30"/>
        <v>AVT0000743</v>
      </c>
      <c r="B744" s="13" t="str">
        <f>VLOOKUP(D744,'SUPPLIER_ITEMS (1st Tools)'!C943:D2670,2,FALSE)</f>
        <v>1ST-358-942</v>
      </c>
      <c r="C744" s="14" t="s">
        <v>151</v>
      </c>
      <c r="D744" s="18" t="s">
        <v>1775</v>
      </c>
      <c r="F744" s="30" t="str">
        <f t="shared" si="29"/>
        <v>AV66282-3 WELDING GLOVES 16" POLONET</v>
      </c>
      <c r="I744" s="31" t="str">
        <f>VLOOKUP(D744,'[1]NEW PRICE LIST'!$C$4:$D$1917,2,FALSE)</f>
        <v>60PAIRS/CTN</v>
      </c>
      <c r="J744" s="13" t="s">
        <v>3975</v>
      </c>
      <c r="K744" s="32">
        <f>VLOOKUP(D744,'[1]NEW PRICE LIST'!$C$4:$H$1917,3,FALSE)</f>
        <v>190</v>
      </c>
      <c r="L744" s="13">
        <v>100</v>
      </c>
      <c r="M744" s="13">
        <v>0</v>
      </c>
      <c r="N744" s="13">
        <v>0</v>
      </c>
    </row>
    <row r="745" spans="1:14" x14ac:dyDescent="0.25">
      <c r="A745" s="14" t="str">
        <f t="shared" si="30"/>
        <v>AVT0000744</v>
      </c>
      <c r="B745" s="13" t="str">
        <f>VLOOKUP(D745,'SUPPLIER_ITEMS (1st Tools)'!C944:D2671,2,FALSE)</f>
        <v>1ST-358-943</v>
      </c>
      <c r="C745" s="14" t="s">
        <v>151</v>
      </c>
      <c r="D745" s="18" t="s">
        <v>1777</v>
      </c>
      <c r="F745" s="30" t="str">
        <f t="shared" si="29"/>
        <v>AV66282-4 (LT66009) WELDING GLOVES 18" POLONET</v>
      </c>
      <c r="I745" s="31" t="str">
        <f>VLOOKUP(D745,'[1]NEW PRICE LIST'!$C$4:$D$1917,2,FALSE)</f>
        <v>60PAIRS/CTN</v>
      </c>
      <c r="J745" s="13" t="s">
        <v>3975</v>
      </c>
      <c r="K745" s="32">
        <f>VLOOKUP(D745,'[1]NEW PRICE LIST'!$C$4:$H$1917,3,FALSE)</f>
        <v>220</v>
      </c>
      <c r="L745" s="13">
        <v>100</v>
      </c>
      <c r="M745" s="13">
        <v>0</v>
      </c>
      <c r="N745" s="13">
        <v>0</v>
      </c>
    </row>
    <row r="746" spans="1:14" x14ac:dyDescent="0.25">
      <c r="A746" s="14" t="str">
        <f t="shared" si="30"/>
        <v>AVT0000745</v>
      </c>
      <c r="B746" s="13" t="str">
        <f>VLOOKUP(D746,'SUPPLIER_ITEMS (1st Tools)'!C945:D2672,2,FALSE)</f>
        <v>1ST-358-944</v>
      </c>
      <c r="C746" s="14" t="s">
        <v>151</v>
      </c>
      <c r="D746" s="19" t="s">
        <v>1779</v>
      </c>
      <c r="F746" s="30" t="str">
        <f t="shared" si="29"/>
        <v>AV66281 RUBBER GLOVES 70G 9"</v>
      </c>
      <c r="I746" s="31" t="str">
        <f>VLOOKUP(D746,'[1]NEW PRICE LIST'!$C$4:$D$1917,2,FALSE)</f>
        <v>480PAIR/CTN</v>
      </c>
      <c r="J746" s="13" t="s">
        <v>3975</v>
      </c>
      <c r="K746" s="32">
        <f>VLOOKUP(D746,'[1]NEW PRICE LIST'!$C$4:$H$1917,3,FALSE)</f>
        <v>32</v>
      </c>
      <c r="L746" s="13">
        <v>100</v>
      </c>
      <c r="M746" s="13">
        <v>0</v>
      </c>
      <c r="N746" s="13">
        <v>0</v>
      </c>
    </row>
    <row r="747" spans="1:14" x14ac:dyDescent="0.25">
      <c r="A747" s="14" t="str">
        <f t="shared" si="30"/>
        <v>AVT0000746</v>
      </c>
      <c r="B747" s="13" t="str">
        <f>VLOOKUP(D747,'SUPPLIER_ITEMS (1st Tools)'!C946:D2673,2,FALSE)</f>
        <v>1ST-358-945</v>
      </c>
      <c r="C747" s="14" t="s">
        <v>150</v>
      </c>
      <c r="D747" s="18" t="s">
        <v>1781</v>
      </c>
      <c r="F747" s="30" t="str">
        <f t="shared" si="29"/>
        <v>AV66291-00 SAFETY RAIN SHOES ALL BLACK #39 5"</v>
      </c>
      <c r="I747" s="31" t="str">
        <f>VLOOKUP(D747,'[1]NEW PRICE LIST'!$C$4:$D$1917,2,FALSE)</f>
        <v>10PAIRS/CTN</v>
      </c>
      <c r="J747" s="13" t="s">
        <v>3975</v>
      </c>
      <c r="K747" s="32">
        <f>VLOOKUP(D747,'[1]NEW PRICE LIST'!$C$4:$H$1917,3,FALSE)</f>
        <v>290</v>
      </c>
      <c r="L747" s="13">
        <v>100</v>
      </c>
      <c r="M747" s="13">
        <v>0</v>
      </c>
      <c r="N747" s="13">
        <v>0</v>
      </c>
    </row>
    <row r="748" spans="1:14" x14ac:dyDescent="0.25">
      <c r="A748" s="14" t="str">
        <f t="shared" si="30"/>
        <v>AVT0000747</v>
      </c>
      <c r="B748" s="13" t="str">
        <f>VLOOKUP(D748,'SUPPLIER_ITEMS (1st Tools)'!C952:D2679,2,FALSE)</f>
        <v>1ST-358-951</v>
      </c>
      <c r="C748" s="14" t="s">
        <v>150</v>
      </c>
      <c r="D748" s="19" t="s">
        <v>1787</v>
      </c>
      <c r="F748" s="30" t="str">
        <f t="shared" si="29"/>
        <v>AV66291-06 SAFETY RAIN SHOES Y&amp;B 4"</v>
      </c>
      <c r="I748" s="31" t="str">
        <f>VLOOKUP(D748,'[1]NEW PRICE LIST'!$C$4:$D$1917,2,FALSE)</f>
        <v>10PAIRS/CTN</v>
      </c>
      <c r="J748" s="13" t="s">
        <v>3975</v>
      </c>
      <c r="K748" s="32">
        <f>VLOOKUP(D748,'[1]NEW PRICE LIST'!$C$4:$H$1917,3,FALSE)</f>
        <v>310</v>
      </c>
      <c r="L748" s="13">
        <v>100</v>
      </c>
      <c r="M748" s="13">
        <v>0</v>
      </c>
      <c r="N748" s="13">
        <v>0</v>
      </c>
    </row>
    <row r="749" spans="1:14" x14ac:dyDescent="0.25">
      <c r="A749" s="14" t="str">
        <f t="shared" si="30"/>
        <v>AVT0000748</v>
      </c>
      <c r="B749" s="13" t="str">
        <f>VLOOKUP(D749,'SUPPLIER_ITEMS (1st Tools)'!C971:D2698,2,FALSE)</f>
        <v>1ST-358-970</v>
      </c>
      <c r="C749" s="14" t="s">
        <v>148</v>
      </c>
      <c r="D749" s="19" t="s">
        <v>1805</v>
      </c>
      <c r="F749" s="30" t="str">
        <f t="shared" ref="F749:F787" si="31">"AV"&amp;RIGHT(D749,LEN(D749)-2)</f>
        <v>AV66410-1 BLUE SAFETY HELMET</v>
      </c>
      <c r="I749" s="31" t="str">
        <f>VLOOKUP(D749,'[1]NEW PRICE LIST'!$C$4:$D$1917,2,FALSE)</f>
        <v>50PCS/CTN</v>
      </c>
      <c r="J749" s="13" t="s">
        <v>300</v>
      </c>
      <c r="K749" s="32">
        <f>VLOOKUP(D749,'[1]NEW PRICE LIST'!$C$4:$H$1917,3,FALSE)</f>
        <v>90</v>
      </c>
      <c r="L749" s="13">
        <v>100</v>
      </c>
      <c r="M749" s="13">
        <v>0</v>
      </c>
      <c r="N749" s="13">
        <v>0</v>
      </c>
    </row>
    <row r="750" spans="1:14" x14ac:dyDescent="0.25">
      <c r="A750" s="14" t="str">
        <f t="shared" si="30"/>
        <v>AVT0000749</v>
      </c>
      <c r="B750" s="13" t="str">
        <f>VLOOKUP(D750,'SUPPLIER_ITEMS (1st Tools)'!C972:D2699,2,FALSE)</f>
        <v>1ST-358-971</v>
      </c>
      <c r="C750" s="14" t="s">
        <v>148</v>
      </c>
      <c r="D750" s="19" t="s">
        <v>1806</v>
      </c>
      <c r="F750" s="30" t="str">
        <f t="shared" si="31"/>
        <v>AV66410-2 GREEN SAFETY HELMET</v>
      </c>
      <c r="I750" s="31" t="str">
        <f>VLOOKUP(D750,'[1]NEW PRICE LIST'!$C$4:$D$1917,2,FALSE)</f>
        <v>50PCS/CTN</v>
      </c>
      <c r="J750" s="13" t="s">
        <v>300</v>
      </c>
      <c r="K750" s="32">
        <f>VLOOKUP(D750,'[1]NEW PRICE LIST'!$C$4:$H$1917,3,FALSE)</f>
        <v>90</v>
      </c>
      <c r="L750" s="13">
        <v>100</v>
      </c>
      <c r="M750" s="13">
        <v>0</v>
      </c>
      <c r="N750" s="13">
        <v>0</v>
      </c>
    </row>
    <row r="751" spans="1:14" x14ac:dyDescent="0.25">
      <c r="A751" s="14" t="str">
        <f t="shared" si="30"/>
        <v>AVT0000750</v>
      </c>
      <c r="B751" s="13" t="str">
        <f>VLOOKUP(D751,'SUPPLIER_ITEMS (1st Tools)'!C973:D2700,2,FALSE)</f>
        <v>1ST-358-972</v>
      </c>
      <c r="C751" s="14" t="s">
        <v>148</v>
      </c>
      <c r="D751" s="19" t="s">
        <v>1807</v>
      </c>
      <c r="F751" s="30" t="str">
        <f t="shared" si="31"/>
        <v>AV66410-3 YELLOW SAFETY HELMET</v>
      </c>
      <c r="I751" s="31" t="str">
        <f>VLOOKUP(D751,'[1]NEW PRICE LIST'!$C$4:$D$1917,2,FALSE)</f>
        <v>50PCS/CTN</v>
      </c>
      <c r="J751" s="13" t="s">
        <v>300</v>
      </c>
      <c r="K751" s="32">
        <f>VLOOKUP(D751,'[1]NEW PRICE LIST'!$C$4:$H$1917,3,FALSE)</f>
        <v>90</v>
      </c>
      <c r="L751" s="13">
        <v>100</v>
      </c>
      <c r="M751" s="13">
        <v>0</v>
      </c>
      <c r="N751" s="13">
        <v>0</v>
      </c>
    </row>
    <row r="752" spans="1:14" x14ac:dyDescent="0.25">
      <c r="A752" s="14" t="str">
        <f t="shared" si="30"/>
        <v>AVT0000751</v>
      </c>
      <c r="B752" s="13" t="str">
        <f>VLOOKUP(D752,'SUPPLIER_ITEMS (1st Tools)'!C974:D2701,2,FALSE)</f>
        <v>1ST-358-973</v>
      </c>
      <c r="C752" s="14" t="s">
        <v>148</v>
      </c>
      <c r="D752" s="19" t="s">
        <v>1808</v>
      </c>
      <c r="F752" s="30" t="str">
        <f t="shared" si="31"/>
        <v>AV66410-4 RED SAFETY HELMET</v>
      </c>
      <c r="I752" s="31" t="str">
        <f>VLOOKUP(D752,'[1]NEW PRICE LIST'!$C$4:$D$1917,2,FALSE)</f>
        <v>50PCS/CTN</v>
      </c>
      <c r="J752" s="13" t="s">
        <v>300</v>
      </c>
      <c r="K752" s="32">
        <f>VLOOKUP(D752,'[1]NEW PRICE LIST'!$C$4:$H$1917,3,FALSE)</f>
        <v>90</v>
      </c>
      <c r="L752" s="13">
        <v>100</v>
      </c>
      <c r="M752" s="13">
        <v>0</v>
      </c>
      <c r="N752" s="13">
        <v>0</v>
      </c>
    </row>
    <row r="753" spans="1:16" x14ac:dyDescent="0.25">
      <c r="A753" s="14" t="str">
        <f t="shared" si="30"/>
        <v>AVT0000752</v>
      </c>
      <c r="B753" s="13" t="str">
        <f>VLOOKUP(D753,'SUPPLIER_ITEMS (1st Tools)'!C975:D2702,2,FALSE)</f>
        <v>1ST-358-974</v>
      </c>
      <c r="C753" s="14" t="s">
        <v>148</v>
      </c>
      <c r="D753" s="19" t="s">
        <v>1809</v>
      </c>
      <c r="F753" s="30" t="str">
        <f t="shared" si="31"/>
        <v>AV66410-5 WHITE SAFETY HELMET</v>
      </c>
      <c r="I753" s="31" t="str">
        <f>VLOOKUP(D753,'[1]NEW PRICE LIST'!$C$4:$D$1917,2,FALSE)</f>
        <v>50PCS/CTN</v>
      </c>
      <c r="J753" s="13" t="s">
        <v>300</v>
      </c>
      <c r="K753" s="32">
        <f>VLOOKUP(D753,'[1]NEW PRICE LIST'!$C$4:$H$1917,3,FALSE)</f>
        <v>90</v>
      </c>
      <c r="L753" s="13">
        <v>100</v>
      </c>
      <c r="M753" s="13">
        <v>0</v>
      </c>
      <c r="N753" s="13">
        <v>0</v>
      </c>
    </row>
    <row r="754" spans="1:16" x14ac:dyDescent="0.25">
      <c r="A754" s="14" t="str">
        <f t="shared" si="30"/>
        <v>AVT0000753</v>
      </c>
      <c r="B754" s="13" t="str">
        <f>VLOOKUP(D754,'SUPPLIER_ITEMS (1st Tools)'!C976:D2703,2,FALSE)</f>
        <v>1ST-358-975</v>
      </c>
      <c r="C754" s="14" t="s">
        <v>148</v>
      </c>
      <c r="D754" s="19" t="s">
        <v>1810</v>
      </c>
      <c r="F754" s="30" t="str">
        <f t="shared" si="31"/>
        <v>AV66410-6 ORANGE SAFETY HELMET</v>
      </c>
      <c r="I754" s="31" t="str">
        <f>VLOOKUP(D754,'[1]NEW PRICE LIST'!$C$4:$D$1917,2,FALSE)</f>
        <v>50PCS/CTN</v>
      </c>
      <c r="J754" s="13" t="s">
        <v>300</v>
      </c>
      <c r="K754" s="32">
        <f>VLOOKUP(D754,'[1]NEW PRICE LIST'!$C$4:$H$1917,3,FALSE)</f>
        <v>90</v>
      </c>
      <c r="L754" s="13">
        <v>100</v>
      </c>
      <c r="M754" s="13">
        <v>0</v>
      </c>
      <c r="N754" s="13">
        <v>0</v>
      </c>
    </row>
    <row r="755" spans="1:16" x14ac:dyDescent="0.25">
      <c r="A755" s="14" t="str">
        <f t="shared" si="30"/>
        <v>AVT0000754</v>
      </c>
      <c r="B755" s="13" t="str">
        <f>VLOOKUP(D755,'SUPPLIER_ITEMS (1st Tools)'!C980:D2707,2,FALSE)</f>
        <v>1ST-358-979</v>
      </c>
      <c r="C755" s="14" t="s">
        <v>147</v>
      </c>
      <c r="D755" s="18" t="s">
        <v>1817</v>
      </c>
      <c r="F755" s="30" t="str">
        <f t="shared" si="31"/>
        <v>AV66370-03 #4 POLOLOCK NYLON ROPE ORANGE (2MM)</v>
      </c>
      <c r="I755" s="31" t="str">
        <f>VLOOKUP(D755,'[1]NEW PRICE LIST'!$C$4:$D$1917,2,FALSE)</f>
        <v>30ROLL/SACK</v>
      </c>
      <c r="J755" s="13" t="s">
        <v>3976</v>
      </c>
      <c r="K755" s="32">
        <f>VLOOKUP(D755,'[1]NEW PRICE LIST'!$C$4:$H$1917,3,FALSE)</f>
        <v>150</v>
      </c>
      <c r="L755" s="13">
        <v>100</v>
      </c>
      <c r="M755" s="13">
        <v>0</v>
      </c>
      <c r="N755" s="13">
        <v>0</v>
      </c>
      <c r="P755" s="13" t="s">
        <v>3963</v>
      </c>
    </row>
    <row r="756" spans="1:16" x14ac:dyDescent="0.25">
      <c r="A756" s="14" t="str">
        <f t="shared" si="30"/>
        <v>AVT0000755</v>
      </c>
      <c r="B756" s="13" t="str">
        <f>VLOOKUP(D756,'SUPPLIER_ITEMS (1st Tools)'!C982:D2709,2,FALSE)</f>
        <v>1ST-358-981</v>
      </c>
      <c r="C756" s="14" t="s">
        <v>147</v>
      </c>
      <c r="D756" s="18" t="s">
        <v>1821</v>
      </c>
      <c r="F756" s="30" t="str">
        <f t="shared" si="31"/>
        <v>AV66370-05 #6 POLOLOCK NYLON ROPE ORANGE (3MM)</v>
      </c>
      <c r="I756" s="31" t="str">
        <f>VLOOKUP(D756,'[1]NEW PRICE LIST'!$C$4:$D$1917,2,FALSE)</f>
        <v>28ROLL/SACK</v>
      </c>
      <c r="J756" s="13" t="s">
        <v>3976</v>
      </c>
      <c r="K756" s="32">
        <f>VLOOKUP(D756,'[1]NEW PRICE LIST'!$C$4:$H$1917,3,FALSE)</f>
        <v>235</v>
      </c>
      <c r="L756" s="13">
        <v>100</v>
      </c>
      <c r="M756" s="13">
        <v>0</v>
      </c>
      <c r="N756" s="13">
        <v>15</v>
      </c>
      <c r="P756" s="13" t="s">
        <v>3963</v>
      </c>
    </row>
    <row r="757" spans="1:16" x14ac:dyDescent="0.25">
      <c r="A757" s="14" t="str">
        <f t="shared" si="30"/>
        <v>AVT0000756</v>
      </c>
      <c r="B757" s="13" t="str">
        <f>VLOOKUP(D757,'SUPPLIER_ITEMS (1st Tools)'!C983:D2710,2,FALSE)</f>
        <v>1ST-358-982</v>
      </c>
      <c r="C757" s="14" t="s">
        <v>147</v>
      </c>
      <c r="D757" s="18" t="s">
        <v>1823</v>
      </c>
      <c r="F757" s="30" t="str">
        <f t="shared" si="31"/>
        <v>AV66370-06 #7 POLOLOCK NYLON ROPE ORANGE (3.5MM)</v>
      </c>
      <c r="I757" s="31" t="str">
        <f>VLOOKUP(D757,'[1]NEW PRICE LIST'!$C$4:$D$1917,2,FALSE)</f>
        <v>16ROLL/SACK</v>
      </c>
      <c r="J757" s="13" t="s">
        <v>3976</v>
      </c>
      <c r="K757" s="32">
        <f>VLOOKUP(D757,'[1]NEW PRICE LIST'!$C$4:$H$1917,3,FALSE)</f>
        <v>300</v>
      </c>
      <c r="L757" s="13">
        <v>100</v>
      </c>
      <c r="M757" s="13">
        <v>0</v>
      </c>
      <c r="N757" s="13">
        <v>15</v>
      </c>
      <c r="P757" s="13" t="s">
        <v>3963</v>
      </c>
    </row>
    <row r="758" spans="1:16" x14ac:dyDescent="0.25">
      <c r="A758" s="14" t="str">
        <f t="shared" si="30"/>
        <v>AVT0000757</v>
      </c>
      <c r="B758" s="13" t="str">
        <f>VLOOKUP(D758,'SUPPLIER_ITEMS (1st Tools)'!C984:D2711,2,FALSE)</f>
        <v>1ST-358-983</v>
      </c>
      <c r="C758" s="14" t="s">
        <v>147</v>
      </c>
      <c r="D758" s="18" t="s">
        <v>1825</v>
      </c>
      <c r="F758" s="30" t="str">
        <f t="shared" si="31"/>
        <v>AV66370-07 #8 POLOLOCK NYLON ROPE ORANGE (4MM)</v>
      </c>
      <c r="I758" s="31" t="str">
        <f>VLOOKUP(D758,'[1]NEW PRICE LIST'!$C$4:$D$1917,2,FALSE)</f>
        <v>12ROLL/SACK</v>
      </c>
      <c r="J758" s="13" t="s">
        <v>3976</v>
      </c>
      <c r="K758" s="32">
        <f>VLOOKUP(D758,'[1]NEW PRICE LIST'!$C$4:$H$1917,3,FALSE)</f>
        <v>370</v>
      </c>
      <c r="L758" s="13">
        <v>100</v>
      </c>
      <c r="M758" s="13">
        <v>0</v>
      </c>
      <c r="N758" s="13">
        <v>15</v>
      </c>
      <c r="P758" s="13" t="s">
        <v>3963</v>
      </c>
    </row>
    <row r="759" spans="1:16" x14ac:dyDescent="0.25">
      <c r="A759" s="14" t="str">
        <f t="shared" si="30"/>
        <v>AVT0000758</v>
      </c>
      <c r="B759" s="13" t="str">
        <f>VLOOKUP(D759,'SUPPLIER_ITEMS (1st Tools)'!C985:D2712,2,FALSE)</f>
        <v>1ST-358-984</v>
      </c>
      <c r="C759" s="14" t="s">
        <v>147</v>
      </c>
      <c r="D759" s="18" t="s">
        <v>1827</v>
      </c>
      <c r="F759" s="30" t="str">
        <f t="shared" si="31"/>
        <v>AV66370-08 #9 POLOLOCK NYLON ROPE ORANGE (4.5MM)</v>
      </c>
      <c r="I759" s="31" t="str">
        <f>VLOOKUP(D759,'[1]NEW PRICE LIST'!$C$4:$D$1917,2,FALSE)</f>
        <v>12ROLL/SACK</v>
      </c>
      <c r="J759" s="13" t="s">
        <v>3976</v>
      </c>
      <c r="K759" s="32">
        <f>VLOOKUP(D759,'[1]NEW PRICE LIST'!$C$4:$H$1917,3,FALSE)</f>
        <v>485</v>
      </c>
      <c r="L759" s="13">
        <v>100</v>
      </c>
      <c r="M759" s="13">
        <v>0</v>
      </c>
      <c r="N759" s="13">
        <v>15</v>
      </c>
      <c r="P759" s="13" t="s">
        <v>3963</v>
      </c>
    </row>
    <row r="760" spans="1:16" ht="26.4" x14ac:dyDescent="0.25">
      <c r="A760" s="14" t="str">
        <f t="shared" si="30"/>
        <v>AVT0000759</v>
      </c>
      <c r="B760" s="13" t="str">
        <f>VLOOKUP(D760,'SUPPLIER_ITEMS (1st Tools)'!C986:D2713,2,FALSE)</f>
        <v>1ST-358-985</v>
      </c>
      <c r="C760" s="14" t="s">
        <v>147</v>
      </c>
      <c r="D760" s="18" t="s">
        <v>1829</v>
      </c>
      <c r="F760" s="30" t="str">
        <f t="shared" si="31"/>
        <v>AV66370-09 (LT77003-5) #10 POLOLOCK NYLON ROPE ORANGE (5MM)</v>
      </c>
      <c r="I760" s="31" t="str">
        <f>VLOOKUP(D760,'[1]NEW PRICE LIST'!$C$4:$D$1917,2,FALSE)</f>
        <v>12ROLL/SACK</v>
      </c>
      <c r="J760" s="13" t="s">
        <v>3976</v>
      </c>
      <c r="K760" s="32">
        <f>VLOOKUP(D760,'[1]NEW PRICE LIST'!$C$4:$H$1917,3,FALSE)</f>
        <v>580</v>
      </c>
      <c r="L760" s="13">
        <v>100</v>
      </c>
      <c r="M760" s="13">
        <v>0</v>
      </c>
      <c r="N760" s="13">
        <v>15</v>
      </c>
      <c r="P760" s="13" t="s">
        <v>3963</v>
      </c>
    </row>
    <row r="761" spans="1:16" x14ac:dyDescent="0.25">
      <c r="A761" s="14" t="str">
        <f t="shared" si="30"/>
        <v>AVT0000760</v>
      </c>
      <c r="B761" s="13" t="str">
        <f>VLOOKUP(D761,'SUPPLIER_ITEMS (1st Tools)'!C987:D2714,2,FALSE)</f>
        <v>1ST-358-986</v>
      </c>
      <c r="C761" s="14" t="s">
        <v>147</v>
      </c>
      <c r="D761" s="18" t="s">
        <v>1831</v>
      </c>
      <c r="F761" s="30" t="str">
        <f t="shared" si="31"/>
        <v>AV66370-10 #12 POLOLOCK NYLON ROPE ORANGE (6MM)</v>
      </c>
      <c r="I761" s="31" t="str">
        <f>VLOOKUP(D761,'[1]NEW PRICE LIST'!$C$4:$D$1917,2,FALSE)</f>
        <v>10ROLL/SACK</v>
      </c>
      <c r="J761" s="13" t="s">
        <v>3976</v>
      </c>
      <c r="K761" s="32">
        <f>VLOOKUP(D761,'[1]NEW PRICE LIST'!$C$4:$H$1917,3,FALSE)</f>
        <v>765</v>
      </c>
      <c r="L761" s="13">
        <v>100</v>
      </c>
      <c r="M761" s="13">
        <v>0</v>
      </c>
      <c r="N761" s="13">
        <v>15</v>
      </c>
      <c r="P761" s="13" t="s">
        <v>3963</v>
      </c>
    </row>
    <row r="762" spans="1:16" ht="26.4" x14ac:dyDescent="0.25">
      <c r="A762" s="14" t="str">
        <f t="shared" si="30"/>
        <v>AVT0000761</v>
      </c>
      <c r="B762" s="13" t="str">
        <f>VLOOKUP(D762,'SUPPLIER_ITEMS (1st Tools)'!C988:D2715,2,FALSE)</f>
        <v>1ST-358-987</v>
      </c>
      <c r="C762" s="14" t="s">
        <v>147</v>
      </c>
      <c r="D762" s="18" t="s">
        <v>1833</v>
      </c>
      <c r="F762" s="30" t="str">
        <f t="shared" si="31"/>
        <v>AV66370-11 (LT77003-7) #14 POLOLOCK NYLON ROPE ORANGE (7MM)</v>
      </c>
      <c r="I762" s="31" t="str">
        <f>VLOOKUP(D762,'[1]NEW PRICE LIST'!$C$4:$D$1917,2,FALSE)</f>
        <v>8ROLL/SACK</v>
      </c>
      <c r="J762" s="13" t="s">
        <v>3976</v>
      </c>
      <c r="K762" s="32">
        <f>VLOOKUP(D762,'[1]NEW PRICE LIST'!$C$4:$H$1917,3,FALSE)</f>
        <v>1150</v>
      </c>
      <c r="L762" s="13">
        <v>100</v>
      </c>
      <c r="M762" s="13">
        <v>0</v>
      </c>
      <c r="N762" s="13">
        <v>15</v>
      </c>
      <c r="P762" s="13" t="s">
        <v>3963</v>
      </c>
    </row>
    <row r="763" spans="1:16" ht="26.4" x14ac:dyDescent="0.25">
      <c r="A763" s="14" t="str">
        <f t="shared" si="30"/>
        <v>AVT0000762</v>
      </c>
      <c r="B763" s="13" t="str">
        <f>VLOOKUP(D763,'SUPPLIER_ITEMS (1st Tools)'!C989:D2716,2,FALSE)</f>
        <v>1ST-358-988</v>
      </c>
      <c r="C763" s="14" t="s">
        <v>147</v>
      </c>
      <c r="D763" s="18" t="s">
        <v>1835</v>
      </c>
      <c r="F763" s="30" t="str">
        <f t="shared" si="31"/>
        <v>AV66370-12 (LT77003-8) #16 POLOLOCK NYLON ROPE ORANGE (8MM)</v>
      </c>
      <c r="I763" s="31" t="str">
        <f>VLOOKUP(D763,'[1]NEW PRICE LIST'!$C$4:$D$1917,2,FALSE)</f>
        <v>4ROLL/SACK</v>
      </c>
      <c r="J763" s="13" t="s">
        <v>3976</v>
      </c>
      <c r="K763" s="32">
        <f>VLOOKUP(D763,'[1]NEW PRICE LIST'!$C$4:$H$1917,3,FALSE)</f>
        <v>1350</v>
      </c>
      <c r="L763" s="13">
        <v>100</v>
      </c>
      <c r="M763" s="13">
        <v>0</v>
      </c>
      <c r="N763" s="13">
        <v>15</v>
      </c>
      <c r="P763" s="13" t="s">
        <v>3963</v>
      </c>
    </row>
    <row r="764" spans="1:16" ht="26.4" x14ac:dyDescent="0.25">
      <c r="A764" s="14" t="str">
        <f t="shared" si="30"/>
        <v>AVT0000763</v>
      </c>
      <c r="B764" s="13" t="str">
        <f>VLOOKUP(D764,'SUPPLIER_ITEMS (1st Tools)'!C990:D2717,2,FALSE)</f>
        <v>1ST-358-989</v>
      </c>
      <c r="C764" s="14" t="s">
        <v>147</v>
      </c>
      <c r="D764" s="18" t="s">
        <v>1837</v>
      </c>
      <c r="F764" s="30" t="str">
        <f t="shared" si="31"/>
        <v>AV66370-13 (LT77003-9) #18 POLOLOCK NYLON ROPE ORANGE (9MM)</v>
      </c>
      <c r="I764" s="31" t="str">
        <f>VLOOKUP(D764,'[1]NEW PRICE LIST'!$C$4:$D$1917,2,FALSE)</f>
        <v>3ROLL/SACK</v>
      </c>
      <c r="J764" s="13" t="s">
        <v>3976</v>
      </c>
      <c r="K764" s="32">
        <f>VLOOKUP(D764,'[1]NEW PRICE LIST'!$C$4:$H$1917,3,FALSE)</f>
        <v>1750</v>
      </c>
      <c r="L764" s="13">
        <v>100</v>
      </c>
      <c r="M764" s="13">
        <v>0</v>
      </c>
      <c r="N764" s="13">
        <v>15</v>
      </c>
      <c r="P764" s="13" t="s">
        <v>3963</v>
      </c>
    </row>
    <row r="765" spans="1:16" x14ac:dyDescent="0.25">
      <c r="A765" s="14" t="str">
        <f t="shared" si="30"/>
        <v>AVT0000764</v>
      </c>
      <c r="B765" s="13" t="str">
        <f>VLOOKUP(D765,'SUPPLIER_ITEMS (1st Tools)'!C991:D2718,2,FALSE)</f>
        <v>1ST-358-990</v>
      </c>
      <c r="C765" s="14" t="s">
        <v>147</v>
      </c>
      <c r="D765" s="18" t="s">
        <v>1839</v>
      </c>
      <c r="F765" s="30" t="str">
        <f t="shared" si="31"/>
        <v>AV66370-14 #20 POLONET NYLON ROPE ORANGE (10MM)</v>
      </c>
      <c r="I765" s="31" t="str">
        <f>VLOOKUP(D765,'[1]NEW PRICE LIST'!$C$4:$D$1917,2,FALSE)</f>
        <v>3ROLL/SACK</v>
      </c>
      <c r="J765" s="13" t="s">
        <v>3976</v>
      </c>
      <c r="K765" s="32">
        <f>VLOOKUP(D765,'[1]NEW PRICE LIST'!$C$4:$H$1917,3,FALSE)</f>
        <v>2190</v>
      </c>
      <c r="L765" s="13">
        <v>100</v>
      </c>
      <c r="M765" s="13">
        <v>0</v>
      </c>
      <c r="N765" s="13">
        <v>15</v>
      </c>
      <c r="P765" s="13" t="s">
        <v>3963</v>
      </c>
    </row>
    <row r="766" spans="1:16" x14ac:dyDescent="0.25">
      <c r="A766" s="14" t="str">
        <f t="shared" si="30"/>
        <v>AVT0000765</v>
      </c>
      <c r="B766" s="13" t="str">
        <f>VLOOKUP(D766,'SUPPLIER_ITEMS (1st Tools)'!C992:D2719,2,FALSE)</f>
        <v>1ST-358-991</v>
      </c>
      <c r="C766" s="14" t="s">
        <v>147</v>
      </c>
      <c r="D766" s="18" t="s">
        <v>1841</v>
      </c>
      <c r="F766" s="30" t="str">
        <f t="shared" si="31"/>
        <v>AV66370-15 #22 POLOLOCK NYLON ROPE ORANGE (11MM)</v>
      </c>
      <c r="I766" s="31" t="str">
        <f>VLOOKUP(D766,'[1]NEW PRICE LIST'!$C$4:$D$1917,2,FALSE)</f>
        <v>3ROLL/SACK</v>
      </c>
      <c r="J766" s="13" t="s">
        <v>3976</v>
      </c>
      <c r="K766" s="32">
        <f>VLOOKUP(D766,'[1]NEW PRICE LIST'!$C$4:$H$1917,3,FALSE)</f>
        <v>2635</v>
      </c>
      <c r="L766" s="13">
        <v>100</v>
      </c>
      <c r="M766" s="13">
        <v>0</v>
      </c>
      <c r="N766" s="13">
        <v>15</v>
      </c>
      <c r="P766" s="13" t="s">
        <v>3963</v>
      </c>
    </row>
    <row r="767" spans="1:16" x14ac:dyDescent="0.25">
      <c r="A767" s="14" t="str">
        <f t="shared" si="30"/>
        <v>AVT0000766</v>
      </c>
      <c r="B767" s="13" t="str">
        <f>VLOOKUP(D767,'SUPPLIER_ITEMS (1st Tools)'!C993:D2720,2,FALSE)</f>
        <v>1ST-358-992</v>
      </c>
      <c r="C767" s="14" t="s">
        <v>147</v>
      </c>
      <c r="D767" s="18" t="s">
        <v>1843</v>
      </c>
      <c r="F767" s="30" t="str">
        <f t="shared" si="31"/>
        <v>AV66370-16 #24 POLOLOCK NYLON ROPE ORANGE (12MM)</v>
      </c>
      <c r="I767" s="31" t="str">
        <f>VLOOKUP(D767,'[1]NEW PRICE LIST'!$C$4:$D$1917,2,FALSE)</f>
        <v>3ROLL/SACK</v>
      </c>
      <c r="J767" s="13" t="s">
        <v>3976</v>
      </c>
      <c r="K767" s="32">
        <f>VLOOKUP(D767,'[1]NEW PRICE LIST'!$C$4:$H$1917,3,FALSE)</f>
        <v>3175</v>
      </c>
      <c r="L767" s="13">
        <v>100</v>
      </c>
      <c r="M767" s="13">
        <v>0</v>
      </c>
      <c r="N767" s="13">
        <v>15</v>
      </c>
      <c r="P767" s="13" t="s">
        <v>3963</v>
      </c>
    </row>
    <row r="768" spans="1:16" x14ac:dyDescent="0.25">
      <c r="A768" s="14" t="str">
        <f t="shared" si="30"/>
        <v>AVT0000767</v>
      </c>
      <c r="B768" s="13" t="str">
        <f>VLOOKUP(D768,'SUPPLIER_ITEMS (1st Tools)'!C994:D2721,2,FALSE)</f>
        <v>1ST-358-993</v>
      </c>
      <c r="C768" s="14" t="s">
        <v>147</v>
      </c>
      <c r="D768" s="18" t="s">
        <v>1845</v>
      </c>
      <c r="F768" s="30" t="str">
        <f t="shared" si="31"/>
        <v>AV66370-17 #26 POLOLOCK NYLON ROPE ORANGE (13MM)</v>
      </c>
      <c r="I768" s="31" t="str">
        <f>VLOOKUP(D768,'[1]NEW PRICE LIST'!$C$4:$D$1917,2,FALSE)</f>
        <v>2ROLL/SACK</v>
      </c>
      <c r="J768" s="13" t="s">
        <v>3976</v>
      </c>
      <c r="K768" s="32">
        <f>VLOOKUP(D768,'[1]NEW PRICE LIST'!$C$4:$H$1917,3,FALSE)</f>
        <v>3850</v>
      </c>
      <c r="L768" s="13">
        <v>100</v>
      </c>
      <c r="M768" s="13">
        <v>0</v>
      </c>
      <c r="N768" s="13">
        <v>15</v>
      </c>
      <c r="P768" s="13" t="s">
        <v>3963</v>
      </c>
    </row>
    <row r="769" spans="1:16" x14ac:dyDescent="0.25">
      <c r="A769" s="14" t="str">
        <f t="shared" si="30"/>
        <v>AVT0000768</v>
      </c>
      <c r="B769" s="13" t="str">
        <f>VLOOKUP(D769,'SUPPLIER_ITEMS (1st Tools)'!C995:D2722,2,FALSE)</f>
        <v>1ST-358-994</v>
      </c>
      <c r="C769" s="14" t="s">
        <v>147</v>
      </c>
      <c r="D769" s="18" t="s">
        <v>1847</v>
      </c>
      <c r="F769" s="30" t="str">
        <f t="shared" si="31"/>
        <v>AV66370-18 #28 POLOLOCK NYLON ROPE ORANGE (14MM)</v>
      </c>
      <c r="I769" s="31" t="str">
        <f>VLOOKUP(D769,'[1]NEW PRICE LIST'!$C$4:$D$1917,2,FALSE)</f>
        <v>2ROLL/SACK</v>
      </c>
      <c r="J769" s="13" t="s">
        <v>3976</v>
      </c>
      <c r="K769" s="32">
        <f>VLOOKUP(D769,'[1]NEW PRICE LIST'!$C$4:$H$1917,3,FALSE)</f>
        <v>4350</v>
      </c>
      <c r="L769" s="13">
        <v>100</v>
      </c>
      <c r="M769" s="13">
        <v>0</v>
      </c>
      <c r="N769" s="13">
        <v>15</v>
      </c>
      <c r="P769" s="13" t="s">
        <v>3963</v>
      </c>
    </row>
    <row r="770" spans="1:16" x14ac:dyDescent="0.25">
      <c r="A770" s="14" t="str">
        <f t="shared" si="30"/>
        <v>AVT0000769</v>
      </c>
      <c r="B770" s="13" t="str">
        <f>VLOOKUP(D770,'SUPPLIER_ITEMS (1st Tools)'!C1005:D2732,2,FALSE)</f>
        <v>1ST-358-1004</v>
      </c>
      <c r="C770" s="14" t="s">
        <v>146</v>
      </c>
      <c r="D770" s="18" t="s">
        <v>832</v>
      </c>
      <c r="F770" s="30" t="str">
        <f t="shared" si="31"/>
        <v>AV66370-29 POLONET NYLON ROPE BLUE 3MM*200m</v>
      </c>
      <c r="I770" s="31" t="str">
        <f>VLOOKUP(D770,'[1]NEW PRICE LIST'!$C$4:$D$1917,2,FALSE)</f>
        <v>28ROLL/SACK</v>
      </c>
      <c r="J770" s="13" t="s">
        <v>3976</v>
      </c>
      <c r="K770" s="32">
        <f>VLOOKUP(D770,'[1]NEW PRICE LIST'!$C$4:$H$1917,3,FALSE)</f>
        <v>235</v>
      </c>
      <c r="L770" s="13">
        <v>100</v>
      </c>
      <c r="M770" s="13">
        <v>0</v>
      </c>
      <c r="N770" s="13">
        <v>15</v>
      </c>
      <c r="P770" s="13" t="s">
        <v>3963</v>
      </c>
    </row>
    <row r="771" spans="1:16" x14ac:dyDescent="0.25">
      <c r="A771" s="14" t="str">
        <f t="shared" si="30"/>
        <v>AVT0000770</v>
      </c>
      <c r="B771" s="13" t="str">
        <f>VLOOKUP(D771,'SUPPLIER_ITEMS (1st Tools)'!C1007:D2734,2,FALSE)</f>
        <v>1ST-358-1006</v>
      </c>
      <c r="C771" s="14" t="s">
        <v>146</v>
      </c>
      <c r="D771" s="18" t="s">
        <v>1858</v>
      </c>
      <c r="F771" s="30" t="str">
        <f t="shared" si="31"/>
        <v>AV66370-31 POLONET NYLON ROPE BLUE 4MM*200m</v>
      </c>
      <c r="I771" s="31" t="str">
        <f>VLOOKUP(D771,'[1]NEW PRICE LIST'!$C$4:$D$1917,2,FALSE)</f>
        <v>12ROLL/SACK</v>
      </c>
      <c r="J771" s="13" t="s">
        <v>3976</v>
      </c>
      <c r="K771" s="32">
        <f>VLOOKUP(D771,'[1]NEW PRICE LIST'!$C$4:$H$1917,3,FALSE)</f>
        <v>370</v>
      </c>
      <c r="L771" s="13">
        <v>100</v>
      </c>
      <c r="M771" s="13">
        <v>0</v>
      </c>
      <c r="N771" s="13">
        <v>15</v>
      </c>
      <c r="P771" s="13" t="s">
        <v>3963</v>
      </c>
    </row>
    <row r="772" spans="1:16" x14ac:dyDescent="0.25">
      <c r="A772" s="14" t="str">
        <f t="shared" ref="A772:A835" si="32">"AVT"&amp;TEXT(RIGHT(A771,LEN(A771)-3)+1,"0000000")</f>
        <v>AVT0000771</v>
      </c>
      <c r="B772" s="13" t="str">
        <f>VLOOKUP(D772,'SUPPLIER_ITEMS (1st Tools)'!C1009:D2736,2,FALSE)</f>
        <v>1ST-358-1008</v>
      </c>
      <c r="C772" s="14" t="s">
        <v>146</v>
      </c>
      <c r="D772" s="18" t="s">
        <v>1859</v>
      </c>
      <c r="F772" s="30" t="str">
        <f t="shared" si="31"/>
        <v>AV66370-33 POLONET NYLON ROPE BLUE 5MM*200m</v>
      </c>
      <c r="I772" s="31" t="str">
        <f>VLOOKUP(D772,'[1]NEW PRICE LIST'!$C$4:$D$1917,2,FALSE)</f>
        <v>12ROLL/SACK</v>
      </c>
      <c r="J772" s="13" t="s">
        <v>3976</v>
      </c>
      <c r="K772" s="32">
        <f>VLOOKUP(D772,'[1]NEW PRICE LIST'!$C$4:$H$1917,3,FALSE)</f>
        <v>580</v>
      </c>
      <c r="L772" s="13">
        <v>100</v>
      </c>
      <c r="M772" s="13">
        <v>0</v>
      </c>
      <c r="N772" s="13">
        <v>15</v>
      </c>
      <c r="P772" s="13" t="s">
        <v>3963</v>
      </c>
    </row>
    <row r="773" spans="1:16" x14ac:dyDescent="0.25">
      <c r="A773" s="14" t="str">
        <f t="shared" si="32"/>
        <v>AVT0000772</v>
      </c>
      <c r="B773" s="13" t="str">
        <f>VLOOKUP(D773,'SUPPLIER_ITEMS (1st Tools)'!C1010:D2737,2,FALSE)</f>
        <v>1ST-358-1009</v>
      </c>
      <c r="C773" s="14" t="s">
        <v>146</v>
      </c>
      <c r="D773" s="19" t="s">
        <v>1860</v>
      </c>
      <c r="F773" s="30" t="str">
        <f t="shared" si="31"/>
        <v>AV66370-34 POLONET NYLON ROPE BLUE 6MM*200m</v>
      </c>
      <c r="I773" s="31" t="str">
        <f>VLOOKUP(D773,'[1]NEW PRICE LIST'!$C$4:$D$1917,2,FALSE)</f>
        <v>10ROLL/SACK</v>
      </c>
      <c r="J773" s="13" t="s">
        <v>3976</v>
      </c>
      <c r="K773" s="32">
        <f>VLOOKUP(D773,'[1]NEW PRICE LIST'!$C$4:$H$1917,3,FALSE)</f>
        <v>765</v>
      </c>
      <c r="L773" s="13">
        <v>100</v>
      </c>
      <c r="M773" s="13">
        <v>0</v>
      </c>
      <c r="N773" s="13">
        <v>15</v>
      </c>
      <c r="P773" s="13" t="s">
        <v>3963</v>
      </c>
    </row>
    <row r="774" spans="1:16" x14ac:dyDescent="0.25">
      <c r="A774" s="14" t="str">
        <f t="shared" si="32"/>
        <v>AVT0000773</v>
      </c>
      <c r="B774" s="13" t="str">
        <f>VLOOKUP(D774,'SUPPLIER_ITEMS (1st Tools)'!C1011:D2738,2,FALSE)</f>
        <v>1ST-358-1010</v>
      </c>
      <c r="C774" s="14" t="s">
        <v>146</v>
      </c>
      <c r="D774" s="18" t="s">
        <v>1861</v>
      </c>
      <c r="F774" s="30" t="str">
        <f t="shared" si="31"/>
        <v>AV66370-35 POLONET NYLON ROPE BLUE 7MM*200m</v>
      </c>
      <c r="I774" s="31" t="str">
        <f>VLOOKUP(D774,'[1]NEW PRICE LIST'!$C$4:$D$1917,2,FALSE)</f>
        <v>8ROLL/SACK</v>
      </c>
      <c r="J774" s="13" t="s">
        <v>3976</v>
      </c>
      <c r="K774" s="32">
        <f>VLOOKUP(D774,'[1]NEW PRICE LIST'!$C$4:$H$1917,3,FALSE)</f>
        <v>1150</v>
      </c>
      <c r="L774" s="13">
        <v>100</v>
      </c>
      <c r="M774" s="13">
        <v>0</v>
      </c>
      <c r="N774" s="13">
        <v>15</v>
      </c>
      <c r="P774" s="13" t="s">
        <v>3963</v>
      </c>
    </row>
    <row r="775" spans="1:16" x14ac:dyDescent="0.25">
      <c r="A775" s="14" t="str">
        <f t="shared" si="32"/>
        <v>AVT0000774</v>
      </c>
      <c r="B775" s="13" t="str">
        <f>VLOOKUP(D775,'SUPPLIER_ITEMS (1st Tools)'!C1012:D2739,2,FALSE)</f>
        <v>1ST-358-1011</v>
      </c>
      <c r="C775" s="14" t="s">
        <v>146</v>
      </c>
      <c r="D775" s="18" t="s">
        <v>1862</v>
      </c>
      <c r="F775" s="30" t="str">
        <f t="shared" si="31"/>
        <v>AV66370-36 POLONET NYLON ROPE BLUE 8MM*200m</v>
      </c>
      <c r="I775" s="31" t="str">
        <f>VLOOKUP(D775,'[1]NEW PRICE LIST'!$C$4:$D$1917,2,FALSE)</f>
        <v>4ROLL/SACK</v>
      </c>
      <c r="J775" s="13" t="s">
        <v>3976</v>
      </c>
      <c r="K775" s="32">
        <f>VLOOKUP(D775,'[1]NEW PRICE LIST'!$C$4:$H$1917,3,FALSE)</f>
        <v>1315</v>
      </c>
      <c r="L775" s="13">
        <v>100</v>
      </c>
      <c r="M775" s="13">
        <v>0</v>
      </c>
      <c r="N775" s="13">
        <v>15</v>
      </c>
      <c r="P775" s="13" t="s">
        <v>3963</v>
      </c>
    </row>
    <row r="776" spans="1:16" x14ac:dyDescent="0.25">
      <c r="A776" s="14" t="str">
        <f t="shared" si="32"/>
        <v>AVT0000775</v>
      </c>
      <c r="B776" s="13" t="str">
        <f>VLOOKUP(D776,'SUPPLIER_ITEMS (1st Tools)'!C1013:D2740,2,FALSE)</f>
        <v>1ST-358-1012</v>
      </c>
      <c r="C776" s="14" t="s">
        <v>146</v>
      </c>
      <c r="D776" s="18" t="s">
        <v>1863</v>
      </c>
      <c r="F776" s="30" t="str">
        <f t="shared" si="31"/>
        <v>AV66370-37 POLONET NYLON ROPE BLUE 9MM*200m</v>
      </c>
      <c r="I776" s="31" t="str">
        <f>VLOOKUP(D776,'[1]NEW PRICE LIST'!$C$4:$D$1917,2,FALSE)</f>
        <v>3ROLL/SACK</v>
      </c>
      <c r="J776" s="13" t="s">
        <v>3976</v>
      </c>
      <c r="K776" s="32">
        <f>VLOOKUP(D776,'[1]NEW PRICE LIST'!$C$4:$H$1917,3,FALSE)</f>
        <v>1750</v>
      </c>
      <c r="L776" s="13">
        <v>100</v>
      </c>
      <c r="M776" s="13">
        <v>0</v>
      </c>
      <c r="N776" s="13">
        <v>15</v>
      </c>
      <c r="P776" s="13" t="s">
        <v>3963</v>
      </c>
    </row>
    <row r="777" spans="1:16" x14ac:dyDescent="0.25">
      <c r="A777" s="14" t="str">
        <f t="shared" si="32"/>
        <v>AVT0000776</v>
      </c>
      <c r="B777" s="13" t="str">
        <f>VLOOKUP(D777,'SUPPLIER_ITEMS (1st Tools)'!C1014:D2741,2,FALSE)</f>
        <v>1ST-358-1013</v>
      </c>
      <c r="C777" s="14" t="s">
        <v>146</v>
      </c>
      <c r="D777" s="18" t="s">
        <v>3816</v>
      </c>
      <c r="F777" s="30" t="str">
        <f t="shared" si="31"/>
        <v>AV66370-38 POLONET NYLON ROPE BLUE 10MM*200m</v>
      </c>
      <c r="I777" s="31" t="str">
        <f>VLOOKUP(D777,'[1]NEW PRICE LIST'!$C$4:$D$1917,2,FALSE)</f>
        <v>3ROLL/SACK</v>
      </c>
      <c r="J777" s="13" t="s">
        <v>3976</v>
      </c>
      <c r="K777" s="32">
        <f>VLOOKUP(D777,'[1]NEW PRICE LIST'!$C$4:$H$1917,3,FALSE)</f>
        <v>2190</v>
      </c>
      <c r="L777" s="13">
        <v>100</v>
      </c>
      <c r="M777" s="13">
        <v>0</v>
      </c>
      <c r="N777" s="13">
        <v>15</v>
      </c>
      <c r="P777" s="13" t="s">
        <v>3963</v>
      </c>
    </row>
    <row r="778" spans="1:16" x14ac:dyDescent="0.25">
      <c r="A778" s="14" t="str">
        <f t="shared" si="32"/>
        <v>AVT0000777</v>
      </c>
      <c r="B778" s="13" t="str">
        <f>VLOOKUP(D778,'SUPPLIER_ITEMS (1st Tools)'!C1015:D2742,2,FALSE)</f>
        <v>1ST-358-1014</v>
      </c>
      <c r="C778" s="14" t="s">
        <v>146</v>
      </c>
      <c r="D778" s="19" t="s">
        <v>1864</v>
      </c>
      <c r="F778" s="30" t="str">
        <f t="shared" si="31"/>
        <v>AV66370-39 POLONET NYLON ROPE BLUE 11MM*200m</v>
      </c>
      <c r="I778" s="31" t="str">
        <f>VLOOKUP(D778,'[1]NEW PRICE LIST'!$C$4:$D$1917,2,FALSE)</f>
        <v>3ROLL/SACK</v>
      </c>
      <c r="J778" s="13" t="s">
        <v>3976</v>
      </c>
      <c r="K778" s="32">
        <f>VLOOKUP(D778,'[1]NEW PRICE LIST'!$C$4:$H$1917,3,FALSE)</f>
        <v>2635</v>
      </c>
      <c r="L778" s="13">
        <v>100</v>
      </c>
      <c r="M778" s="13">
        <v>0</v>
      </c>
      <c r="N778" s="13">
        <v>15</v>
      </c>
      <c r="P778" s="13" t="s">
        <v>3963</v>
      </c>
    </row>
    <row r="779" spans="1:16" x14ac:dyDescent="0.25">
      <c r="A779" s="14" t="str">
        <f t="shared" si="32"/>
        <v>AVT0000778</v>
      </c>
      <c r="B779" s="13" t="str">
        <f>VLOOKUP(D779,'SUPPLIER_ITEMS (1st Tools)'!C1016:D2743,2,FALSE)</f>
        <v>1ST-358-1015</v>
      </c>
      <c r="C779" s="14" t="s">
        <v>146</v>
      </c>
      <c r="D779" s="18" t="s">
        <v>1865</v>
      </c>
      <c r="F779" s="30" t="str">
        <f t="shared" si="31"/>
        <v>AV66370-40 POLONET NYLON ROPE BLUE 12MM*200m</v>
      </c>
      <c r="I779" s="31" t="str">
        <f>VLOOKUP(D779,'[1]NEW PRICE LIST'!$C$4:$D$1917,2,FALSE)</f>
        <v>3ROLL/SACK</v>
      </c>
      <c r="J779" s="13" t="s">
        <v>3976</v>
      </c>
      <c r="K779" s="32">
        <f>VLOOKUP(D779,'[1]NEW PRICE LIST'!$C$4:$H$1917,3,FALSE)</f>
        <v>3175</v>
      </c>
      <c r="L779" s="13">
        <v>100</v>
      </c>
      <c r="M779" s="13">
        <v>0</v>
      </c>
      <c r="N779" s="13">
        <v>15</v>
      </c>
      <c r="P779" s="13" t="s">
        <v>3963</v>
      </c>
    </row>
    <row r="780" spans="1:16" x14ac:dyDescent="0.25">
      <c r="A780" s="14" t="str">
        <f t="shared" si="32"/>
        <v>AVT0000779</v>
      </c>
      <c r="B780" s="13" t="str">
        <f>VLOOKUP(D780,'SUPPLIER_ITEMS (1st Tools)'!C1017:D2744,2,FALSE)</f>
        <v>1ST-358-1016</v>
      </c>
      <c r="C780" s="14" t="s">
        <v>146</v>
      </c>
      <c r="D780" s="18" t="s">
        <v>1866</v>
      </c>
      <c r="F780" s="30" t="str">
        <f t="shared" si="31"/>
        <v>AV66370-41 POLONET NYLON ROPE BLUE 13MM*200m</v>
      </c>
      <c r="I780" s="31" t="str">
        <f>VLOOKUP(D780,'[1]NEW PRICE LIST'!$C$4:$D$1917,2,FALSE)</f>
        <v>2ROLL/SACK</v>
      </c>
      <c r="J780" s="13" t="s">
        <v>3976</v>
      </c>
      <c r="K780" s="32">
        <f>VLOOKUP(D780,'[1]NEW PRICE LIST'!$C$4:$H$1917,3,FALSE)</f>
        <v>3850</v>
      </c>
      <c r="L780" s="13">
        <v>100</v>
      </c>
      <c r="M780" s="13">
        <v>0</v>
      </c>
      <c r="N780" s="13">
        <v>15</v>
      </c>
      <c r="P780" s="13" t="s">
        <v>3963</v>
      </c>
    </row>
    <row r="781" spans="1:16" x14ac:dyDescent="0.25">
      <c r="A781" s="14" t="str">
        <f t="shared" si="32"/>
        <v>AVT0000780</v>
      </c>
      <c r="B781" s="13" t="str">
        <f>VLOOKUP(D781,'SUPPLIER_ITEMS (1st Tools)'!C1018:D2745,2,FALSE)</f>
        <v>1ST-358-1017</v>
      </c>
      <c r="C781" s="14" t="s">
        <v>146</v>
      </c>
      <c r="D781" s="19" t="s">
        <v>1867</v>
      </c>
      <c r="F781" s="30" t="str">
        <f t="shared" si="31"/>
        <v>AV66370-42 POLONET NYLON ROPE BLUE 14MM*200m</v>
      </c>
      <c r="I781" s="31" t="str">
        <f>VLOOKUP(D781,'[1]NEW PRICE LIST'!$C$4:$D$1917,2,FALSE)</f>
        <v>2ROLL/SACK</v>
      </c>
      <c r="J781" s="13" t="s">
        <v>3976</v>
      </c>
      <c r="K781" s="32">
        <f>VLOOKUP(D781,'[1]NEW PRICE LIST'!$C$4:$H$1917,3,FALSE)</f>
        <v>4350</v>
      </c>
      <c r="L781" s="13">
        <v>100</v>
      </c>
      <c r="M781" s="13">
        <v>0</v>
      </c>
      <c r="N781" s="13">
        <v>15</v>
      </c>
      <c r="P781" s="13" t="s">
        <v>3963</v>
      </c>
    </row>
    <row r="782" spans="1:16" x14ac:dyDescent="0.25">
      <c r="A782" s="14" t="str">
        <f t="shared" si="32"/>
        <v>AVT0000781</v>
      </c>
      <c r="B782" s="13" t="str">
        <f>VLOOKUP(D782,'SUPPLIER_ITEMS (1st Tools)'!C1020:D2747,2,FALSE)</f>
        <v>1ST-358-1019</v>
      </c>
      <c r="C782" s="14" t="s">
        <v>145</v>
      </c>
      <c r="D782" s="18" t="s">
        <v>3817</v>
      </c>
      <c r="F782" s="30" t="str">
        <f t="shared" si="31"/>
        <v>AV66371-1 (LT77008-1) POLONET NYLON FISHING LINE 2.50MM</v>
      </c>
      <c r="I782" s="31" t="str">
        <f>VLOOKUP(D782,'[1]NEW PRICE LIST'!$C$4:$D$1917,2,FALSE)</f>
        <v>25PACK/SACK</v>
      </c>
      <c r="J782" s="13" t="s">
        <v>3977</v>
      </c>
      <c r="K782" s="32">
        <v>400</v>
      </c>
      <c r="L782" s="13">
        <v>100</v>
      </c>
      <c r="M782" s="13">
        <v>0</v>
      </c>
      <c r="N782" s="13">
        <v>0</v>
      </c>
    </row>
    <row r="783" spans="1:16" x14ac:dyDescent="0.25">
      <c r="A783" s="14" t="str">
        <f t="shared" si="32"/>
        <v>AVT0000782</v>
      </c>
      <c r="B783" s="13" t="str">
        <f>VLOOKUP(D783,'SUPPLIER_ITEMS (1st Tools)'!C1021:D2748,2,FALSE)</f>
        <v>1ST-358-1020</v>
      </c>
      <c r="C783" s="14" t="s">
        <v>145</v>
      </c>
      <c r="D783" s="18" t="s">
        <v>3818</v>
      </c>
      <c r="F783" s="30" t="str">
        <f t="shared" si="31"/>
        <v>AV66371-2 (LT77008-2) POLONET NYLON FISHING LINE 3.00MM</v>
      </c>
      <c r="I783" s="31" t="str">
        <f>VLOOKUP(D783,'[1]NEW PRICE LIST'!$C$4:$D$1917,2,FALSE)</f>
        <v>25PACK/SACK</v>
      </c>
      <c r="J783" s="13" t="s">
        <v>3977</v>
      </c>
      <c r="K783" s="32">
        <v>400</v>
      </c>
      <c r="L783" s="13">
        <v>100</v>
      </c>
      <c r="M783" s="13">
        <v>0</v>
      </c>
      <c r="N783" s="13">
        <v>0</v>
      </c>
    </row>
    <row r="784" spans="1:16" x14ac:dyDescent="0.25">
      <c r="A784" s="14" t="str">
        <f t="shared" si="32"/>
        <v>AVT0000783</v>
      </c>
      <c r="B784" s="13" t="str">
        <f>VLOOKUP(D784,'SUPPLIER_ITEMS (1st Tools)'!C1022:D2749,2,FALSE)</f>
        <v>1ST-358-1021</v>
      </c>
      <c r="C784" s="14" t="s">
        <v>145</v>
      </c>
      <c r="D784" s="18" t="s">
        <v>3819</v>
      </c>
      <c r="F784" s="30" t="str">
        <f t="shared" si="31"/>
        <v>AV66371-3 POLONET NYLON FISHING LINE 3.50MM</v>
      </c>
      <c r="I784" s="31" t="str">
        <f>VLOOKUP(D784,'[1]NEW PRICE LIST'!$C$4:$D$1917,2,FALSE)</f>
        <v>25PACK/SACK</v>
      </c>
      <c r="J784" s="13" t="s">
        <v>3977</v>
      </c>
      <c r="K784" s="32">
        <v>400</v>
      </c>
      <c r="L784" s="13">
        <v>100</v>
      </c>
      <c r="M784" s="13">
        <v>0</v>
      </c>
      <c r="N784" s="13">
        <v>0</v>
      </c>
    </row>
    <row r="785" spans="1:14" x14ac:dyDescent="0.25">
      <c r="A785" s="14" t="str">
        <f t="shared" si="32"/>
        <v>AVT0000784</v>
      </c>
      <c r="B785" s="13" t="str">
        <f>VLOOKUP(D785,'SUPPLIER_ITEMS (1st Tools)'!C1023:D2750,2,FALSE)</f>
        <v>1ST-358-1022</v>
      </c>
      <c r="C785" s="14" t="s">
        <v>145</v>
      </c>
      <c r="D785" s="18" t="s">
        <v>3820</v>
      </c>
      <c r="F785" s="30" t="str">
        <f t="shared" si="31"/>
        <v>AV66371-4 POLONET NYLON FISHING LINE 4.00MM</v>
      </c>
      <c r="I785" s="31" t="str">
        <f>VLOOKUP(D785,'[1]NEW PRICE LIST'!$C$4:$D$1917,2,FALSE)</f>
        <v>25PACK/SACK</v>
      </c>
      <c r="J785" s="13" t="s">
        <v>3977</v>
      </c>
      <c r="K785" s="32">
        <v>400</v>
      </c>
      <c r="L785" s="13">
        <v>100</v>
      </c>
      <c r="M785" s="13">
        <v>0</v>
      </c>
      <c r="N785" s="13">
        <v>0</v>
      </c>
    </row>
    <row r="786" spans="1:14" x14ac:dyDescent="0.25">
      <c r="A786" s="14" t="str">
        <f t="shared" si="32"/>
        <v>AVT0000785</v>
      </c>
      <c r="B786" s="13" t="str">
        <f>VLOOKUP(D786,'SUPPLIER_ITEMS (1st Tools)'!C1024:D2751,2,FALSE)</f>
        <v>1ST-358-1023</v>
      </c>
      <c r="C786" s="14" t="s">
        <v>144</v>
      </c>
      <c r="D786" s="18" t="s">
        <v>3821</v>
      </c>
      <c r="F786" s="30" t="str">
        <f t="shared" si="31"/>
        <v>AV66390 POLONET HAND RIVETER 10.5"</v>
      </c>
      <c r="I786" s="31" t="str">
        <f>VLOOKUP(D786,'[1]NEW PRICE LIST'!$C$4:$D$1917,2,FALSE)</f>
        <v>24PCS/CTN</v>
      </c>
      <c r="J786" s="13" t="s">
        <v>300</v>
      </c>
      <c r="K786" s="32">
        <f>VLOOKUP(D786,'[1]NEW PRICE LIST'!$C$4:$H$1917,3,FALSE)</f>
        <v>280</v>
      </c>
      <c r="L786" s="13">
        <v>100</v>
      </c>
      <c r="M786" s="13">
        <v>0</v>
      </c>
      <c r="N786" s="13">
        <v>0</v>
      </c>
    </row>
    <row r="787" spans="1:14" x14ac:dyDescent="0.25">
      <c r="A787" s="14" t="str">
        <f t="shared" si="32"/>
        <v>AVT0000786</v>
      </c>
      <c r="B787" s="13" t="str">
        <f>VLOOKUP(D787,'SUPPLIER_ITEMS (1st Tools)'!C1026:D2753,2,FALSE)</f>
        <v>1ST-358-1025</v>
      </c>
      <c r="C787" s="14" t="s">
        <v>143</v>
      </c>
      <c r="D787" s="18" t="s">
        <v>3823</v>
      </c>
      <c r="F787" s="30" t="str">
        <f t="shared" si="31"/>
        <v>AV66301-1 POLOLOCK ELECTRODE HOLDER 300AMP</v>
      </c>
      <c r="I787" s="31" t="str">
        <f>VLOOKUP(D787,'[1]NEW PRICE LIST'!$C$4:$D$1917,2,FALSE)</f>
        <v>24PCS/CTN</v>
      </c>
      <c r="J787" s="13" t="s">
        <v>300</v>
      </c>
      <c r="K787" s="32">
        <f>VLOOKUP(D787,'[1]NEW PRICE LIST'!$C$4:$H$1917,3,FALSE)</f>
        <v>295</v>
      </c>
      <c r="L787" s="13">
        <v>100</v>
      </c>
      <c r="M787" s="13">
        <v>0</v>
      </c>
      <c r="N787" s="13">
        <v>0</v>
      </c>
    </row>
    <row r="788" spans="1:14" x14ac:dyDescent="0.25">
      <c r="A788" s="14" t="str">
        <f t="shared" si="32"/>
        <v>AVT0000787</v>
      </c>
      <c r="B788" s="13" t="str">
        <f>VLOOKUP(D788,'SUPPLIER_ITEMS (1st Tools)'!C1027:D2754,2,FALSE)</f>
        <v>1ST-358-1026</v>
      </c>
      <c r="C788" s="14" t="s">
        <v>143</v>
      </c>
      <c r="D788" s="18" t="s">
        <v>1870</v>
      </c>
      <c r="F788" s="30" t="str">
        <f t="shared" ref="F788:F810" si="33">"AV"&amp;RIGHT(D788,LEN(D788)-2)</f>
        <v>AV66301-2 POLOLOCK ELECTRODE HOLDER 500AMP</v>
      </c>
      <c r="I788" s="31" t="str">
        <f>VLOOKUP(D788,'[1]NEW PRICE LIST'!$C$4:$D$1917,2,FALSE)</f>
        <v>24PCS/CTN</v>
      </c>
      <c r="J788" s="13" t="s">
        <v>300</v>
      </c>
      <c r="K788" s="32">
        <f>VLOOKUP(D788,'[1]NEW PRICE LIST'!$C$4:$H$1917,3,FALSE)</f>
        <v>395</v>
      </c>
      <c r="L788" s="13">
        <v>100</v>
      </c>
      <c r="M788" s="13">
        <v>0</v>
      </c>
      <c r="N788" s="13">
        <v>0</v>
      </c>
    </row>
    <row r="789" spans="1:14" ht="26.4" x14ac:dyDescent="0.25">
      <c r="A789" s="14" t="str">
        <f t="shared" si="32"/>
        <v>AVT0000788</v>
      </c>
      <c r="B789" s="13" t="str">
        <f>VLOOKUP(D789,'SUPPLIER_ITEMS (1st Tools)'!C1028:D2755,2,FALSE)</f>
        <v>1ST-358-1027</v>
      </c>
      <c r="C789" s="14" t="s">
        <v>143</v>
      </c>
      <c r="D789" s="18" t="s">
        <v>1872</v>
      </c>
      <c r="F789" s="30" t="str">
        <f t="shared" si="33"/>
        <v>AV66300-1 (LT99001-300A) POLONET ELECTRODE HOLDER 300AMP</v>
      </c>
      <c r="I789" s="31" t="str">
        <f>VLOOKUP(D789,'[1]NEW PRICE LIST'!$C$4:$D$1917,2,FALSE)</f>
        <v>25PCS/CTN</v>
      </c>
      <c r="J789" s="13" t="s">
        <v>300</v>
      </c>
      <c r="K789" s="32">
        <f>VLOOKUP(D789,'[1]NEW PRICE LIST'!$C$4:$H$1917,3,FALSE)</f>
        <v>130</v>
      </c>
      <c r="L789" s="13">
        <v>100</v>
      </c>
      <c r="M789" s="13">
        <v>0</v>
      </c>
      <c r="N789" s="13">
        <v>0</v>
      </c>
    </row>
    <row r="790" spans="1:14" ht="26.4" x14ac:dyDescent="0.25">
      <c r="A790" s="14" t="str">
        <f t="shared" si="32"/>
        <v>AVT0000789</v>
      </c>
      <c r="B790" s="13" t="str">
        <f>VLOOKUP(D790,'SUPPLIER_ITEMS (1st Tools)'!C1029:D2756,2,FALSE)</f>
        <v>1ST-358-1028</v>
      </c>
      <c r="C790" s="14" t="s">
        <v>143</v>
      </c>
      <c r="D790" s="18" t="s">
        <v>1873</v>
      </c>
      <c r="F790" s="30" t="str">
        <f t="shared" si="33"/>
        <v>AV66300-2 (LT99001-500A) POLONET ELECTRODE HOLDER 500AMP</v>
      </c>
      <c r="I790" s="31" t="str">
        <f>VLOOKUP(D790,'[1]NEW PRICE LIST'!$C$4:$D$1917,2,FALSE)</f>
        <v>25PCS/CTN</v>
      </c>
      <c r="J790" s="13" t="s">
        <v>300</v>
      </c>
      <c r="K790" s="32">
        <f>VLOOKUP(D790,'[1]NEW PRICE LIST'!$C$4:$H$1917,3,FALSE)</f>
        <v>150</v>
      </c>
      <c r="L790" s="13">
        <v>100</v>
      </c>
      <c r="M790" s="13">
        <v>0</v>
      </c>
      <c r="N790" s="13">
        <v>0</v>
      </c>
    </row>
    <row r="791" spans="1:14" x14ac:dyDescent="0.25">
      <c r="A791" s="14" t="str">
        <f t="shared" si="32"/>
        <v>AVT0000790</v>
      </c>
      <c r="B791" s="13" t="str">
        <f>VLOOKUP(D791,'SUPPLIER_ITEMS (1st Tools)'!C1030:D2757,2,FALSE)</f>
        <v>1ST-358-1029</v>
      </c>
      <c r="C791" s="14" t="s">
        <v>142</v>
      </c>
      <c r="D791" s="19" t="s">
        <v>1874</v>
      </c>
      <c r="F791" s="30" t="str">
        <f t="shared" si="33"/>
        <v>AV66310-1 POLONET WELDING CABLE 38M</v>
      </c>
      <c r="I791" s="31" t="str">
        <f>VLOOKUP(D791,'[1]NEW PRICE LIST'!$C$4:$D$1917,2,FALSE)</f>
        <v>500M/1ROLL</v>
      </c>
      <c r="J791" s="13" t="s">
        <v>299</v>
      </c>
      <c r="K791" s="32">
        <f>VLOOKUP(D791,'[1]NEW PRICE LIST'!$C$4:$H$1917,3,FALSE)</f>
        <v>11000</v>
      </c>
      <c r="L791" s="13">
        <v>100</v>
      </c>
      <c r="M791" s="13">
        <v>0</v>
      </c>
      <c r="N791" s="13">
        <v>0</v>
      </c>
    </row>
    <row r="792" spans="1:14" x14ac:dyDescent="0.25">
      <c r="A792" s="14" t="str">
        <f t="shared" si="32"/>
        <v>AVT0000791</v>
      </c>
      <c r="B792" s="13" t="str">
        <f>VLOOKUP(D792,'SUPPLIER_ITEMS (1st Tools)'!C1032:D2759,2,FALSE)</f>
        <v>1ST-358-1031</v>
      </c>
      <c r="C792" s="14" t="s">
        <v>141</v>
      </c>
      <c r="D792" s="19" t="s">
        <v>2772</v>
      </c>
      <c r="F792" s="30" t="str">
        <f t="shared" si="33"/>
        <v>AV66320-1 WELDING ELECTRODES 3/32"*12"N.W2.5KGS*</v>
      </c>
      <c r="I792" s="31" t="str">
        <f>VLOOKUP(D792,'[1]NEW PRICE LIST'!$C$4:$D$1917,2,FALSE)</f>
        <v>8BOXES/1CTN</v>
      </c>
      <c r="J792" s="13" t="s">
        <v>3620</v>
      </c>
      <c r="K792" s="32">
        <f>VLOOKUP(D792,'[1]NEW PRICE LIST'!$C$4:$H$1917,3,FALSE)</f>
        <v>1350</v>
      </c>
      <c r="L792" s="13">
        <v>100</v>
      </c>
      <c r="M792" s="13">
        <v>0</v>
      </c>
      <c r="N792" s="13">
        <v>0</v>
      </c>
    </row>
    <row r="793" spans="1:14" x14ac:dyDescent="0.25">
      <c r="A793" s="14" t="str">
        <f t="shared" si="32"/>
        <v>AVT0000792</v>
      </c>
      <c r="B793" s="13" t="str">
        <f>VLOOKUP(D793,'SUPPLIER_ITEMS (1st Tools)'!C1033:D2760,2,FALSE)</f>
        <v>1ST-358-1032</v>
      </c>
      <c r="C793" s="14" t="s">
        <v>141</v>
      </c>
      <c r="D793" s="19" t="s">
        <v>2774</v>
      </c>
      <c r="F793" s="30" t="str">
        <f t="shared" si="33"/>
        <v>AV66320-2 WELDING ELECTRODES 1/8"*14"N.W5KGS*</v>
      </c>
      <c r="I793" s="31" t="str">
        <f>VLOOKUP(D793,'[1]NEW PRICE LIST'!$C$4:$D$1917,2,FALSE)</f>
        <v>4BOXES/1CTN</v>
      </c>
      <c r="J793" s="13" t="s">
        <v>3620</v>
      </c>
      <c r="K793" s="32">
        <f>VLOOKUP(D793,'[1]NEW PRICE LIST'!$C$4:$H$1917,3,FALSE)</f>
        <v>1260</v>
      </c>
      <c r="L793" s="13">
        <v>100</v>
      </c>
      <c r="M793" s="13">
        <v>0</v>
      </c>
      <c r="N793" s="13">
        <v>0</v>
      </c>
    </row>
    <row r="794" spans="1:14" x14ac:dyDescent="0.25">
      <c r="A794" s="14" t="str">
        <f t="shared" si="32"/>
        <v>AVT0000793</v>
      </c>
      <c r="B794" s="13" t="str">
        <f>VLOOKUP(D794,'SUPPLIER_ITEMS (1st Tools)'!C1044:D2771,2,FALSE)</f>
        <v>1ST-358-1043</v>
      </c>
      <c r="C794" s="14" t="s">
        <v>6</v>
      </c>
      <c r="D794" s="18" t="s">
        <v>1893</v>
      </c>
      <c r="F794" s="30" t="str">
        <f t="shared" si="33"/>
        <v>AV88260-1 B/P CUP HOOK 1/2''</v>
      </c>
      <c r="I794" s="31" t="str">
        <f>VLOOKUP(D794,'[1]NEW PRICE LIST'!$C$4:$D$1917,2,FALSE)</f>
        <v>100GRS/CTN</v>
      </c>
      <c r="J794" s="13" t="s">
        <v>3978</v>
      </c>
      <c r="K794" s="32">
        <f>VLOOKUP(D794,'[1]NEW PRICE LIST'!$C$4:$H$1917,3,FALSE)</f>
        <v>85</v>
      </c>
      <c r="L794" s="13">
        <v>100</v>
      </c>
      <c r="M794" s="13">
        <v>0</v>
      </c>
      <c r="N794" s="13">
        <v>0</v>
      </c>
    </row>
    <row r="795" spans="1:14" x14ac:dyDescent="0.25">
      <c r="A795" s="14" t="str">
        <f t="shared" si="32"/>
        <v>AVT0000794</v>
      </c>
      <c r="B795" s="13" t="str">
        <f>VLOOKUP(D795,'SUPPLIER_ITEMS (1st Tools)'!C1045:D2772,2,FALSE)</f>
        <v>1ST-358-1044</v>
      </c>
      <c r="C795" s="14" t="s">
        <v>6</v>
      </c>
      <c r="D795" s="18" t="s">
        <v>1895</v>
      </c>
      <c r="F795" s="30" t="str">
        <f t="shared" si="33"/>
        <v>AV88260-2 B/P CUP HOOK 5/8 ''</v>
      </c>
      <c r="I795" s="31" t="str">
        <f>VLOOKUP(D795,'[1]NEW PRICE LIST'!$C$4:$D$1917,2,FALSE)</f>
        <v>100GRS/CTN</v>
      </c>
      <c r="J795" s="13" t="s">
        <v>3978</v>
      </c>
      <c r="K795" s="32">
        <f>VLOOKUP(D795,'[1]NEW PRICE LIST'!$C$4:$H$1917,3,FALSE)</f>
        <v>95</v>
      </c>
      <c r="L795" s="13">
        <v>100</v>
      </c>
      <c r="M795" s="13">
        <v>0</v>
      </c>
      <c r="N795" s="13">
        <v>0</v>
      </c>
    </row>
    <row r="796" spans="1:14" x14ac:dyDescent="0.25">
      <c r="A796" s="14" t="str">
        <f t="shared" si="32"/>
        <v>AVT0000795</v>
      </c>
      <c r="B796" s="13" t="str">
        <f>VLOOKUP(D796,'SUPPLIER_ITEMS (1st Tools)'!C1046:D2773,2,FALSE)</f>
        <v>1ST-358-1045</v>
      </c>
      <c r="C796" s="14" t="s">
        <v>6</v>
      </c>
      <c r="D796" s="18" t="s">
        <v>1897</v>
      </c>
      <c r="F796" s="30" t="str">
        <f t="shared" si="33"/>
        <v>AV88260-3 B/P CUP HOOK 3/4''</v>
      </c>
      <c r="I796" s="31" t="str">
        <f>VLOOKUP(D796,'[1]NEW PRICE LIST'!$C$4:$D$1917,2,FALSE)</f>
        <v>50GRS/CTN</v>
      </c>
      <c r="J796" s="13" t="s">
        <v>3978</v>
      </c>
      <c r="K796" s="32">
        <f>VLOOKUP(D796,'[1]NEW PRICE LIST'!$C$4:$H$1917,3,FALSE)</f>
        <v>110</v>
      </c>
      <c r="L796" s="13">
        <v>100</v>
      </c>
      <c r="M796" s="13">
        <v>0</v>
      </c>
      <c r="N796" s="13">
        <v>0</v>
      </c>
    </row>
    <row r="797" spans="1:14" x14ac:dyDescent="0.25">
      <c r="A797" s="14" t="str">
        <f t="shared" si="32"/>
        <v>AVT0000796</v>
      </c>
      <c r="B797" s="13" t="str">
        <f>VLOOKUP(D797,'SUPPLIER_ITEMS (1st Tools)'!C1047:D2774,2,FALSE)</f>
        <v>1ST-358-1046</v>
      </c>
      <c r="C797" s="14" t="s">
        <v>6</v>
      </c>
      <c r="D797" s="18" t="s">
        <v>1899</v>
      </c>
      <c r="F797" s="30" t="str">
        <f t="shared" si="33"/>
        <v>AV88260-4 B/P CUP HOOK 7/8''</v>
      </c>
      <c r="I797" s="31" t="str">
        <f>VLOOKUP(D797,'[1]NEW PRICE LIST'!$C$4:$D$1917,2,FALSE)</f>
        <v>50GRS/CTN</v>
      </c>
      <c r="J797" s="13" t="s">
        <v>3978</v>
      </c>
      <c r="K797" s="32">
        <f>VLOOKUP(D797,'[1]NEW PRICE LIST'!$C$4:$H$1917,3,FALSE)</f>
        <v>130</v>
      </c>
      <c r="L797" s="13">
        <v>100</v>
      </c>
      <c r="M797" s="13">
        <v>0</v>
      </c>
      <c r="N797" s="13">
        <v>0</v>
      </c>
    </row>
    <row r="798" spans="1:14" x14ac:dyDescent="0.25">
      <c r="A798" s="14" t="str">
        <f t="shared" si="32"/>
        <v>AVT0000797</v>
      </c>
      <c r="B798" s="13" t="str">
        <f>VLOOKUP(D798,'SUPPLIER_ITEMS (1st Tools)'!C1048:D2775,2,FALSE)</f>
        <v>1ST-358-1047</v>
      </c>
      <c r="C798" s="14" t="s">
        <v>6</v>
      </c>
      <c r="D798" s="18" t="s">
        <v>1901</v>
      </c>
      <c r="F798" s="30" t="str">
        <f t="shared" si="33"/>
        <v>AV88260-5 B/P CUP HOOK 1''</v>
      </c>
      <c r="I798" s="31" t="str">
        <f>VLOOKUP(D798,'[1]NEW PRICE LIST'!$C$4:$D$1917,2,FALSE)</f>
        <v>45GRS/CTN</v>
      </c>
      <c r="J798" s="13" t="s">
        <v>3978</v>
      </c>
      <c r="K798" s="32">
        <f>VLOOKUP(D798,'[1]NEW PRICE LIST'!$C$4:$H$1917,3,FALSE)</f>
        <v>150</v>
      </c>
      <c r="L798" s="13">
        <v>100</v>
      </c>
      <c r="M798" s="13">
        <v>0</v>
      </c>
      <c r="N798" s="13">
        <v>0</v>
      </c>
    </row>
    <row r="799" spans="1:14" x14ac:dyDescent="0.25">
      <c r="A799" s="14" t="str">
        <f t="shared" si="32"/>
        <v>AVT0000798</v>
      </c>
      <c r="B799" s="13" t="str">
        <f>VLOOKUP(D799,'SUPPLIER_ITEMS (1st Tools)'!C1049:D2776,2,FALSE)</f>
        <v>1ST-358-1048</v>
      </c>
      <c r="C799" s="14" t="s">
        <v>6</v>
      </c>
      <c r="D799" s="18" t="s">
        <v>3827</v>
      </c>
      <c r="F799" s="30" t="str">
        <f t="shared" si="33"/>
        <v>AV88260-6 B/P CUP HOOK 1-1/4 ''</v>
      </c>
      <c r="I799" s="31" t="str">
        <f>VLOOKUP(D799,'[1]NEW PRICE LIST'!$C$4:$D$1917,2,FALSE)</f>
        <v>32GRS/CTN</v>
      </c>
      <c r="J799" s="13" t="s">
        <v>3978</v>
      </c>
      <c r="K799" s="32">
        <f>VLOOKUP(D799,'[1]NEW PRICE LIST'!$C$4:$H$1917,3,FALSE)</f>
        <v>190</v>
      </c>
      <c r="L799" s="13">
        <v>100</v>
      </c>
      <c r="M799" s="13">
        <v>0</v>
      </c>
      <c r="N799" s="13">
        <v>0</v>
      </c>
    </row>
    <row r="800" spans="1:14" x14ac:dyDescent="0.25">
      <c r="A800" s="14" t="str">
        <f t="shared" si="32"/>
        <v>AVT0000799</v>
      </c>
      <c r="B800" s="13" t="str">
        <f>VLOOKUP(D800,'SUPPLIER_ITEMS (1st Tools)'!C1050:D2777,2,FALSE)</f>
        <v>1ST-358-1049</v>
      </c>
      <c r="C800" s="14" t="s">
        <v>6</v>
      </c>
      <c r="D800" s="18" t="s">
        <v>1904</v>
      </c>
      <c r="F800" s="30" t="str">
        <f t="shared" si="33"/>
        <v>AV88260-7 B/P CUP HOOK 1-1/2''</v>
      </c>
      <c r="I800" s="31" t="str">
        <f>VLOOKUP(D800,'[1]NEW PRICE LIST'!$C$4:$D$1917,2,FALSE)</f>
        <v>18GRS/CTN</v>
      </c>
      <c r="J800" s="13" t="s">
        <v>3978</v>
      </c>
      <c r="K800" s="32">
        <f>VLOOKUP(D800,'[1]NEW PRICE LIST'!$C$4:$H$1917,3,FALSE)</f>
        <v>250</v>
      </c>
      <c r="L800" s="13">
        <v>100</v>
      </c>
      <c r="M800" s="13">
        <v>0</v>
      </c>
      <c r="N800" s="13">
        <v>0</v>
      </c>
    </row>
    <row r="801" spans="1:14" x14ac:dyDescent="0.25">
      <c r="A801" s="14" t="str">
        <f t="shared" si="32"/>
        <v>AVT0000800</v>
      </c>
      <c r="B801" s="13" t="str">
        <f>VLOOKUP(D801,'SUPPLIER_ITEMS (1st Tools)'!C1051:D2778,2,FALSE)</f>
        <v>1ST-358-1050</v>
      </c>
      <c r="C801" s="14" t="s">
        <v>6</v>
      </c>
      <c r="D801" s="18" t="s">
        <v>1906</v>
      </c>
      <c r="F801" s="30" t="str">
        <f t="shared" si="33"/>
        <v>AV88260-8 B/P CUP HOOK 2''</v>
      </c>
      <c r="I801" s="31" t="str">
        <f>VLOOKUP(D801,'[1]NEW PRICE LIST'!$C$4:$D$1917,2,FALSE)</f>
        <v>12GRS/CTN</v>
      </c>
      <c r="J801" s="13" t="s">
        <v>3978</v>
      </c>
      <c r="K801" s="32">
        <f>VLOOKUP(D801,'[1]NEW PRICE LIST'!$C$4:$H$1917,3,FALSE)</f>
        <v>390</v>
      </c>
      <c r="L801" s="13">
        <v>100</v>
      </c>
      <c r="M801" s="13">
        <v>0</v>
      </c>
      <c r="N801" s="13">
        <v>0</v>
      </c>
    </row>
    <row r="802" spans="1:14" ht="26.4" x14ac:dyDescent="0.25">
      <c r="A802" s="14" t="str">
        <f t="shared" si="32"/>
        <v>AVT0000801</v>
      </c>
      <c r="B802" s="13" t="str">
        <f>VLOOKUP(D802,'SUPPLIER_ITEMS (1st Tools)'!C1052:D2779,2,FALSE)</f>
        <v>1ST-358-1051</v>
      </c>
      <c r="C802" s="14" t="s">
        <v>7</v>
      </c>
      <c r="D802" s="14" t="s">
        <v>3828</v>
      </c>
      <c r="F802" s="30" t="str">
        <f t="shared" si="33"/>
        <v>AV88250 (PL88042) POLOLOCK STAINLESS MAGNETIC DOOR STOPPER</v>
      </c>
      <c r="I802" s="31" t="str">
        <f>VLOOKUP(D802,'[1]NEW PRICE LIST'!$C$4:$D$1917,2,FALSE)</f>
        <v>72PCS/CTN</v>
      </c>
      <c r="J802" s="13" t="s">
        <v>300</v>
      </c>
      <c r="K802" s="32">
        <f>VLOOKUP(D802,'[1]NEW PRICE LIST'!$C$4:$H$1917,3,FALSE)</f>
        <v>190</v>
      </c>
      <c r="L802" s="13">
        <v>100</v>
      </c>
      <c r="M802" s="13">
        <v>0</v>
      </c>
      <c r="N802" s="13">
        <v>0</v>
      </c>
    </row>
    <row r="803" spans="1:14" x14ac:dyDescent="0.25">
      <c r="A803" s="14" t="str">
        <f t="shared" si="32"/>
        <v>AVT0000802</v>
      </c>
      <c r="B803" s="13" t="str">
        <f>VLOOKUP(D803,'SUPPLIER_ITEMS (1st Tools)'!C1053:D2780,2,FALSE)</f>
        <v>1ST-358-1052</v>
      </c>
      <c r="C803" s="14" t="s">
        <v>8</v>
      </c>
      <c r="D803" s="18" t="s">
        <v>1908</v>
      </c>
      <c r="F803" s="30" t="str">
        <f t="shared" si="33"/>
        <v>AV88240 (PL88010) (808 TYPE) POLOLOCK DRAWER LOCK</v>
      </c>
      <c r="I803" s="31" t="str">
        <f>VLOOKUP(D803,'[1]NEW PRICE LIST'!$C$4:$D$1917,2,FALSE)</f>
        <v>300PCS/CTN</v>
      </c>
      <c r="J803" s="13" t="s">
        <v>300</v>
      </c>
      <c r="K803" s="32">
        <f>VLOOKUP(D803,'[1]NEW PRICE LIST'!$C$4:$H$1917,3,FALSE)</f>
        <v>69</v>
      </c>
      <c r="L803" s="13">
        <v>100</v>
      </c>
      <c r="M803" s="13">
        <v>0</v>
      </c>
      <c r="N803" s="13">
        <v>0</v>
      </c>
    </row>
    <row r="804" spans="1:14" x14ac:dyDescent="0.25">
      <c r="A804" s="14" t="str">
        <f t="shared" si="32"/>
        <v>AVT0000803</v>
      </c>
      <c r="B804" s="13" t="str">
        <f>VLOOKUP(D804,'SUPPLIER_ITEMS (1st Tools)'!C1054:D2781,2,FALSE)</f>
        <v>1ST-358-1053</v>
      </c>
      <c r="C804" s="14" t="s">
        <v>8</v>
      </c>
      <c r="D804" s="18" t="s">
        <v>1909</v>
      </c>
      <c r="F804" s="30" t="str">
        <f t="shared" si="33"/>
        <v>AV880241 (PL88011) (GOLD) POLOLOCK DRAWER LOCK</v>
      </c>
      <c r="I804" s="31" t="str">
        <f>VLOOKUP(D804,'[1]NEW PRICE LIST'!$C$4:$D$1917,2,FALSE)</f>
        <v>240PCS/CTN</v>
      </c>
      <c r="J804" s="13" t="s">
        <v>300</v>
      </c>
      <c r="K804" s="32">
        <f>VLOOKUP(D804,'[1]NEW PRICE LIST'!$C$4:$H$1917,3,FALSE)</f>
        <v>120</v>
      </c>
      <c r="L804" s="13">
        <v>100</v>
      </c>
      <c r="M804" s="13">
        <v>0</v>
      </c>
      <c r="N804" s="13">
        <v>0</v>
      </c>
    </row>
    <row r="805" spans="1:14" x14ac:dyDescent="0.25">
      <c r="A805" s="14" t="str">
        <f t="shared" si="32"/>
        <v>AVT0000804</v>
      </c>
      <c r="B805" s="13" t="str">
        <f>VLOOKUP(D805,'SUPPLIER_ITEMS (1st Tools)'!C1085:D2812,2,FALSE)</f>
        <v>1ST-358-1084</v>
      </c>
      <c r="C805" s="14" t="s">
        <v>9</v>
      </c>
      <c r="D805" s="18" t="s">
        <v>1941</v>
      </c>
      <c r="F805" s="30" t="str">
        <f t="shared" si="33"/>
        <v>AV88232-1 (LT88006-4) SOLID DOOR PULL W/SCREW 4"</v>
      </c>
      <c r="I805" s="31" t="str">
        <f>VLOOKUP(D805,'[1]NEW PRICE LIST'!$C$4:$D$1917,2,FALSE)</f>
        <v>60DOZ/CTN</v>
      </c>
      <c r="J805" s="13" t="s">
        <v>300</v>
      </c>
      <c r="K805" s="32">
        <f>VLOOKUP(D805,'[1]NEW PRICE LIST'!$C$4:$H$1917,3,FALSE)</f>
        <v>130</v>
      </c>
      <c r="L805" s="13">
        <v>100</v>
      </c>
      <c r="M805" s="13">
        <v>0</v>
      </c>
      <c r="N805" s="13">
        <v>0</v>
      </c>
    </row>
    <row r="806" spans="1:14" x14ac:dyDescent="0.25">
      <c r="A806" s="14" t="str">
        <f t="shared" si="32"/>
        <v>AVT0000805</v>
      </c>
      <c r="B806" s="13" t="str">
        <f>VLOOKUP(D806,'SUPPLIER_ITEMS (1st Tools)'!C1086:D2813,2,FALSE)</f>
        <v>1ST-358-1085</v>
      </c>
      <c r="C806" s="14" t="s">
        <v>9</v>
      </c>
      <c r="D806" s="18" t="s">
        <v>1943</v>
      </c>
      <c r="F806" s="30" t="str">
        <f t="shared" si="33"/>
        <v>AV88232-2 (LT88006-5) SOLID DOOR PULL W/SCREW 5"</v>
      </c>
      <c r="I806" s="31" t="str">
        <f>VLOOKUP(D806,'[1]NEW PRICE LIST'!$C$4:$D$1917,2,FALSE)</f>
        <v>40DOZ/CTN</v>
      </c>
      <c r="J806" s="13" t="s">
        <v>300</v>
      </c>
      <c r="K806" s="32">
        <f>VLOOKUP(D806,'[1]NEW PRICE LIST'!$C$4:$H$1917,3,FALSE)</f>
        <v>230</v>
      </c>
      <c r="L806" s="13">
        <v>100</v>
      </c>
      <c r="M806" s="13">
        <v>0</v>
      </c>
      <c r="N806" s="13">
        <v>0</v>
      </c>
    </row>
    <row r="807" spans="1:14" x14ac:dyDescent="0.25">
      <c r="A807" s="14" t="str">
        <f t="shared" si="32"/>
        <v>AVT0000806</v>
      </c>
      <c r="B807" s="13" t="str">
        <f>VLOOKUP(D807,'SUPPLIER_ITEMS (1st Tools)'!C1087:D2814,2,FALSE)</f>
        <v>1ST-358-1086</v>
      </c>
      <c r="C807" s="14" t="s">
        <v>9</v>
      </c>
      <c r="D807" s="18" t="s">
        <v>1945</v>
      </c>
      <c r="F807" s="30" t="str">
        <f t="shared" si="33"/>
        <v>AV88232-3 (LT88006-6) SOLID DOOR PULL W/SCREW 6"</v>
      </c>
      <c r="I807" s="31" t="str">
        <f>VLOOKUP(D807,'[1]NEW PRICE LIST'!$C$4:$D$1917,2,FALSE)</f>
        <v>40DOZ/CTN</v>
      </c>
      <c r="J807" s="13" t="s">
        <v>300</v>
      </c>
      <c r="K807" s="32">
        <f>VLOOKUP(D807,'[1]NEW PRICE LIST'!$C$4:$H$1917,3,FALSE)</f>
        <v>250</v>
      </c>
      <c r="L807" s="13">
        <v>100</v>
      </c>
      <c r="M807" s="13">
        <v>0</v>
      </c>
      <c r="N807" s="13">
        <v>0</v>
      </c>
    </row>
    <row r="808" spans="1:14" x14ac:dyDescent="0.25">
      <c r="A808" s="14" t="str">
        <f t="shared" si="32"/>
        <v>AVT0000807</v>
      </c>
      <c r="B808" s="13" t="str">
        <f>VLOOKUP(D808,'SUPPLIER_ITEMS (1st Tools)'!C1088:D2815,2,FALSE)</f>
        <v>1ST-358-1087</v>
      </c>
      <c r="C808" s="14" t="s">
        <v>10</v>
      </c>
      <c r="D808" s="18" t="s">
        <v>1947</v>
      </c>
      <c r="F808" s="30" t="str">
        <f t="shared" si="33"/>
        <v>AV88231-1 T-TYPE STAINLESS HANDLE LIGHT DUTY 4"</v>
      </c>
      <c r="I808" s="31" t="str">
        <f>VLOOKUP(D808,'[1]NEW PRICE LIST'!$C$4:$D$1917,2,FALSE)</f>
        <v>400PCS/CTN</v>
      </c>
      <c r="J808" s="13" t="s">
        <v>300</v>
      </c>
      <c r="K808" s="32">
        <f>VLOOKUP(D808,'[1]NEW PRICE LIST'!$C$4:$H$1917,3,FALSE)</f>
        <v>20</v>
      </c>
      <c r="L808" s="13">
        <v>100</v>
      </c>
      <c r="M808" s="13">
        <v>0</v>
      </c>
      <c r="N808" s="13">
        <v>0</v>
      </c>
    </row>
    <row r="809" spans="1:14" x14ac:dyDescent="0.25">
      <c r="A809" s="14" t="str">
        <f t="shared" si="32"/>
        <v>AVT0000808</v>
      </c>
      <c r="B809" s="13" t="str">
        <f>VLOOKUP(D809,'SUPPLIER_ITEMS (1st Tools)'!C1089:D2816,2,FALSE)</f>
        <v>1ST-358-1088</v>
      </c>
      <c r="C809" s="14" t="s">
        <v>10</v>
      </c>
      <c r="D809" s="18" t="s">
        <v>1949</v>
      </c>
      <c r="F809" s="30" t="str">
        <f t="shared" si="33"/>
        <v>AV88231-2 T-TYPE STAINLESS HANDLE LIGHT DUTY 6"</v>
      </c>
      <c r="I809" s="31" t="str">
        <f>VLOOKUP(D809,'[1]NEW PRICE LIST'!$C$4:$D$1917,2,FALSE)</f>
        <v>400PCS/CTN</v>
      </c>
      <c r="J809" s="13" t="s">
        <v>300</v>
      </c>
      <c r="K809" s="32">
        <f>VLOOKUP(D809,'[1]NEW PRICE LIST'!$C$4:$H$1917,3,FALSE)</f>
        <v>22</v>
      </c>
      <c r="L809" s="13">
        <v>100</v>
      </c>
      <c r="M809" s="13">
        <v>0</v>
      </c>
      <c r="N809" s="13">
        <v>0</v>
      </c>
    </row>
    <row r="810" spans="1:14" x14ac:dyDescent="0.25">
      <c r="A810" s="14" t="str">
        <f t="shared" si="32"/>
        <v>AVT0000809</v>
      </c>
      <c r="B810" s="13" t="str">
        <f>VLOOKUP(D810,'SUPPLIER_ITEMS (1st Tools)'!C1090:D2817,2,FALSE)</f>
        <v>1ST-358-1089</v>
      </c>
      <c r="C810" s="14" t="s">
        <v>10</v>
      </c>
      <c r="D810" s="18" t="s">
        <v>1950</v>
      </c>
      <c r="F810" s="30" t="str">
        <f t="shared" si="33"/>
        <v>AV88231-3 T-TYPE STAINLESS HANDLE LIGHT DUTY 8"</v>
      </c>
      <c r="I810" s="31" t="str">
        <f>VLOOKUP(D810,'[1]NEW PRICE LIST'!$C$4:$D$1917,2,FALSE)</f>
        <v>400PCS/CTN</v>
      </c>
      <c r="J810" s="13" t="s">
        <v>300</v>
      </c>
      <c r="K810" s="32">
        <f>VLOOKUP(D810,'[1]NEW PRICE LIST'!$C$4:$H$1917,3,FALSE)</f>
        <v>25</v>
      </c>
      <c r="L810" s="13">
        <v>100</v>
      </c>
      <c r="M810" s="13">
        <v>0</v>
      </c>
      <c r="N810" s="13">
        <v>0</v>
      </c>
    </row>
    <row r="811" spans="1:14" x14ac:dyDescent="0.25">
      <c r="A811" s="14" t="str">
        <f t="shared" si="32"/>
        <v>AVT0000810</v>
      </c>
      <c r="B811" s="13" t="str">
        <f>VLOOKUP(D811,'SUPPLIER_ITEMS (1st Tools)'!C1093:D2820,2,FALSE)</f>
        <v>1ST-358-1092</v>
      </c>
      <c r="C811" s="14" t="s">
        <v>11</v>
      </c>
      <c r="D811" s="18" t="s">
        <v>1953</v>
      </c>
      <c r="F811" s="30" t="str">
        <f t="shared" ref="F811:F827" si="34">"AV"&amp;RIGHT(D811,LEN(D811)-2)</f>
        <v>AV88230-1 T-TYPE STAINLESS HANDLE HEAVY DUTY 4"</v>
      </c>
      <c r="I811" s="31" t="str">
        <f>VLOOKUP(D811,'[1]NEW PRICE LIST'!$C$4:$D$1917,2,FALSE)</f>
        <v>200PCS/CTN</v>
      </c>
      <c r="J811" s="13" t="s">
        <v>300</v>
      </c>
      <c r="K811" s="32">
        <f>VLOOKUP(D811,'[1]NEW PRICE LIST'!$C$4:$H$1917,3,FALSE)</f>
        <v>45</v>
      </c>
      <c r="L811" s="13">
        <v>100</v>
      </c>
      <c r="M811" s="13">
        <v>0</v>
      </c>
      <c r="N811" s="13">
        <v>0</v>
      </c>
    </row>
    <row r="812" spans="1:14" x14ac:dyDescent="0.25">
      <c r="A812" s="14" t="str">
        <f t="shared" si="32"/>
        <v>AVT0000811</v>
      </c>
      <c r="B812" s="13" t="str">
        <f>VLOOKUP(D812,'SUPPLIER_ITEMS (1st Tools)'!C1094:D2821,2,FALSE)</f>
        <v>1ST-358-1093</v>
      </c>
      <c r="C812" s="14" t="s">
        <v>11</v>
      </c>
      <c r="D812" s="18" t="s">
        <v>1954</v>
      </c>
      <c r="F812" s="30" t="str">
        <f t="shared" si="34"/>
        <v>AV88230-2 T-TYPE STAINLESS HANDLE HEAVY DUTY 6"</v>
      </c>
      <c r="I812" s="31" t="str">
        <f>VLOOKUP(D812,'[1]NEW PRICE LIST'!$C$4:$D$1917,2,FALSE)</f>
        <v>100PCS/CTN</v>
      </c>
      <c r="J812" s="13" t="s">
        <v>300</v>
      </c>
      <c r="K812" s="32">
        <f>VLOOKUP(D812,'[1]NEW PRICE LIST'!$C$4:$H$1917,3,FALSE)</f>
        <v>55</v>
      </c>
      <c r="L812" s="13">
        <v>100</v>
      </c>
      <c r="M812" s="13">
        <v>0</v>
      </c>
      <c r="N812" s="13">
        <v>0</v>
      </c>
    </row>
    <row r="813" spans="1:14" x14ac:dyDescent="0.25">
      <c r="A813" s="14" t="str">
        <f t="shared" si="32"/>
        <v>AVT0000812</v>
      </c>
      <c r="B813" s="13" t="str">
        <f>VLOOKUP(D813,'SUPPLIER_ITEMS (1st Tools)'!C1095:D2822,2,FALSE)</f>
        <v>1ST-358-1094</v>
      </c>
      <c r="C813" s="14" t="s">
        <v>11</v>
      </c>
      <c r="D813" s="18" t="s">
        <v>1955</v>
      </c>
      <c r="F813" s="30" t="str">
        <f t="shared" si="34"/>
        <v>AV88230-3 T-TYPE STAINLESS HANDLE HEAVY DUTY 8"</v>
      </c>
      <c r="I813" s="31" t="str">
        <f>VLOOKUP(D813,'[1]NEW PRICE LIST'!$C$4:$D$1917,2,FALSE)</f>
        <v>100PCS/CTN</v>
      </c>
      <c r="J813" s="13" t="s">
        <v>300</v>
      </c>
      <c r="K813" s="32">
        <f>VLOOKUP(D813,'[1]NEW PRICE LIST'!$C$4:$H$1917,3,FALSE)</f>
        <v>65</v>
      </c>
      <c r="L813" s="13">
        <v>100</v>
      </c>
      <c r="M813" s="13">
        <v>0</v>
      </c>
      <c r="N813" s="13">
        <v>0</v>
      </c>
    </row>
    <row r="814" spans="1:14" x14ac:dyDescent="0.25">
      <c r="A814" s="14" t="str">
        <f t="shared" si="32"/>
        <v>AVT0000813</v>
      </c>
      <c r="B814" s="13" t="str">
        <f>VLOOKUP(D814,'SUPPLIER_ITEMS (1st Tools)'!C1096:D2823,2,FALSE)</f>
        <v>1ST-358-1095</v>
      </c>
      <c r="C814" s="14" t="s">
        <v>11</v>
      </c>
      <c r="D814" s="18" t="s">
        <v>1956</v>
      </c>
      <c r="F814" s="30" t="str">
        <f t="shared" si="34"/>
        <v>AV88230-4 T-TYPE STAINLESS HANDLE HEAVY DUTY 10"</v>
      </c>
      <c r="I814" s="31" t="str">
        <f>VLOOKUP(D814,'[1]NEW PRICE LIST'!$C$4:$D$1917,2,FALSE)</f>
        <v>100PCS/CTN</v>
      </c>
      <c r="J814" s="13" t="s">
        <v>300</v>
      </c>
      <c r="K814" s="32">
        <f>VLOOKUP(D814,'[1]NEW PRICE LIST'!$C$4:$H$1917,3,FALSE)</f>
        <v>90</v>
      </c>
      <c r="L814" s="13">
        <v>100</v>
      </c>
      <c r="M814" s="13">
        <v>0</v>
      </c>
      <c r="N814" s="13">
        <v>0</v>
      </c>
    </row>
    <row r="815" spans="1:14" x14ac:dyDescent="0.25">
      <c r="A815" s="14" t="str">
        <f t="shared" si="32"/>
        <v>AVT0000814</v>
      </c>
      <c r="B815" s="13" t="str">
        <f>VLOOKUP(D815,'SUPPLIER_ITEMS (1st Tools)'!C1097:D2824,2,FALSE)</f>
        <v>1ST-358-1096</v>
      </c>
      <c r="C815" s="14" t="s">
        <v>11</v>
      </c>
      <c r="D815" s="18" t="s">
        <v>1957</v>
      </c>
      <c r="F815" s="30" t="str">
        <f t="shared" si="34"/>
        <v>AV88230-5 T-TYPE STAINLESS HANDLE HEAVY DUTY 12"</v>
      </c>
      <c r="I815" s="31" t="str">
        <f>VLOOKUP(D815,'[1]NEW PRICE LIST'!$C$4:$D$1917,2,FALSE)</f>
        <v>50PCS/CTN</v>
      </c>
      <c r="J815" s="13" t="s">
        <v>300</v>
      </c>
      <c r="K815" s="32">
        <f>VLOOKUP(D815,'[1]NEW PRICE LIST'!$C$4:$H$1917,3,FALSE)</f>
        <v>120</v>
      </c>
      <c r="L815" s="13">
        <v>100</v>
      </c>
      <c r="M815" s="13">
        <v>0</v>
      </c>
      <c r="N815" s="13">
        <v>0</v>
      </c>
    </row>
    <row r="816" spans="1:14" x14ac:dyDescent="0.25">
      <c r="A816" s="14" t="str">
        <f t="shared" si="32"/>
        <v>AVT0000815</v>
      </c>
      <c r="B816" s="13" t="str">
        <f>VLOOKUP(D816,'SUPPLIER_ITEMS (1st Tools)'!C1131:D2858,2,FALSE)</f>
        <v>1ST-358-1130</v>
      </c>
      <c r="C816" s="14" t="s">
        <v>21</v>
      </c>
      <c r="D816" s="18" t="s">
        <v>2058</v>
      </c>
      <c r="F816" s="30" t="str">
        <f t="shared" si="34"/>
        <v>AV88181-06 STAINLESS DUAL HINGE STAINLESS 4"*3"*2.5MM</v>
      </c>
      <c r="I816" s="31" t="str">
        <f>VLOOKUP(D816,'[1]NEW PRICE LIST'!$C$4:$D$1917,2,FALSE)</f>
        <v>6PAIRS*8BOX/ CTN</v>
      </c>
      <c r="J816" s="13" t="s">
        <v>3620</v>
      </c>
      <c r="K816" s="32">
        <f>VLOOKUP(D816,'[1]NEW PRICE LIST'!$C$4:$H$1917,3,FALSE)</f>
        <v>115</v>
      </c>
      <c r="L816" s="13">
        <v>100</v>
      </c>
      <c r="M816" s="13">
        <v>0</v>
      </c>
      <c r="N816" s="13">
        <v>0</v>
      </c>
    </row>
    <row r="817" spans="1:14" ht="26.4" x14ac:dyDescent="0.25">
      <c r="A817" s="14" t="str">
        <f t="shared" si="32"/>
        <v>AVT0000816</v>
      </c>
      <c r="B817" s="13" t="str">
        <f>VLOOKUP(D817,'SUPPLIER_ITEMS (1st Tools)'!C1132:D2859,2,FALSE)</f>
        <v>1ST-358-1131</v>
      </c>
      <c r="C817" s="14" t="s">
        <v>21</v>
      </c>
      <c r="D817" s="18" t="s">
        <v>2060</v>
      </c>
      <c r="F817" s="30" t="str">
        <f t="shared" si="34"/>
        <v>AV88181-07 STAINLESS DUAL HINGE MATTE BLACK 4"*3"*2.5MM</v>
      </c>
      <c r="I817" s="31" t="str">
        <f>VLOOKUP(D817,'[1]NEW PRICE LIST'!$C$4:$D$1917,2,FALSE)</f>
        <v>6PAIRS*8BOX/ CTN</v>
      </c>
      <c r="J817" s="13" t="s">
        <v>3620</v>
      </c>
      <c r="K817" s="32">
        <f>VLOOKUP(D817,'[1]NEW PRICE LIST'!$C$4:$H$1917,3,FALSE)</f>
        <v>130</v>
      </c>
      <c r="L817" s="13">
        <v>100</v>
      </c>
      <c r="M817" s="13">
        <v>0</v>
      </c>
      <c r="N817" s="13">
        <v>0</v>
      </c>
    </row>
    <row r="818" spans="1:14" ht="39.6" x14ac:dyDescent="0.25">
      <c r="A818" s="14" t="str">
        <f t="shared" si="32"/>
        <v>AVT0000817</v>
      </c>
      <c r="B818" s="13" t="str">
        <f>VLOOKUP(D818,'SUPPLIER_ITEMS (1st Tools)'!C1133:D2860,2,FALSE)</f>
        <v>1ST-358-1132</v>
      </c>
      <c r="C818" s="14" t="s">
        <v>22</v>
      </c>
      <c r="D818" s="18" t="s">
        <v>2062</v>
      </c>
      <c r="F818" s="30" t="str">
        <f t="shared" si="34"/>
        <v>AV88181-01 POLOLOCK STAINLESS NARROW BUTT HINGES W/ SCREW 1.5''</v>
      </c>
      <c r="I818" s="31" t="str">
        <f>VLOOKUP(D818,'[1]NEW PRICE LIST'!$C$4:$D$1917,2,FALSE)</f>
        <v>2PAIRS*
25CARDS*
8BOXES/CTN</v>
      </c>
      <c r="J818" s="13" t="s">
        <v>3620</v>
      </c>
      <c r="K818" s="32">
        <f>VLOOKUP(D818,'[1]NEW PRICE LIST'!$C$4:$H$1917,3,FALSE)</f>
        <v>89</v>
      </c>
      <c r="L818" s="13">
        <v>100</v>
      </c>
      <c r="M818" s="13">
        <v>0</v>
      </c>
      <c r="N818" s="13">
        <v>0</v>
      </c>
    </row>
    <row r="819" spans="1:14" ht="39.6" x14ac:dyDescent="0.25">
      <c r="A819" s="14" t="str">
        <f t="shared" si="32"/>
        <v>AVT0000818</v>
      </c>
      <c r="B819" s="13" t="str">
        <f>VLOOKUP(D819,'SUPPLIER_ITEMS (1st Tools)'!C1134:D2861,2,FALSE)</f>
        <v>1ST-358-1133</v>
      </c>
      <c r="C819" s="14" t="s">
        <v>22</v>
      </c>
      <c r="D819" s="18" t="s">
        <v>2064</v>
      </c>
      <c r="F819" s="30" t="str">
        <f t="shared" si="34"/>
        <v>AV88181-02 POLOLOCK STAINLESS NARROW BUTT HINGES W/ SCREW 2''</v>
      </c>
      <c r="I819" s="31" t="str">
        <f>VLOOKUP(D819,'[1]NEW PRICE LIST'!$C$4:$D$1917,2,FALSE)</f>
        <v>2PAIRS*
25CARDS*
4BOXES/CTN</v>
      </c>
      <c r="J819" s="13" t="s">
        <v>3620</v>
      </c>
      <c r="K819" s="32">
        <f>VLOOKUP(D819,'[1]NEW PRICE LIST'!$C$4:$H$1917,3,FALSE)</f>
        <v>100</v>
      </c>
      <c r="L819" s="13">
        <v>100</v>
      </c>
      <c r="M819" s="13">
        <v>0</v>
      </c>
      <c r="N819" s="13">
        <v>0</v>
      </c>
    </row>
    <row r="820" spans="1:14" ht="39.6" x14ac:dyDescent="0.25">
      <c r="A820" s="14" t="str">
        <f t="shared" si="32"/>
        <v>AVT0000819</v>
      </c>
      <c r="B820" s="13" t="str">
        <f>VLOOKUP(D820,'SUPPLIER_ITEMS (1st Tools)'!C1135:D2862,2,FALSE)</f>
        <v>1ST-358-1134</v>
      </c>
      <c r="C820" s="14" t="s">
        <v>22</v>
      </c>
      <c r="D820" s="18" t="s">
        <v>2066</v>
      </c>
      <c r="F820" s="30" t="str">
        <f t="shared" si="34"/>
        <v>AV88181-03 POLOLOCK STAINLESS NARROW BUTT HINGES W/ SCREW 2.5''</v>
      </c>
      <c r="I820" s="31" t="str">
        <f>VLOOKUP(D820,'[1]NEW PRICE LIST'!$C$4:$D$1917,2,FALSE)</f>
        <v>1PAIR*
25CARDS*
8BOXES/CTN</v>
      </c>
      <c r="J820" s="13" t="s">
        <v>3620</v>
      </c>
      <c r="K820" s="32">
        <f>VLOOKUP(D820,'[1]NEW PRICE LIST'!$C$4:$H$1917,3,FALSE)</f>
        <v>65</v>
      </c>
      <c r="L820" s="13">
        <v>100</v>
      </c>
      <c r="M820" s="13">
        <v>0</v>
      </c>
      <c r="N820" s="13">
        <v>0</v>
      </c>
    </row>
    <row r="821" spans="1:14" ht="39.6" x14ac:dyDescent="0.25">
      <c r="A821" s="14" t="str">
        <f t="shared" si="32"/>
        <v>AVT0000820</v>
      </c>
      <c r="B821" s="13" t="str">
        <f>VLOOKUP(D821,'SUPPLIER_ITEMS (1st Tools)'!C1136:D2863,2,FALSE)</f>
        <v>1ST-358-1135</v>
      </c>
      <c r="C821" s="14" t="s">
        <v>22</v>
      </c>
      <c r="D821" s="18" t="s">
        <v>2068</v>
      </c>
      <c r="F821" s="30" t="str">
        <f t="shared" si="34"/>
        <v>AV88181-04 POLOLOCK STAINLESS NARROW BUTT HINGES W/ SCREW 3''</v>
      </c>
      <c r="I821" s="31" t="str">
        <f>VLOOKUP(D821,'[1]NEW PRICE LIST'!$C$4:$D$1917,2,FALSE)</f>
        <v>1PAIR*
25CARDS*
4BOXES/CTN</v>
      </c>
      <c r="J821" s="13" t="s">
        <v>3620</v>
      </c>
      <c r="K821" s="32">
        <f>VLOOKUP(D821,'[1]NEW PRICE LIST'!$C$4:$H$1917,3,FALSE)</f>
        <v>76</v>
      </c>
      <c r="L821" s="13">
        <v>100</v>
      </c>
      <c r="M821" s="13">
        <v>0</v>
      </c>
      <c r="N821" s="13">
        <v>0</v>
      </c>
    </row>
    <row r="822" spans="1:14" ht="39.6" x14ac:dyDescent="0.25">
      <c r="A822" s="14" t="str">
        <f t="shared" si="32"/>
        <v>AVT0000821</v>
      </c>
      <c r="B822" s="13" t="str">
        <f>VLOOKUP(D822,'SUPPLIER_ITEMS (1st Tools)'!C1137:D2864,2,FALSE)</f>
        <v>1ST-358-1136</v>
      </c>
      <c r="C822" s="14" t="s">
        <v>22</v>
      </c>
      <c r="D822" s="18" t="s">
        <v>2070</v>
      </c>
      <c r="F822" s="30" t="str">
        <f t="shared" si="34"/>
        <v>AV88181-05 POLOLOCK STAINLESS NARROW BUTT HINGES W/ SCREW 3.5''</v>
      </c>
      <c r="I822" s="31" t="str">
        <f>VLOOKUP(D822,'[1]NEW PRICE LIST'!$C$4:$D$1917,2,FALSE)</f>
        <v>1PAIR*
25CARDS*
4BOXES/CTN</v>
      </c>
      <c r="J822" s="13" t="s">
        <v>3620</v>
      </c>
      <c r="K822" s="32">
        <f>VLOOKUP(D822,'[1]NEW PRICE LIST'!$C$4:$H$1917,3,FALSE)</f>
        <v>95</v>
      </c>
      <c r="L822" s="13">
        <v>100</v>
      </c>
      <c r="M822" s="13">
        <v>0</v>
      </c>
      <c r="N822" s="13">
        <v>0</v>
      </c>
    </row>
    <row r="823" spans="1:14" x14ac:dyDescent="0.25">
      <c r="A823" s="14" t="str">
        <f t="shared" si="32"/>
        <v>AVT0000822</v>
      </c>
      <c r="B823" s="13" t="str">
        <f>VLOOKUP(D823,'SUPPLIER_ITEMS (1st Tools)'!C1144:D2871,2,FALSE)</f>
        <v>1ST-358-1143</v>
      </c>
      <c r="C823" s="14" t="s">
        <v>23</v>
      </c>
      <c r="D823" s="18" t="s">
        <v>2077</v>
      </c>
      <c r="F823" s="30" t="str">
        <f t="shared" si="34"/>
        <v>AV88184-7 NARROW BUTTS 505-B 4"</v>
      </c>
      <c r="I823" s="31" t="str">
        <f>VLOOKUP(D823,'[1]NEW PRICE LIST'!$C$4:$D$1917,2,FALSE)</f>
        <v>20DOZ.P/CTN</v>
      </c>
      <c r="J823" s="13" t="s">
        <v>3972</v>
      </c>
      <c r="K823" s="32">
        <f>VLOOKUP(D823,'[1]NEW PRICE LIST'!$C$4:$H$1917,3,FALSE)</f>
        <v>216</v>
      </c>
      <c r="L823" s="13">
        <v>100</v>
      </c>
      <c r="M823" s="13">
        <v>0</v>
      </c>
      <c r="N823" s="13">
        <v>0</v>
      </c>
    </row>
    <row r="824" spans="1:14" x14ac:dyDescent="0.25">
      <c r="A824" s="14" t="str">
        <f t="shared" si="32"/>
        <v>AVT0000823</v>
      </c>
      <c r="B824" s="13" t="str">
        <f>VLOOKUP(D824,'SUPPLIER_ITEMS (1st Tools)'!C1149:D2876,2,FALSE)</f>
        <v>1ST-358-1148</v>
      </c>
      <c r="C824" s="14" t="s">
        <v>24</v>
      </c>
      <c r="D824" s="18" t="s">
        <v>2081</v>
      </c>
      <c r="F824" s="30" t="str">
        <f t="shared" si="34"/>
        <v>AV88183-5 NARROW BUTTS 838-B 3"</v>
      </c>
      <c r="I824" s="31" t="str">
        <f>VLOOKUP(D824,'[1]NEW PRICE LIST'!$C$4:$D$1917,2,FALSE)</f>
        <v>20DOZ.P/CTN</v>
      </c>
      <c r="J824" s="13" t="s">
        <v>3972</v>
      </c>
      <c r="K824" s="32">
        <f>VLOOKUP(D824,'[1]NEW PRICE LIST'!$C$4:$H$1917,3,FALSE)</f>
        <v>215</v>
      </c>
      <c r="L824" s="13">
        <v>100</v>
      </c>
      <c r="M824" s="13">
        <v>0</v>
      </c>
      <c r="N824" s="13">
        <v>0</v>
      </c>
    </row>
    <row r="825" spans="1:14" ht="26.4" x14ac:dyDescent="0.25">
      <c r="A825" s="14" t="str">
        <f t="shared" si="32"/>
        <v>AVT0000824</v>
      </c>
      <c r="B825" s="13" t="str">
        <f>VLOOKUP(D825,'SUPPLIER_ITEMS (1st Tools)'!C1152:D2879,2,FALSE)</f>
        <v>1ST-358-1151</v>
      </c>
      <c r="C825" s="14" t="s">
        <v>25</v>
      </c>
      <c r="D825" s="18" t="s">
        <v>2085</v>
      </c>
      <c r="F825" s="30" t="str">
        <f t="shared" si="34"/>
        <v>AV88182-1 (LT88003-1) POLONET NARROW BUTTS BRASS PLATED 1"</v>
      </c>
      <c r="I825" s="31" t="str">
        <f>VLOOKUP(D825,'[1]NEW PRICE LIST'!$C$4:$D$1917,2,FALSE)</f>
        <v>100DOZ/CTN</v>
      </c>
      <c r="J825" s="13" t="s">
        <v>3972</v>
      </c>
      <c r="K825" s="32">
        <f>VLOOKUP(D825,'[1]NEW PRICE LIST'!$C$4:$H$1917,3,FALSE)</f>
        <v>63</v>
      </c>
      <c r="L825" s="13">
        <v>100</v>
      </c>
      <c r="M825" s="13">
        <v>0</v>
      </c>
      <c r="N825" s="13">
        <v>0</v>
      </c>
    </row>
    <row r="826" spans="1:14" ht="26.4" x14ac:dyDescent="0.25">
      <c r="A826" s="14" t="str">
        <f t="shared" si="32"/>
        <v>AVT0000825</v>
      </c>
      <c r="B826" s="13" t="str">
        <f>VLOOKUP(D826,'SUPPLIER_ITEMS (1st Tools)'!C1153:D2880,2,FALSE)</f>
        <v>1ST-358-1152</v>
      </c>
      <c r="C826" s="14" t="s">
        <v>25</v>
      </c>
      <c r="D826" s="18" t="s">
        <v>2087</v>
      </c>
      <c r="F826" s="30" t="str">
        <f t="shared" si="34"/>
        <v>AV88182-2 (LT88003-1.5) POLONET NARROW BUTTS BRASS PLATED 1.5"</v>
      </c>
      <c r="I826" s="31" t="str">
        <f>VLOOKUP(D826,'[1]NEW PRICE LIST'!$C$4:$D$1917,2,FALSE)</f>
        <v>50DOZ/CTN</v>
      </c>
      <c r="J826" s="13" t="s">
        <v>3972</v>
      </c>
      <c r="K826" s="32">
        <f>VLOOKUP(D826,'[1]NEW PRICE LIST'!$C$4:$H$1917,3,FALSE)</f>
        <v>80</v>
      </c>
      <c r="L826" s="13">
        <v>100</v>
      </c>
      <c r="M826" s="13">
        <v>0</v>
      </c>
      <c r="N826" s="13">
        <v>0</v>
      </c>
    </row>
    <row r="827" spans="1:14" ht="26.4" x14ac:dyDescent="0.25">
      <c r="A827" s="14" t="str">
        <f t="shared" si="32"/>
        <v>AVT0000826</v>
      </c>
      <c r="B827" s="13" t="str">
        <f>VLOOKUP(D827,'SUPPLIER_ITEMS (1st Tools)'!C1154:D2881,2,FALSE)</f>
        <v>1ST-358-1153</v>
      </c>
      <c r="C827" s="14" t="s">
        <v>25</v>
      </c>
      <c r="D827" s="18" t="s">
        <v>2089</v>
      </c>
      <c r="F827" s="30" t="str">
        <f t="shared" si="34"/>
        <v>AV88182-3 (LT88003-2) POLONET NARROW BUTTS BRASS PLATED 2"</v>
      </c>
      <c r="I827" s="31" t="str">
        <f>VLOOKUP(D827,'[1]NEW PRICE LIST'!$C$4:$D$1917,2,FALSE)</f>
        <v>50DOZ/CTN</v>
      </c>
      <c r="J827" s="13" t="s">
        <v>3972</v>
      </c>
      <c r="K827" s="32">
        <f>VLOOKUP(D827,'[1]NEW PRICE LIST'!$C$4:$H$1917,3,FALSE)</f>
        <v>139</v>
      </c>
      <c r="L827" s="13">
        <v>100</v>
      </c>
      <c r="M827" s="13">
        <v>0</v>
      </c>
      <c r="N827" s="13">
        <v>0</v>
      </c>
    </row>
    <row r="828" spans="1:14" ht="26.4" x14ac:dyDescent="0.25">
      <c r="A828" s="14" t="str">
        <f t="shared" si="32"/>
        <v>AVT0000827</v>
      </c>
      <c r="B828" s="13" t="str">
        <f>VLOOKUP(D828,'SUPPLIER_ITEMS (1st Tools)'!C1155:D2882,2,FALSE)</f>
        <v>1ST-358-1154</v>
      </c>
      <c r="C828" s="14" t="s">
        <v>25</v>
      </c>
      <c r="D828" s="18" t="s">
        <v>2091</v>
      </c>
      <c r="F828" s="30" t="str">
        <f t="shared" ref="F828:F865" si="35">"AV"&amp;RIGHT(D828,LEN(D828)-2)</f>
        <v>AV88182-4 (LT88003-2.5) POLONET NARROW BUTTS BRASS PLATED 2.5"</v>
      </c>
      <c r="I828" s="31" t="str">
        <f>VLOOKUP(D828,'[1]NEW PRICE LIST'!$C$4:$D$1917,2,FALSE)</f>
        <v>25DOZ/CTN</v>
      </c>
      <c r="J828" s="13" t="s">
        <v>3972</v>
      </c>
      <c r="K828" s="32">
        <f>VLOOKUP(D828,'[1]NEW PRICE LIST'!$C$4:$H$1917,3,FALSE)</f>
        <v>189</v>
      </c>
      <c r="L828" s="13">
        <v>100</v>
      </c>
      <c r="M828" s="13">
        <v>0</v>
      </c>
      <c r="N828" s="13">
        <v>0</v>
      </c>
    </row>
    <row r="829" spans="1:14" ht="26.4" x14ac:dyDescent="0.25">
      <c r="A829" s="14" t="str">
        <f t="shared" si="32"/>
        <v>AVT0000828</v>
      </c>
      <c r="B829" s="13" t="str">
        <f>VLOOKUP(D829,'SUPPLIER_ITEMS (1st Tools)'!C1156:D2883,2,FALSE)</f>
        <v>1ST-358-1155</v>
      </c>
      <c r="C829" s="14" t="s">
        <v>25</v>
      </c>
      <c r="D829" s="18" t="s">
        <v>2093</v>
      </c>
      <c r="F829" s="30" t="str">
        <f t="shared" si="35"/>
        <v>AV88182-5 (LT88003-3) POLONET NARROW BUTTS BRASS PLATED 3"</v>
      </c>
      <c r="I829" s="31" t="str">
        <f>VLOOKUP(D829,'[1]NEW PRICE LIST'!$C$4:$D$1917,2,FALSE)</f>
        <v>15DOZ/CTN</v>
      </c>
      <c r="J829" s="13" t="s">
        <v>3972</v>
      </c>
      <c r="K829" s="32">
        <f>VLOOKUP(D829,'[1]NEW PRICE LIST'!$C$4:$H$1917,3,FALSE)</f>
        <v>248</v>
      </c>
      <c r="L829" s="13">
        <v>100</v>
      </c>
      <c r="M829" s="13">
        <v>0</v>
      </c>
      <c r="N829" s="13">
        <v>0</v>
      </c>
    </row>
    <row r="830" spans="1:14" ht="26.4" x14ac:dyDescent="0.25">
      <c r="A830" s="14" t="str">
        <f t="shared" si="32"/>
        <v>AVT0000829</v>
      </c>
      <c r="B830" s="13" t="str">
        <f>VLOOKUP(D830,'SUPPLIER_ITEMS (1st Tools)'!C1157:D2884,2,FALSE)</f>
        <v>1ST-358-1156</v>
      </c>
      <c r="C830" s="14" t="s">
        <v>25</v>
      </c>
      <c r="D830" s="18" t="s">
        <v>2094</v>
      </c>
      <c r="F830" s="30" t="str">
        <f t="shared" si="35"/>
        <v>AV88182-6 (LT88003-3.5) POLONET NARROW BUTTS BRASS PLATED 3.5"</v>
      </c>
      <c r="I830" s="31" t="str">
        <f>VLOOKUP(D830,'[1]NEW PRICE LIST'!$C$4:$D$1917,2,FALSE)</f>
        <v>10DOZ/CTN</v>
      </c>
      <c r="J830" s="13" t="s">
        <v>3972</v>
      </c>
      <c r="K830" s="32">
        <f>VLOOKUP(D830,'[1]NEW PRICE LIST'!$C$4:$H$1917,3,FALSE)</f>
        <v>365</v>
      </c>
      <c r="L830" s="13">
        <v>100</v>
      </c>
      <c r="M830" s="13">
        <v>0</v>
      </c>
      <c r="N830" s="13">
        <v>0</v>
      </c>
    </row>
    <row r="831" spans="1:14" ht="26.4" x14ac:dyDescent="0.25">
      <c r="A831" s="14" t="str">
        <f t="shared" si="32"/>
        <v>AVT0000830</v>
      </c>
      <c r="B831" s="13" t="str">
        <f>VLOOKUP(D831,'SUPPLIER_ITEMS (1st Tools)'!C1158:D2885,2,FALSE)</f>
        <v>1ST-358-1157</v>
      </c>
      <c r="C831" s="14" t="s">
        <v>25</v>
      </c>
      <c r="D831" s="18" t="s">
        <v>2096</v>
      </c>
      <c r="F831" s="30" t="str">
        <f t="shared" si="35"/>
        <v>AV88182-7 (LT88003-4) POLONET NARROWS BUTTS BRASS PLATED 4"</v>
      </c>
      <c r="I831" s="31" t="str">
        <f>VLOOKUP(D831,'[1]NEW PRICE LIST'!$C$4:$D$1917,2,FALSE)</f>
        <v>7.5 DOZ/CTN</v>
      </c>
      <c r="J831" s="13" t="s">
        <v>3972</v>
      </c>
      <c r="K831" s="32">
        <f>VLOOKUP(D831,'[1]NEW PRICE LIST'!$C$4:$H$1917,3,FALSE)</f>
        <v>540</v>
      </c>
      <c r="L831" s="13">
        <v>100</v>
      </c>
      <c r="M831" s="13">
        <v>0</v>
      </c>
      <c r="N831" s="13">
        <v>0</v>
      </c>
    </row>
    <row r="832" spans="1:14" x14ac:dyDescent="0.25">
      <c r="A832" s="14" t="str">
        <f t="shared" si="32"/>
        <v>AVT0000831</v>
      </c>
      <c r="B832" s="13" t="str">
        <f>VLOOKUP(D832,'SUPPLIER_ITEMS (1st Tools)'!C1159:D2886,2,FALSE)</f>
        <v>1ST-358-1158</v>
      </c>
      <c r="C832" s="14" t="s">
        <v>26</v>
      </c>
      <c r="D832" s="18" t="s">
        <v>3845</v>
      </c>
      <c r="F832" s="30" t="str">
        <f t="shared" si="35"/>
        <v>AV88181-1 3X3 POLOLOCK STAINLESS BALL BEARING HINGES</v>
      </c>
      <c r="I832" s="31" t="str">
        <f>VLOOKUP(D832,'[1]NEW PRICE LIST'!$C$4:$D$1917,2,FALSE)</f>
        <v>50PAIRS/CTN</v>
      </c>
      <c r="J832" s="13" t="s">
        <v>3975</v>
      </c>
      <c r="K832" s="32">
        <f>VLOOKUP(D832,'[1]NEW PRICE LIST'!$C$4:$H$1917,3,FALSE)</f>
        <v>145</v>
      </c>
      <c r="L832" s="13">
        <v>100</v>
      </c>
      <c r="M832" s="13">
        <v>0</v>
      </c>
      <c r="N832" s="13">
        <v>0</v>
      </c>
    </row>
    <row r="833" spans="1:14" ht="26.4" x14ac:dyDescent="0.25">
      <c r="A833" s="14" t="str">
        <f t="shared" si="32"/>
        <v>AVT0000832</v>
      </c>
      <c r="B833" s="13" t="str">
        <f>VLOOKUP(D833,'SUPPLIER_ITEMS (1st Tools)'!C1160:D2887,2,FALSE)</f>
        <v>1ST-358-1159</v>
      </c>
      <c r="C833" s="14" t="s">
        <v>26</v>
      </c>
      <c r="D833" s="18" t="s">
        <v>3846</v>
      </c>
      <c r="F833" s="30" t="str">
        <f t="shared" si="35"/>
        <v>AV88181-2 3.5X3.5 POLOLOCK STAINLESS BALL BEARING HINGES</v>
      </c>
      <c r="I833" s="31" t="str">
        <f>VLOOKUP(D833,'[1]NEW PRICE LIST'!$C$4:$D$1917,2,FALSE)</f>
        <v>40PAIRSCTN</v>
      </c>
      <c r="J833" s="13" t="s">
        <v>3975</v>
      </c>
      <c r="K833" s="32">
        <f>VLOOKUP(D833,'[1]NEW PRICE LIST'!$C$4:$H$1917,3,FALSE)</f>
        <v>176</v>
      </c>
      <c r="L833" s="13">
        <v>100</v>
      </c>
      <c r="M833" s="13">
        <v>0</v>
      </c>
      <c r="N833" s="13">
        <v>0</v>
      </c>
    </row>
    <row r="834" spans="1:14" x14ac:dyDescent="0.25">
      <c r="A834" s="14" t="str">
        <f t="shared" si="32"/>
        <v>AVT0000833</v>
      </c>
      <c r="B834" s="13" t="str">
        <f>VLOOKUP(D834,'SUPPLIER_ITEMS (1st Tools)'!C1161:D2888,2,FALSE)</f>
        <v>1ST-358-1160</v>
      </c>
      <c r="C834" s="14" t="s">
        <v>26</v>
      </c>
      <c r="D834" s="18" t="s">
        <v>2099</v>
      </c>
      <c r="F834" s="30" t="str">
        <f t="shared" si="35"/>
        <v>AV88181-3 4X4 POLOLOCK STAINLESS BALL EARING HINGES</v>
      </c>
      <c r="I834" s="31" t="str">
        <f>VLOOKUP(D834,'[1]NEW PRICE LIST'!$C$4:$D$1917,2,FALSE)</f>
        <v>30PAIRS/CTN</v>
      </c>
      <c r="J834" s="13" t="s">
        <v>3975</v>
      </c>
      <c r="K834" s="32">
        <f>VLOOKUP(D834,'[1]NEW PRICE LIST'!$C$4:$H$1917,3,FALSE)</f>
        <v>208</v>
      </c>
      <c r="L834" s="13">
        <v>100</v>
      </c>
      <c r="M834" s="13">
        <v>0</v>
      </c>
      <c r="N834" s="13">
        <v>0</v>
      </c>
    </row>
    <row r="835" spans="1:14" x14ac:dyDescent="0.25">
      <c r="A835" s="14" t="str">
        <f t="shared" si="32"/>
        <v>AVT0000834</v>
      </c>
      <c r="B835" s="13" t="str">
        <f>VLOOKUP(D835,'SUPPLIER_ITEMS (1st Tools)'!C1162:D2889,2,FALSE)</f>
        <v>1ST-358-1161</v>
      </c>
      <c r="C835" s="14" t="s">
        <v>26</v>
      </c>
      <c r="D835" s="18" t="s">
        <v>2101</v>
      </c>
      <c r="F835" s="30" t="str">
        <f t="shared" si="35"/>
        <v>AV88181-4 4X3 POLOLOCK STAINLESS BALL BEARING HINGES</v>
      </c>
      <c r="I835" s="31" t="str">
        <f>VLOOKUP(D835,'[1]NEW PRICE LIST'!$C$4:$D$1917,2,FALSE)</f>
        <v>30PAIRSCTN</v>
      </c>
      <c r="J835" s="13" t="s">
        <v>3975</v>
      </c>
      <c r="K835" s="32">
        <f>VLOOKUP(D835,'[1]NEW PRICE LIST'!$C$4:$H$1917,3,FALSE)</f>
        <v>180</v>
      </c>
      <c r="L835" s="13">
        <v>100</v>
      </c>
      <c r="M835" s="13">
        <v>0</v>
      </c>
      <c r="N835" s="13">
        <v>0</v>
      </c>
    </row>
    <row r="836" spans="1:14" x14ac:dyDescent="0.25">
      <c r="A836" s="14" t="str">
        <f t="shared" ref="A836:A899" si="36">"AVT"&amp;TEXT(RIGHT(A835,LEN(A835)-3)+1,"0000000")</f>
        <v>AVT0000835</v>
      </c>
      <c r="B836" s="13" t="str">
        <f>VLOOKUP(D836,'SUPPLIER_ITEMS (1st Tools)'!C1163:D2890,2,FALSE)</f>
        <v>1ST-358-1162</v>
      </c>
      <c r="C836" s="14" t="s">
        <v>27</v>
      </c>
      <c r="D836" s="18" t="s">
        <v>2102</v>
      </c>
      <c r="F836" s="30" t="str">
        <f t="shared" si="35"/>
        <v>AV88185-1 POLOLOCK LOOSE PIN HINGES 3''*3''*2MM</v>
      </c>
      <c r="I836" s="31" t="str">
        <f>VLOOKUP(D836,'[1]NEW PRICE LIST'!$C$4:$D$1917,2,FALSE)</f>
        <v>5PRS*10BOX/ CTN</v>
      </c>
      <c r="J836" s="13" t="s">
        <v>3620</v>
      </c>
      <c r="K836" s="32">
        <f>VLOOKUP(D836,'[1]NEW PRICE LIST'!$C$4:$H$1917,3,FALSE)</f>
        <v>65</v>
      </c>
      <c r="L836" s="13">
        <v>100</v>
      </c>
      <c r="M836" s="13">
        <v>0</v>
      </c>
      <c r="N836" s="13">
        <v>0</v>
      </c>
    </row>
    <row r="837" spans="1:14" x14ac:dyDescent="0.25">
      <c r="A837" s="14" t="str">
        <f t="shared" si="36"/>
        <v>AVT0000836</v>
      </c>
      <c r="B837" s="13" t="str">
        <f>VLOOKUP(D837,'SUPPLIER_ITEMS (1st Tools)'!C1164:D2891,2,FALSE)</f>
        <v>1ST-358-1163</v>
      </c>
      <c r="C837" s="14" t="s">
        <v>27</v>
      </c>
      <c r="D837" s="18" t="s">
        <v>2104</v>
      </c>
      <c r="F837" s="30" t="str">
        <f t="shared" si="35"/>
        <v>AV88185-2 POLOLOCK LOOSE PIN HINGES 3.5''*3.5''*2MM</v>
      </c>
      <c r="I837" s="31" t="str">
        <f>VLOOKUP(D837,'[1]NEW PRICE LIST'!$C$4:$D$1917,2,FALSE)</f>
        <v>5PRS*10BOX/ CTN</v>
      </c>
      <c r="J837" s="13" t="s">
        <v>3620</v>
      </c>
      <c r="K837" s="32">
        <f>VLOOKUP(D837,'[1]NEW PRICE LIST'!$C$4:$H$1917,3,FALSE)</f>
        <v>80</v>
      </c>
      <c r="L837" s="13">
        <v>100</v>
      </c>
      <c r="M837" s="13">
        <v>0</v>
      </c>
      <c r="N837" s="13">
        <v>0</v>
      </c>
    </row>
    <row r="838" spans="1:14" x14ac:dyDescent="0.25">
      <c r="A838" s="14" t="str">
        <f t="shared" si="36"/>
        <v>AVT0000837</v>
      </c>
      <c r="B838" s="13" t="str">
        <f>VLOOKUP(D838,'SUPPLIER_ITEMS (1st Tools)'!C1165:D2892,2,FALSE)</f>
        <v>1ST-358-1164</v>
      </c>
      <c r="C838" s="14" t="s">
        <v>27</v>
      </c>
      <c r="D838" s="18" t="s">
        <v>3847</v>
      </c>
      <c r="F838" s="30" t="str">
        <f t="shared" si="35"/>
        <v>AV88185-3 POLOLOCK LOOSE PIN HINGES 4''*4''*2MM</v>
      </c>
      <c r="I838" s="31" t="str">
        <f>VLOOKUP(D838,'[1]NEW PRICE LIST'!$C$4:$D$1917,2,FALSE)</f>
        <v>5PRS*10BOX/ CTN</v>
      </c>
      <c r="J838" s="13" t="s">
        <v>3620</v>
      </c>
      <c r="K838" s="32">
        <f>VLOOKUP(D838,'[1]NEW PRICE LIST'!$C$4:$H$1917,3,FALSE)</f>
        <v>90</v>
      </c>
      <c r="L838" s="13">
        <v>100</v>
      </c>
      <c r="M838" s="13">
        <v>0</v>
      </c>
      <c r="N838" s="13">
        <v>0</v>
      </c>
    </row>
    <row r="839" spans="1:14" x14ac:dyDescent="0.25">
      <c r="A839" s="14" t="str">
        <f t="shared" si="36"/>
        <v>AVT0000838</v>
      </c>
      <c r="B839" s="13" t="str">
        <f>VLOOKUP(D839,'SUPPLIER_ITEMS (1st Tools)'!C1166:D2893,2,FALSE)</f>
        <v>1ST-358-1165</v>
      </c>
      <c r="C839" s="14" t="s">
        <v>28</v>
      </c>
      <c r="D839" s="18" t="s">
        <v>2107</v>
      </c>
      <c r="F839" s="30" t="str">
        <f t="shared" si="35"/>
        <v>AV88180-7 LOOSE PIN HINGES (STAINLESS) 3''*3''*1.9MM</v>
      </c>
      <c r="I839" s="31" t="str">
        <f>VLOOKUP(D839,'[1]NEW PRICE LIST'!$C$4:$D$1917,2,FALSE)</f>
        <v>50PAIRS/CTN</v>
      </c>
      <c r="J839" s="13" t="s">
        <v>3975</v>
      </c>
      <c r="K839" s="32">
        <f>VLOOKUP(D839,'[1]NEW PRICE LIST'!$C$4:$H$1917,3,FALSE)</f>
        <v>65</v>
      </c>
      <c r="L839" s="13">
        <v>100</v>
      </c>
      <c r="M839" s="13">
        <v>0</v>
      </c>
      <c r="N839" s="13">
        <v>0</v>
      </c>
    </row>
    <row r="840" spans="1:14" x14ac:dyDescent="0.25">
      <c r="A840" s="14" t="str">
        <f t="shared" si="36"/>
        <v>AVT0000839</v>
      </c>
      <c r="B840" s="13" t="str">
        <f>VLOOKUP(D840,'SUPPLIER_ITEMS (1st Tools)'!C1167:D2894,2,FALSE)</f>
        <v>1ST-358-1166</v>
      </c>
      <c r="C840" s="14" t="s">
        <v>28</v>
      </c>
      <c r="D840" s="18" t="s">
        <v>2109</v>
      </c>
      <c r="F840" s="30" t="str">
        <f t="shared" si="35"/>
        <v>AV88180-8 LOOSE PIN HINGES (STAINLESS) 3.5''*3.5''*1.9MM</v>
      </c>
      <c r="I840" s="31" t="str">
        <f>VLOOKUP(D840,'[1]NEW PRICE LIST'!$C$4:$D$1917,2,FALSE)</f>
        <v>50PAIRS/CTN</v>
      </c>
      <c r="J840" s="13" t="s">
        <v>3975</v>
      </c>
      <c r="K840" s="32">
        <f>VLOOKUP(D840,'[1]NEW PRICE LIST'!$C$4:$H$1917,3,FALSE)</f>
        <v>80</v>
      </c>
      <c r="L840" s="13">
        <v>100</v>
      </c>
      <c r="M840" s="13">
        <v>0</v>
      </c>
      <c r="N840" s="13">
        <v>0</v>
      </c>
    </row>
    <row r="841" spans="1:14" x14ac:dyDescent="0.25">
      <c r="A841" s="14" t="str">
        <f t="shared" si="36"/>
        <v>AVT0000840</v>
      </c>
      <c r="B841" s="13" t="str">
        <f>VLOOKUP(D841,'SUPPLIER_ITEMS (1st Tools)'!C1168:D2895,2,FALSE)</f>
        <v>1ST-358-1167</v>
      </c>
      <c r="C841" s="14" t="s">
        <v>28</v>
      </c>
      <c r="D841" s="18" t="s">
        <v>2111</v>
      </c>
      <c r="F841" s="30" t="str">
        <f t="shared" si="35"/>
        <v>AV88180-9 LOOSE PIN HINGES (STAINLESS) 4''*4''*1.9MM</v>
      </c>
      <c r="I841" s="31" t="str">
        <f>VLOOKUP(D841,'[1]NEW PRICE LIST'!$C$4:$D$1917,2,FALSE)</f>
        <v>50PAIRS/CTN</v>
      </c>
      <c r="J841" s="13" t="s">
        <v>3975</v>
      </c>
      <c r="K841" s="32">
        <f>VLOOKUP(D841,'[1]NEW PRICE LIST'!$C$4:$H$1917,3,FALSE)</f>
        <v>95</v>
      </c>
      <c r="L841" s="13">
        <v>100</v>
      </c>
      <c r="M841" s="13">
        <v>0</v>
      </c>
      <c r="N841" s="13">
        <v>0</v>
      </c>
    </row>
    <row r="842" spans="1:14" x14ac:dyDescent="0.25">
      <c r="A842" s="14" t="str">
        <f t="shared" si="36"/>
        <v>AVT0000841</v>
      </c>
      <c r="B842" s="13" t="str">
        <f>VLOOKUP(D842,'SUPPLIER_ITEMS (1st Tools)'!C1169:D2896,2,FALSE)</f>
        <v>1ST-358-1168</v>
      </c>
      <c r="C842" s="14" t="s">
        <v>29</v>
      </c>
      <c r="D842" s="18" t="s">
        <v>2113</v>
      </c>
      <c r="F842" s="30" t="str">
        <f t="shared" si="35"/>
        <v>AV88180-1 (PL88015-3) 3X3 POLOLOCK LOOSE PIN HINGES</v>
      </c>
      <c r="I842" s="31" t="str">
        <f>VLOOKUP(D842,'[1]NEW PRICE LIST'!$C$4:$D$1917,2,FALSE)</f>
        <v>100PAIRS/ CTN</v>
      </c>
      <c r="J842" s="13" t="s">
        <v>3975</v>
      </c>
      <c r="K842" s="32">
        <f>VLOOKUP(D842,'[1]NEW PRICE LIST'!$C$4:$H$1917,3,FALSE)</f>
        <v>47</v>
      </c>
      <c r="L842" s="13">
        <v>100</v>
      </c>
      <c r="M842" s="13">
        <v>0</v>
      </c>
      <c r="N842" s="13">
        <v>0</v>
      </c>
    </row>
    <row r="843" spans="1:14" ht="26.4" x14ac:dyDescent="0.25">
      <c r="A843" s="14" t="str">
        <f t="shared" si="36"/>
        <v>AVT0000842</v>
      </c>
      <c r="B843" s="13" t="str">
        <f>VLOOKUP(D843,'SUPPLIER_ITEMS (1st Tools)'!C1170:D2897,2,FALSE)</f>
        <v>1ST-358-1169</v>
      </c>
      <c r="C843" s="14" t="s">
        <v>29</v>
      </c>
      <c r="D843" s="18" t="s">
        <v>3848</v>
      </c>
      <c r="F843" s="30" t="str">
        <f t="shared" si="35"/>
        <v>AV88180-2 (PL88015-3.5) 3.5X3.5 POLOLOCK LOOSE PIN HINGES</v>
      </c>
      <c r="I843" s="31" t="str">
        <f>VLOOKUP(D843,'[1]NEW PRICE LIST'!$C$4:$D$1917,2,FALSE)</f>
        <v>80PAIRS/CTN</v>
      </c>
      <c r="J843" s="13" t="s">
        <v>3975</v>
      </c>
      <c r="K843" s="32">
        <f>VLOOKUP(D843,'[1]NEW PRICE LIST'!$C$4:$H$1917,3,FALSE)</f>
        <v>56</v>
      </c>
      <c r="L843" s="13">
        <v>100</v>
      </c>
      <c r="M843" s="13">
        <v>0</v>
      </c>
      <c r="N843" s="13">
        <v>0</v>
      </c>
    </row>
    <row r="844" spans="1:14" x14ac:dyDescent="0.25">
      <c r="A844" s="14" t="str">
        <f t="shared" si="36"/>
        <v>AVT0000843</v>
      </c>
      <c r="B844" s="13" t="str">
        <f>VLOOKUP(D844,'SUPPLIER_ITEMS (1st Tools)'!C1171:D2898,2,FALSE)</f>
        <v>1ST-358-1170</v>
      </c>
      <c r="C844" s="14" t="s">
        <v>29</v>
      </c>
      <c r="D844" s="18" t="s">
        <v>3849</v>
      </c>
      <c r="F844" s="30" t="str">
        <f t="shared" si="35"/>
        <v>AV88180-3 (PL88015-4) 4X4 POLOLOCK LOOSE PIN HINGES</v>
      </c>
      <c r="I844" s="31" t="str">
        <f>VLOOKUP(D844,'[1]NEW PRICE LIST'!$C$4:$D$1917,2,FALSE)</f>
        <v>50PAIRS/CTN</v>
      </c>
      <c r="J844" s="13" t="s">
        <v>3975</v>
      </c>
      <c r="K844" s="32">
        <f>VLOOKUP(D844,'[1]NEW PRICE LIST'!$C$4:$H$1917,3,FALSE)</f>
        <v>65</v>
      </c>
      <c r="L844" s="13">
        <v>100</v>
      </c>
      <c r="M844" s="13">
        <v>0</v>
      </c>
      <c r="N844" s="13">
        <v>0</v>
      </c>
    </row>
    <row r="845" spans="1:14" ht="26.4" x14ac:dyDescent="0.25">
      <c r="A845" s="14" t="str">
        <f t="shared" si="36"/>
        <v>AVT0000844</v>
      </c>
      <c r="B845" s="13" t="str">
        <f>VLOOKUP(D845,'SUPPLIER_ITEMS (1st Tools)'!C1172:D2899,2,FALSE)</f>
        <v>1ST-358-1171</v>
      </c>
      <c r="C845" s="14" t="s">
        <v>30</v>
      </c>
      <c r="D845" s="18" t="s">
        <v>2116</v>
      </c>
      <c r="F845" s="30" t="str">
        <f t="shared" si="35"/>
        <v>AV88170-1 (PL88045-3) 3KEYS'' POLOLOCK SOLID BRASS COMBINATION PADLOCK</v>
      </c>
      <c r="I845" s="31" t="str">
        <f>VLOOKUP(D845,'[1]NEW PRICE LIST'!$C$4:$D$1917,2,FALSE)</f>
        <v>240PCS/CTN</v>
      </c>
      <c r="J845" s="13" t="s">
        <v>300</v>
      </c>
      <c r="K845" s="32">
        <f>VLOOKUP(D845,'[1]NEW PRICE LIST'!$C$4:$H$1917,3,FALSE)</f>
        <v>110</v>
      </c>
      <c r="L845" s="13">
        <v>100</v>
      </c>
      <c r="M845" s="13">
        <v>0</v>
      </c>
      <c r="N845" s="13">
        <v>0</v>
      </c>
    </row>
    <row r="846" spans="1:14" ht="26.4" x14ac:dyDescent="0.25">
      <c r="A846" s="14" t="str">
        <f t="shared" si="36"/>
        <v>AVT0000845</v>
      </c>
      <c r="B846" s="13" t="str">
        <f>VLOOKUP(D846,'SUPPLIER_ITEMS (1st Tools)'!C1173:D2900,2,FALSE)</f>
        <v>1ST-358-1172</v>
      </c>
      <c r="C846" s="14" t="s">
        <v>30</v>
      </c>
      <c r="D846" s="18" t="s">
        <v>2117</v>
      </c>
      <c r="F846" s="30" t="str">
        <f t="shared" si="35"/>
        <v>AV88170-2 (PL88045-4) 4KEYS'' POLOLOCK SOLID BRASS COMBINATION PADLOCK</v>
      </c>
      <c r="I846" s="31" t="str">
        <f>VLOOKUP(D846,'[1]NEW PRICE LIST'!$C$4:$D$1917,2,FALSE)</f>
        <v>120PCS/CTN</v>
      </c>
      <c r="J846" s="13" t="s">
        <v>300</v>
      </c>
      <c r="K846" s="32">
        <f>VLOOKUP(D846,'[1]NEW PRICE LIST'!$C$4:$H$1917,3,FALSE)</f>
        <v>215</v>
      </c>
      <c r="L846" s="13">
        <v>100</v>
      </c>
      <c r="M846" s="13">
        <v>0</v>
      </c>
      <c r="N846" s="13">
        <v>0</v>
      </c>
    </row>
    <row r="847" spans="1:14" x14ac:dyDescent="0.25">
      <c r="A847" s="14" t="str">
        <f t="shared" si="36"/>
        <v>AVT0000846</v>
      </c>
      <c r="B847" s="13" t="str">
        <f>VLOOKUP(D847,'SUPPLIER_ITEMS (1st Tools)'!C1193:D2920,2,FALSE)</f>
        <v>1ST-358-1192</v>
      </c>
      <c r="C847" s="14" t="s">
        <v>34</v>
      </c>
      <c r="D847" s="18" t="s">
        <v>2135</v>
      </c>
      <c r="F847" s="30" t="str">
        <f t="shared" si="35"/>
        <v>AV88141-1 (PL88046-20) 20MM POLOLOCK BRASS PADLOCK</v>
      </c>
      <c r="I847" s="31" t="str">
        <f>VLOOKUP(D847,'[1]NEW PRICE LIST'!$C$4:$D$1917,2,FALSE)</f>
        <v>1200PCS/CTN</v>
      </c>
      <c r="J847" s="13" t="s">
        <v>300</v>
      </c>
      <c r="K847" s="32">
        <f>VLOOKUP(D847,'[1]NEW PRICE LIST'!$C$4:$H$1917,3,FALSE)</f>
        <v>44</v>
      </c>
      <c r="L847" s="13">
        <v>100</v>
      </c>
      <c r="M847" s="13">
        <v>0</v>
      </c>
      <c r="N847" s="13">
        <v>0</v>
      </c>
    </row>
    <row r="848" spans="1:14" x14ac:dyDescent="0.25">
      <c r="A848" s="14" t="str">
        <f t="shared" si="36"/>
        <v>AVT0000847</v>
      </c>
      <c r="B848" s="13" t="str">
        <f>VLOOKUP(D848,'SUPPLIER_ITEMS (1st Tools)'!C1194:D2921,2,FALSE)</f>
        <v>1ST-358-1193</v>
      </c>
      <c r="C848" s="14" t="s">
        <v>34</v>
      </c>
      <c r="D848" s="18" t="s">
        <v>2136</v>
      </c>
      <c r="F848" s="30" t="str">
        <f t="shared" si="35"/>
        <v>AV88141-2 (PL88046-25) 25MM POLOLOCK BRASS PADLOCK</v>
      </c>
      <c r="I848" s="31" t="str">
        <f>VLOOKUP(D848,'[1]NEW PRICE LIST'!$C$4:$D$1917,2,FALSE)</f>
        <v>600PCS/CTN</v>
      </c>
      <c r="J848" s="13" t="s">
        <v>300</v>
      </c>
      <c r="K848" s="32">
        <f>VLOOKUP(D848,'[1]NEW PRICE LIST'!$C$4:$H$1917,3,FALSE)</f>
        <v>46</v>
      </c>
      <c r="L848" s="13">
        <v>100</v>
      </c>
      <c r="M848" s="13">
        <v>0</v>
      </c>
      <c r="N848" s="13">
        <v>0</v>
      </c>
    </row>
    <row r="849" spans="1:14" x14ac:dyDescent="0.25">
      <c r="A849" s="14" t="str">
        <f t="shared" si="36"/>
        <v>AVT0000848</v>
      </c>
      <c r="B849" s="13" t="str">
        <f>VLOOKUP(D849,'SUPPLIER_ITEMS (1st Tools)'!C1195:D2922,2,FALSE)</f>
        <v>1ST-358-1194</v>
      </c>
      <c r="C849" s="14" t="s">
        <v>34</v>
      </c>
      <c r="D849" s="18" t="s">
        <v>2137</v>
      </c>
      <c r="F849" s="30" t="str">
        <f t="shared" si="35"/>
        <v>AV88141-3 (PL88046-30) 30MM POLOLOCK BRASS PADLOCK</v>
      </c>
      <c r="I849" s="31" t="str">
        <f>VLOOKUP(D849,'[1]NEW PRICE LIST'!$C$4:$D$1917,2,FALSE)</f>
        <v>480PCS/CTN</v>
      </c>
      <c r="J849" s="13" t="s">
        <v>300</v>
      </c>
      <c r="K849" s="32">
        <f>VLOOKUP(D849,'[1]NEW PRICE LIST'!$C$4:$H$1917,3,FALSE)</f>
        <v>55</v>
      </c>
      <c r="L849" s="13">
        <v>100</v>
      </c>
      <c r="M849" s="13">
        <v>0</v>
      </c>
      <c r="N849" s="13">
        <v>0</v>
      </c>
    </row>
    <row r="850" spans="1:14" x14ac:dyDescent="0.25">
      <c r="A850" s="14" t="str">
        <f t="shared" si="36"/>
        <v>AVT0000849</v>
      </c>
      <c r="B850" s="13" t="str">
        <f>VLOOKUP(D850,'SUPPLIER_ITEMS (1st Tools)'!C1196:D2923,2,FALSE)</f>
        <v>1ST-358-1195</v>
      </c>
      <c r="C850" s="14" t="s">
        <v>34</v>
      </c>
      <c r="D850" s="18" t="s">
        <v>2138</v>
      </c>
      <c r="F850" s="30" t="str">
        <f t="shared" si="35"/>
        <v>AV88141-4 (PL88046-35) 35MM POLOLOCK BRASS PADLOCK</v>
      </c>
      <c r="I850" s="31" t="str">
        <f>VLOOKUP(D850,'[1]NEW PRICE LIST'!$C$4:$D$1917,2,FALSE)</f>
        <v>360PCS/CTN</v>
      </c>
      <c r="J850" s="13" t="s">
        <v>300</v>
      </c>
      <c r="K850" s="32">
        <f>VLOOKUP(D850,'[1]NEW PRICE LIST'!$C$4:$H$1917,3,FALSE)</f>
        <v>70</v>
      </c>
      <c r="L850" s="13">
        <v>100</v>
      </c>
      <c r="M850" s="13">
        <v>0</v>
      </c>
      <c r="N850" s="13">
        <v>0</v>
      </c>
    </row>
    <row r="851" spans="1:14" x14ac:dyDescent="0.25">
      <c r="A851" s="14" t="str">
        <f t="shared" si="36"/>
        <v>AVT0000850</v>
      </c>
      <c r="B851" s="13" t="str">
        <f>VLOOKUP(D851,'SUPPLIER_ITEMS (1st Tools)'!C1197:D2924,2,FALSE)</f>
        <v>1ST-358-1196</v>
      </c>
      <c r="C851" s="14" t="s">
        <v>34</v>
      </c>
      <c r="D851" s="18" t="s">
        <v>2139</v>
      </c>
      <c r="F851" s="30" t="str">
        <f t="shared" si="35"/>
        <v>AV88141-5 (PL88046-40) 40MM POLOLOCK BRASS PADLOCK</v>
      </c>
      <c r="I851" s="31" t="str">
        <f>VLOOKUP(D851,'[1]NEW PRICE LIST'!$C$4:$D$1917,2,FALSE)</f>
        <v>240PCS/CTN</v>
      </c>
      <c r="J851" s="13" t="s">
        <v>300</v>
      </c>
      <c r="K851" s="32">
        <f>VLOOKUP(D851,'[1]NEW PRICE LIST'!$C$4:$H$1917,3,FALSE)</f>
        <v>83</v>
      </c>
      <c r="L851" s="13">
        <v>100</v>
      </c>
      <c r="M851" s="13">
        <v>0</v>
      </c>
      <c r="N851" s="13">
        <v>0</v>
      </c>
    </row>
    <row r="852" spans="1:14" x14ac:dyDescent="0.25">
      <c r="A852" s="14" t="str">
        <f t="shared" si="36"/>
        <v>AVT0000851</v>
      </c>
      <c r="B852" s="13" t="str">
        <f>VLOOKUP(D852,'SUPPLIER_ITEMS (1st Tools)'!C1198:D2925,2,FALSE)</f>
        <v>1ST-358-1197</v>
      </c>
      <c r="C852" s="14" t="s">
        <v>34</v>
      </c>
      <c r="D852" s="18" t="s">
        <v>2140</v>
      </c>
      <c r="F852" s="30" t="str">
        <f t="shared" si="35"/>
        <v>AV88141-6 (PL88046-45) 45MM POLOLOCK BRASS PADLOCK</v>
      </c>
      <c r="I852" s="31" t="str">
        <f>VLOOKUP(D852,'[1]NEW PRICE LIST'!$C$4:$D$1917,2,FALSE)</f>
        <v>240PCS/CTN</v>
      </c>
      <c r="J852" s="13" t="s">
        <v>300</v>
      </c>
      <c r="K852" s="32">
        <f>VLOOKUP(D852,'[1]NEW PRICE LIST'!$C$4:$H$1917,3,FALSE)</f>
        <v>114</v>
      </c>
      <c r="L852" s="13">
        <v>100</v>
      </c>
      <c r="M852" s="13">
        <v>0</v>
      </c>
      <c r="N852" s="13">
        <v>0</v>
      </c>
    </row>
    <row r="853" spans="1:14" x14ac:dyDescent="0.25">
      <c r="A853" s="14" t="str">
        <f t="shared" si="36"/>
        <v>AVT0000852</v>
      </c>
      <c r="B853" s="13" t="str">
        <f>VLOOKUP(D853,'SUPPLIER_ITEMS (1st Tools)'!C1199:D2926,2,FALSE)</f>
        <v>1ST-358-1198</v>
      </c>
      <c r="C853" s="14" t="s">
        <v>34</v>
      </c>
      <c r="D853" s="18" t="s">
        <v>2141</v>
      </c>
      <c r="F853" s="30" t="str">
        <f t="shared" si="35"/>
        <v>AV88141-7 (PL88046-50) 50MM POLOLOCK BRASS PADLOCK</v>
      </c>
      <c r="I853" s="31" t="str">
        <f>VLOOKUP(D853,'[1]NEW PRICE LIST'!$C$4:$D$1917,2,FALSE)</f>
        <v>120PCS/CTN</v>
      </c>
      <c r="J853" s="13" t="s">
        <v>300</v>
      </c>
      <c r="K853" s="32">
        <f>VLOOKUP(D853,'[1]NEW PRICE LIST'!$C$4:$H$1917,3,FALSE)</f>
        <v>129</v>
      </c>
      <c r="L853" s="13">
        <v>100</v>
      </c>
      <c r="M853" s="13">
        <v>0</v>
      </c>
      <c r="N853" s="13">
        <v>0</v>
      </c>
    </row>
    <row r="854" spans="1:14" x14ac:dyDescent="0.25">
      <c r="A854" s="14" t="str">
        <f t="shared" si="36"/>
        <v>AVT0000853</v>
      </c>
      <c r="B854" s="13" t="str">
        <f>VLOOKUP(D854,'SUPPLIER_ITEMS (1st Tools)'!C1200:D2927,2,FALSE)</f>
        <v>1ST-358-1199</v>
      </c>
      <c r="C854" s="14" t="s">
        <v>34</v>
      </c>
      <c r="D854" s="18" t="s">
        <v>2142</v>
      </c>
      <c r="F854" s="30" t="str">
        <f t="shared" si="35"/>
        <v>AV88141-8 (PL88046-60) 60MM POLOLOCK BRASS PADLOCK</v>
      </c>
      <c r="I854" s="31" t="str">
        <f>VLOOKUP(D854,'[1]NEW PRICE LIST'!$C$4:$D$1917,2,FALSE)</f>
        <v>120PCS/CTN</v>
      </c>
      <c r="J854" s="13" t="s">
        <v>300</v>
      </c>
      <c r="K854" s="32">
        <f>VLOOKUP(D854,'[1]NEW PRICE LIST'!$C$4:$H$1917,3,FALSE)</f>
        <v>160</v>
      </c>
      <c r="L854" s="13">
        <v>100</v>
      </c>
      <c r="M854" s="13">
        <v>0</v>
      </c>
      <c r="N854" s="13">
        <v>0</v>
      </c>
    </row>
    <row r="855" spans="1:14" ht="26.4" x14ac:dyDescent="0.25">
      <c r="A855" s="14" t="str">
        <f t="shared" si="36"/>
        <v>AVT0000854</v>
      </c>
      <c r="B855" s="13" t="str">
        <f>VLOOKUP(D855,'SUPPLIER_ITEMS (1st Tools)'!C1201:D2928,2,FALSE)</f>
        <v>1ST-358-1200</v>
      </c>
      <c r="C855" s="14" t="s">
        <v>35</v>
      </c>
      <c r="D855" s="18" t="s">
        <v>3854</v>
      </c>
      <c r="F855" s="30" t="str">
        <f t="shared" si="35"/>
        <v>AV88140-00 (PL88014-S20) POLOLOCK HEAVY DUTY BRASS PADLOCK 20MM SHORT SHACKLE</v>
      </c>
      <c r="I855" s="31" t="str">
        <f>VLOOKUP(D855,'[1]NEW PRICE LIST'!$C$4:$D$1917,2,FALSE)</f>
        <v>180PCS/CTN</v>
      </c>
      <c r="J855" s="13" t="s">
        <v>300</v>
      </c>
      <c r="K855" s="32">
        <f>VLOOKUP(D855,'[1]NEW PRICE LIST'!$C$4:$H$1917,3,FALSE)</f>
        <v>69</v>
      </c>
      <c r="L855" s="13">
        <v>100</v>
      </c>
      <c r="M855" s="13">
        <v>0</v>
      </c>
      <c r="N855" s="13">
        <v>0</v>
      </c>
    </row>
    <row r="856" spans="1:14" ht="26.4" x14ac:dyDescent="0.25">
      <c r="A856" s="14" t="str">
        <f t="shared" si="36"/>
        <v>AVT0000855</v>
      </c>
      <c r="B856" s="13" t="str">
        <f>VLOOKUP(D856,'SUPPLIER_ITEMS (1st Tools)'!C1202:D2929,2,FALSE)</f>
        <v>1ST-358-1201</v>
      </c>
      <c r="C856" s="14" t="s">
        <v>35</v>
      </c>
      <c r="D856" s="18" t="s">
        <v>3855</v>
      </c>
      <c r="F856" s="30" t="str">
        <f t="shared" si="35"/>
        <v>AV88140-01 (PL88014-S25) POLOLOCK HEAVY DUTY BRASS PADLOCK 25MM SHORT SHACKLE</v>
      </c>
      <c r="I856" s="31" t="str">
        <f>VLOOKUP(D856,'[1]NEW PRICE LIST'!$C$4:$D$1917,2,FALSE)</f>
        <v>180PCS/CTN</v>
      </c>
      <c r="J856" s="13" t="s">
        <v>300</v>
      </c>
      <c r="K856" s="32">
        <f>VLOOKUP(D856,'[1]NEW PRICE LIST'!$C$4:$H$1917,3,FALSE)</f>
        <v>85</v>
      </c>
      <c r="L856" s="13">
        <v>100</v>
      </c>
      <c r="M856" s="13">
        <v>0</v>
      </c>
      <c r="N856" s="13">
        <v>0</v>
      </c>
    </row>
    <row r="857" spans="1:14" ht="26.4" x14ac:dyDescent="0.25">
      <c r="A857" s="14" t="str">
        <f t="shared" si="36"/>
        <v>AVT0000856</v>
      </c>
      <c r="B857" s="13" t="str">
        <f>VLOOKUP(D857,'SUPPLIER_ITEMS (1st Tools)'!C1203:D2930,2,FALSE)</f>
        <v>1ST-358-1202</v>
      </c>
      <c r="C857" s="14" t="s">
        <v>35</v>
      </c>
      <c r="D857" s="18" t="s">
        <v>2143</v>
      </c>
      <c r="F857" s="30" t="str">
        <f t="shared" si="35"/>
        <v>AV88140-02 (PL88014-S30) POLOLOCK HEAVY DUTY BRASS PADLOCK 30MM SHORT SHACKLE</v>
      </c>
      <c r="I857" s="31" t="str">
        <f>VLOOKUP(D857,'[1]NEW PRICE LIST'!$C$4:$D$1917,2,FALSE)</f>
        <v>120PCS/CTN</v>
      </c>
      <c r="J857" s="13" t="s">
        <v>300</v>
      </c>
      <c r="K857" s="32">
        <f>VLOOKUP(D857,'[1]NEW PRICE LIST'!$C$4:$H$1917,3,FALSE)</f>
        <v>125</v>
      </c>
      <c r="L857" s="13">
        <v>100</v>
      </c>
      <c r="M857" s="13">
        <v>0</v>
      </c>
      <c r="N857" s="13">
        <v>0</v>
      </c>
    </row>
    <row r="858" spans="1:14" ht="26.4" x14ac:dyDescent="0.25">
      <c r="A858" s="14" t="str">
        <f t="shared" si="36"/>
        <v>AVT0000857</v>
      </c>
      <c r="B858" s="13" t="str">
        <f>VLOOKUP(D858,'SUPPLIER_ITEMS (1st Tools)'!C1204:D2931,2,FALSE)</f>
        <v>1ST-358-1203</v>
      </c>
      <c r="C858" s="14" t="s">
        <v>35</v>
      </c>
      <c r="D858" s="18" t="s">
        <v>3856</v>
      </c>
      <c r="F858" s="30" t="str">
        <f t="shared" si="35"/>
        <v>AV88140-03 (PL88014-S40) POLOLOCK HEAVY DUTY BRASS PADLOCK 40MM SHORT SHACKLE</v>
      </c>
      <c r="I858" s="31" t="str">
        <f>VLOOKUP(D858,'[1]NEW PRICE LIST'!$C$4:$D$1917,2,FALSE)</f>
        <v>120PCS/CTN</v>
      </c>
      <c r="J858" s="13" t="s">
        <v>300</v>
      </c>
      <c r="K858" s="32">
        <f>VLOOKUP(D858,'[1]NEW PRICE LIST'!$C$4:$H$1917,3,FALSE)</f>
        <v>172</v>
      </c>
      <c r="L858" s="13">
        <v>100</v>
      </c>
      <c r="M858" s="13">
        <v>0</v>
      </c>
      <c r="N858" s="13">
        <v>0</v>
      </c>
    </row>
    <row r="859" spans="1:14" ht="26.4" x14ac:dyDescent="0.25">
      <c r="A859" s="14" t="str">
        <f t="shared" si="36"/>
        <v>AVT0000858</v>
      </c>
      <c r="B859" s="13" t="str">
        <f>VLOOKUP(D859,'SUPPLIER_ITEMS (1st Tools)'!C1209:D2936,2,FALSE)</f>
        <v>1ST-358-1208</v>
      </c>
      <c r="C859" s="14" t="s">
        <v>35</v>
      </c>
      <c r="D859" s="18" t="s">
        <v>2148</v>
      </c>
      <c r="F859" s="30" t="str">
        <f t="shared" si="35"/>
        <v>AV88140-08 (PL88014-L30) POLOLOCK HEAVY DUTY BRASS PADLOCK 30MM LONG SHACKLE</v>
      </c>
      <c r="I859" s="31" t="str">
        <f>VLOOKUP(D859,'[1]NEW PRICE LIST'!$C$4:$D$1917,2,FALSE)</f>
        <v>120PCS/CTN</v>
      </c>
      <c r="J859" s="13" t="s">
        <v>300</v>
      </c>
      <c r="K859" s="32">
        <f>VLOOKUP(D859,'[1]NEW PRICE LIST'!$C$4:$H$1917,3,FALSE)</f>
        <v>135</v>
      </c>
      <c r="L859" s="13">
        <v>100</v>
      </c>
      <c r="M859" s="13">
        <v>0</v>
      </c>
      <c r="N859" s="13">
        <v>0</v>
      </c>
    </row>
    <row r="860" spans="1:14" ht="26.4" x14ac:dyDescent="0.25">
      <c r="A860" s="14" t="str">
        <f t="shared" si="36"/>
        <v>AVT0000859</v>
      </c>
      <c r="B860" s="13" t="str">
        <f>VLOOKUP(D860,'SUPPLIER_ITEMS (1st Tools)'!C1213:D2940,2,FALSE)</f>
        <v>1ST-358-1212</v>
      </c>
      <c r="C860" s="14" t="s">
        <v>36</v>
      </c>
      <c r="D860" s="19" t="s">
        <v>2153</v>
      </c>
      <c r="F860" s="30" t="str">
        <f t="shared" si="35"/>
        <v>AV88130-1 (PL88049-S40) POLOLOCK WATERPROOF PADLOCK SHORT SHACKLE 40MM</v>
      </c>
      <c r="I860" s="31" t="str">
        <f>VLOOKUP(D860,'[1]NEW PRICE LIST'!$C$4:$D$1917,2,FALSE)</f>
        <v>48PCS/CTN</v>
      </c>
      <c r="J860" s="13" t="s">
        <v>300</v>
      </c>
      <c r="K860" s="32">
        <f>VLOOKUP(D860,'[1]NEW PRICE LIST'!$C$4:$H$1917,3,FALSE)</f>
        <v>165</v>
      </c>
      <c r="L860" s="13">
        <v>100</v>
      </c>
      <c r="M860" s="13">
        <v>0</v>
      </c>
      <c r="N860" s="13">
        <v>0</v>
      </c>
    </row>
    <row r="861" spans="1:14" ht="26.4" x14ac:dyDescent="0.25">
      <c r="A861" s="14" t="str">
        <f t="shared" si="36"/>
        <v>AVT0000860</v>
      </c>
      <c r="B861" s="13" t="str">
        <f>VLOOKUP(D861,'SUPPLIER_ITEMS (1st Tools)'!C1214:D2941,2,FALSE)</f>
        <v>1ST-358-1213</v>
      </c>
      <c r="C861" s="14" t="s">
        <v>36</v>
      </c>
      <c r="D861" s="18" t="s">
        <v>2154</v>
      </c>
      <c r="F861" s="30" t="str">
        <f t="shared" si="35"/>
        <v>AV88130-2 (PL88049-S50) POLOLOCK WATERPROOF PADLOCK SHORT SHACKLE 50MM</v>
      </c>
      <c r="I861" s="31" t="str">
        <f>VLOOKUP(D861,'[1]NEW PRICE LIST'!$C$4:$D$1917,2,FALSE)</f>
        <v>48PCS/CTN</v>
      </c>
      <c r="J861" s="13" t="s">
        <v>300</v>
      </c>
      <c r="K861" s="32">
        <f>VLOOKUP(D861,'[1]NEW PRICE LIST'!$C$4:$H$1917,3,FALSE)</f>
        <v>200</v>
      </c>
      <c r="L861" s="13">
        <v>100</v>
      </c>
      <c r="M861" s="13">
        <v>0</v>
      </c>
      <c r="N861" s="13">
        <v>0</v>
      </c>
    </row>
    <row r="862" spans="1:14" ht="26.4" x14ac:dyDescent="0.25">
      <c r="A862" s="14" t="str">
        <f t="shared" si="36"/>
        <v>AVT0000861</v>
      </c>
      <c r="B862" s="13" t="str">
        <f>VLOOKUP(D862,'SUPPLIER_ITEMS (1st Tools)'!C1215:D2942,2,FALSE)</f>
        <v>1ST-358-1214</v>
      </c>
      <c r="C862" s="14" t="s">
        <v>36</v>
      </c>
      <c r="D862" s="18" t="s">
        <v>2156</v>
      </c>
      <c r="F862" s="30" t="str">
        <f t="shared" si="35"/>
        <v>AV88130-3 (PL88049-L40) POLOLOCK WATERPROOF PADLOCK LONG SHACKLE 40MM</v>
      </c>
      <c r="I862" s="31" t="str">
        <f>VLOOKUP(D862,'[1]NEW PRICE LIST'!$C$4:$D$1917,2,FALSE)</f>
        <v>48PCS/CTN</v>
      </c>
      <c r="J862" s="13" t="s">
        <v>300</v>
      </c>
      <c r="K862" s="32">
        <f>VLOOKUP(D862,'[1]NEW PRICE LIST'!$C$4:$H$1917,3,FALSE)</f>
        <v>170</v>
      </c>
      <c r="L862" s="13">
        <v>100</v>
      </c>
      <c r="M862" s="13">
        <v>0</v>
      </c>
      <c r="N862" s="13">
        <v>0</v>
      </c>
    </row>
    <row r="863" spans="1:14" ht="26.4" x14ac:dyDescent="0.25">
      <c r="A863" s="14" t="str">
        <f t="shared" si="36"/>
        <v>AVT0000862</v>
      </c>
      <c r="B863" s="13" t="str">
        <f>VLOOKUP(D863,'SUPPLIER_ITEMS (1st Tools)'!C1216:D2943,2,FALSE)</f>
        <v>1ST-358-1215</v>
      </c>
      <c r="C863" s="14" t="s">
        <v>36</v>
      </c>
      <c r="D863" s="18" t="s">
        <v>2158</v>
      </c>
      <c r="F863" s="30" t="str">
        <f t="shared" si="35"/>
        <v>AV88130-4 (PL88049-L50) POLOLOCK WATERPROOF PADLOCK LONG SHACKLE 50MM</v>
      </c>
      <c r="I863" s="31" t="str">
        <f>VLOOKUP(D863,'[1]NEW PRICE LIST'!$C$4:$D$1917,2,FALSE)</f>
        <v>48PCS/CTN</v>
      </c>
      <c r="J863" s="13" t="s">
        <v>300</v>
      </c>
      <c r="K863" s="32">
        <f>VLOOKUP(D863,'[1]NEW PRICE LIST'!$C$4:$H$1917,3,FALSE)</f>
        <v>210</v>
      </c>
      <c r="L863" s="13">
        <v>100</v>
      </c>
      <c r="M863" s="13">
        <v>0</v>
      </c>
      <c r="N863" s="13">
        <v>0</v>
      </c>
    </row>
    <row r="864" spans="1:14" ht="26.4" x14ac:dyDescent="0.25">
      <c r="A864" s="14" t="str">
        <f t="shared" si="36"/>
        <v>AVT0000863</v>
      </c>
      <c r="B864" s="13" t="str">
        <f>VLOOKUP(D864,'SUPPLIER_ITEMS (1st Tools)'!C1217:D2944,2,FALSE)</f>
        <v>1ST-358-1216</v>
      </c>
      <c r="C864" s="14" t="s">
        <v>37</v>
      </c>
      <c r="D864" s="18" t="s">
        <v>3858</v>
      </c>
      <c r="F864" s="30" t="str">
        <f t="shared" si="35"/>
        <v>AV88120-5 (PL88009-L30) POLOLOCK LAMINATED PADLOCK 30MM LONG SHACKLE</v>
      </c>
      <c r="I864" s="31" t="str">
        <f>VLOOKUP(D864,'[1]NEW PRICE LIST'!$C$4:$D$1917,2,FALSE)</f>
        <v>96PCS/CTN</v>
      </c>
      <c r="J864" s="13" t="s">
        <v>300</v>
      </c>
      <c r="K864" s="32">
        <f>VLOOKUP(D864,'[1]NEW PRICE LIST'!$C$4:$H$1917,3,FALSE)</f>
        <v>86</v>
      </c>
      <c r="L864" s="13">
        <v>100</v>
      </c>
      <c r="M864" s="13">
        <v>0</v>
      </c>
      <c r="N864" s="13">
        <v>0</v>
      </c>
    </row>
    <row r="865" spans="1:14" ht="26.4" x14ac:dyDescent="0.25">
      <c r="A865" s="14" t="str">
        <f t="shared" si="36"/>
        <v>AVT0000864</v>
      </c>
      <c r="B865" s="13" t="str">
        <f>VLOOKUP(D865,'SUPPLIER_ITEMS (1st Tools)'!C1218:D2945,2,FALSE)</f>
        <v>1ST-358-1217</v>
      </c>
      <c r="C865" s="14" t="s">
        <v>37</v>
      </c>
      <c r="D865" s="18" t="s">
        <v>3859</v>
      </c>
      <c r="F865" s="30" t="str">
        <f t="shared" si="35"/>
        <v>AV88120-6 (PL88009-L40) POLOLOCK LAMINATED PADLOCK 40MM LONG SHACKLE</v>
      </c>
      <c r="I865" s="31" t="str">
        <f>VLOOKUP(D865,'[1]NEW PRICE LIST'!$C$4:$D$1917,2,FALSE)</f>
        <v>72PCS/CTN</v>
      </c>
      <c r="J865" s="13" t="s">
        <v>300</v>
      </c>
      <c r="K865" s="32">
        <f>VLOOKUP(D865,'[1]NEW PRICE LIST'!$C$4:$H$1917,3,FALSE)</f>
        <v>120</v>
      </c>
      <c r="L865" s="13">
        <v>100</v>
      </c>
      <c r="M865" s="13">
        <v>0</v>
      </c>
      <c r="N865" s="13">
        <v>0</v>
      </c>
    </row>
    <row r="866" spans="1:14" ht="26.4" x14ac:dyDescent="0.25">
      <c r="A866" s="14" t="str">
        <f t="shared" si="36"/>
        <v>AVT0000865</v>
      </c>
      <c r="B866" s="13" t="str">
        <f>VLOOKUP(D866,'SUPPLIER_ITEMS (1st Tools)'!C1219:D2946,2,FALSE)</f>
        <v>1ST-358-1218</v>
      </c>
      <c r="C866" s="14" t="s">
        <v>37</v>
      </c>
      <c r="D866" s="18" t="s">
        <v>3860</v>
      </c>
      <c r="F866" s="30" t="str">
        <f t="shared" ref="F866:F901" si="37">"AV"&amp;RIGHT(D866,LEN(D866)-2)</f>
        <v>AV88120-7 (PL88009-L50) POLOLOCK LAMINATED PADLOCK 50MM LONG SHACKLE</v>
      </c>
      <c r="I866" s="31" t="str">
        <f>VLOOKUP(D866,'[1]NEW PRICE LIST'!$C$4:$D$1917,2,FALSE)</f>
        <v>48PCS/CTN</v>
      </c>
      <c r="J866" s="13" t="s">
        <v>300</v>
      </c>
      <c r="K866" s="32">
        <f>VLOOKUP(D866,'[1]NEW PRICE LIST'!$C$4:$H$1917,3,FALSE)</f>
        <v>180</v>
      </c>
      <c r="L866" s="13">
        <v>100</v>
      </c>
      <c r="M866" s="13">
        <v>0</v>
      </c>
      <c r="N866" s="13">
        <v>0</v>
      </c>
    </row>
    <row r="867" spans="1:14" ht="26.4" x14ac:dyDescent="0.25">
      <c r="A867" s="14" t="str">
        <f t="shared" si="36"/>
        <v>AVT0000866</v>
      </c>
      <c r="B867" s="13" t="str">
        <f>VLOOKUP(D867,'SUPPLIER_ITEMS (1st Tools)'!C1220:D2947,2,FALSE)</f>
        <v>1ST-358-1219</v>
      </c>
      <c r="C867" s="14" t="s">
        <v>37</v>
      </c>
      <c r="D867" s="18" t="s">
        <v>3861</v>
      </c>
      <c r="F867" s="30" t="str">
        <f t="shared" si="37"/>
        <v>AV88120-8 (PL88009-L65) POLOLOCK LAMINATED PADLOCK 65MM LONG SHACKLE</v>
      </c>
      <c r="I867" s="31" t="str">
        <f>VLOOKUP(D867,'[1]NEW PRICE LIST'!$C$4:$D$1917,2,FALSE)</f>
        <v>24PCS/CTN</v>
      </c>
      <c r="J867" s="13" t="s">
        <v>300</v>
      </c>
      <c r="K867" s="32">
        <f>VLOOKUP(D867,'[1]NEW PRICE LIST'!$C$4:$H$1917,3,FALSE)</f>
        <v>318</v>
      </c>
      <c r="L867" s="13">
        <v>100</v>
      </c>
      <c r="M867" s="13">
        <v>0</v>
      </c>
      <c r="N867" s="13">
        <v>0</v>
      </c>
    </row>
    <row r="868" spans="1:14" ht="26.4" x14ac:dyDescent="0.25">
      <c r="A868" s="14" t="str">
        <f t="shared" si="36"/>
        <v>AVT0000867</v>
      </c>
      <c r="B868" s="13" t="str">
        <f>VLOOKUP(D868,'SUPPLIER_ITEMS (1st Tools)'!C1221:D2948,2,FALSE)</f>
        <v>1ST-358-1220</v>
      </c>
      <c r="C868" s="14" t="s">
        <v>38</v>
      </c>
      <c r="D868" s="18" t="s">
        <v>3862</v>
      </c>
      <c r="F868" s="30" t="str">
        <f t="shared" si="37"/>
        <v>AV88120-1 (PL88009-S30) POLOLOCK LAMINATED PADLOCK 30MM SHORT SHACKLE</v>
      </c>
      <c r="I868" s="31" t="str">
        <f>VLOOKUP(D868,'[1]NEW PRICE LIST'!$C$4:$D$1917,2,FALSE)</f>
        <v>96PCS/CTN</v>
      </c>
      <c r="J868" s="13" t="s">
        <v>300</v>
      </c>
      <c r="K868" s="32">
        <f>VLOOKUP(D868,'[1]NEW PRICE LIST'!$C$4:$H$1917,3,FALSE)</f>
        <v>82</v>
      </c>
      <c r="L868" s="13">
        <v>100</v>
      </c>
      <c r="M868" s="13">
        <v>0</v>
      </c>
      <c r="N868" s="13">
        <v>0</v>
      </c>
    </row>
    <row r="869" spans="1:14" ht="26.4" x14ac:dyDescent="0.25">
      <c r="A869" s="14" t="str">
        <f t="shared" si="36"/>
        <v>AVT0000868</v>
      </c>
      <c r="B869" s="13" t="str">
        <f>VLOOKUP(D869,'SUPPLIER_ITEMS (1st Tools)'!C1222:D2949,2,FALSE)</f>
        <v>1ST-358-1221</v>
      </c>
      <c r="C869" s="14" t="s">
        <v>38</v>
      </c>
      <c r="D869" s="18" t="s">
        <v>2160</v>
      </c>
      <c r="F869" s="30" t="str">
        <f t="shared" si="37"/>
        <v>AV88120-2 (PL88009-S40) POLOLOCK LAMINATED PADLOCK 40MM SHORT SHACKLE</v>
      </c>
      <c r="I869" s="31" t="str">
        <f>VLOOKUP(D869,'[1]NEW PRICE LIST'!$C$4:$D$1917,2,FALSE)</f>
        <v>72PCS/CTN</v>
      </c>
      <c r="J869" s="13" t="s">
        <v>300</v>
      </c>
      <c r="K869" s="32">
        <f>VLOOKUP(D869,'[1]NEW PRICE LIST'!$C$4:$H$1917,3,FALSE)</f>
        <v>115</v>
      </c>
      <c r="L869" s="13">
        <v>100</v>
      </c>
      <c r="M869" s="13">
        <v>0</v>
      </c>
      <c r="N869" s="13">
        <v>0</v>
      </c>
    </row>
    <row r="870" spans="1:14" ht="26.4" x14ac:dyDescent="0.25">
      <c r="A870" s="14" t="str">
        <f t="shared" si="36"/>
        <v>AVT0000869</v>
      </c>
      <c r="B870" s="13" t="str">
        <f>VLOOKUP(D870,'SUPPLIER_ITEMS (1st Tools)'!C1223:D2950,2,FALSE)</f>
        <v>1ST-358-1222</v>
      </c>
      <c r="C870" s="14" t="s">
        <v>38</v>
      </c>
      <c r="D870" s="18" t="s">
        <v>2161</v>
      </c>
      <c r="F870" s="30" t="str">
        <f t="shared" si="37"/>
        <v>AV88120-3 (PL88009-S50) POLOLOCK LAMINATED PADLOCK 50MM SHORT SHACKLE</v>
      </c>
      <c r="I870" s="31" t="str">
        <f>VLOOKUP(D870,'[1]NEW PRICE LIST'!$C$4:$D$1917,2,FALSE)</f>
        <v>48PCS/CTN</v>
      </c>
      <c r="J870" s="13" t="s">
        <v>300</v>
      </c>
      <c r="K870" s="32">
        <f>VLOOKUP(D870,'[1]NEW PRICE LIST'!$C$4:$H$1917,3,FALSE)</f>
        <v>170</v>
      </c>
      <c r="L870" s="13">
        <v>100</v>
      </c>
      <c r="M870" s="13">
        <v>0</v>
      </c>
      <c r="N870" s="13">
        <v>0</v>
      </c>
    </row>
    <row r="871" spans="1:14" ht="26.4" x14ac:dyDescent="0.25">
      <c r="A871" s="14" t="str">
        <f t="shared" si="36"/>
        <v>AVT0000870</v>
      </c>
      <c r="B871" s="13" t="str">
        <f>VLOOKUP(D871,'SUPPLIER_ITEMS (1st Tools)'!C1224:D2951,2,FALSE)</f>
        <v>1ST-358-1223</v>
      </c>
      <c r="C871" s="14" t="s">
        <v>38</v>
      </c>
      <c r="D871" s="18" t="s">
        <v>2163</v>
      </c>
      <c r="F871" s="30" t="str">
        <f t="shared" si="37"/>
        <v>AV88120-4 (PL88009-S65) POLOLOCK LAMINATED PADLOCK 65MM SHORT SHACKLE</v>
      </c>
      <c r="I871" s="31" t="str">
        <f>VLOOKUP(D871,'[1]NEW PRICE LIST'!$C$4:$D$1917,2,FALSE)</f>
        <v>24PCS/CTN</v>
      </c>
      <c r="J871" s="13" t="s">
        <v>300</v>
      </c>
      <c r="K871" s="32">
        <f>VLOOKUP(D871,'[1]NEW PRICE LIST'!$C$4:$H$1917,3,FALSE)</f>
        <v>300</v>
      </c>
      <c r="L871" s="13">
        <v>100</v>
      </c>
      <c r="M871" s="13">
        <v>0</v>
      </c>
      <c r="N871" s="13">
        <v>0</v>
      </c>
    </row>
    <row r="872" spans="1:14" x14ac:dyDescent="0.25">
      <c r="A872" s="14" t="str">
        <f t="shared" si="36"/>
        <v>AVT0000871</v>
      </c>
      <c r="B872" s="13" t="str">
        <f>VLOOKUP(D872,'SUPPLIER_ITEMS (1st Tools)'!C1225:D2952,2,FALSE)</f>
        <v>1ST-358-1224</v>
      </c>
      <c r="C872" s="14" t="s">
        <v>39</v>
      </c>
      <c r="D872" s="18" t="s">
        <v>2165</v>
      </c>
      <c r="F872" s="30" t="str">
        <f t="shared" si="37"/>
        <v>AV88110-1 4X5 POLOLOCK SHELF BRACKET</v>
      </c>
      <c r="I872" s="31" t="str">
        <f>VLOOKUP(D872,'[1]NEW PRICE LIST'!$C$4:$D$1917,2,FALSE)</f>
        <v>12DP/CTN</v>
      </c>
      <c r="J872" s="13" t="s">
        <v>3979</v>
      </c>
      <c r="K872" s="32">
        <f>VLOOKUP(D872,'[1]NEW PRICE LIST'!$C$4:$H$1917,3,FALSE)</f>
        <v>260</v>
      </c>
      <c r="L872" s="13">
        <v>100</v>
      </c>
      <c r="M872" s="13">
        <v>0</v>
      </c>
      <c r="N872" s="13">
        <v>0</v>
      </c>
    </row>
    <row r="873" spans="1:14" x14ac:dyDescent="0.25">
      <c r="A873" s="14" t="str">
        <f t="shared" si="36"/>
        <v>AVT0000872</v>
      </c>
      <c r="B873" s="13" t="str">
        <f>VLOOKUP(D873,'SUPPLIER_ITEMS (1st Tools)'!C1226:D2953,2,FALSE)</f>
        <v>1ST-358-1225</v>
      </c>
      <c r="C873" s="14" t="s">
        <v>39</v>
      </c>
      <c r="D873" s="18" t="s">
        <v>2167</v>
      </c>
      <c r="F873" s="30" t="str">
        <f t="shared" si="37"/>
        <v>AV88110-2 5X6 POLOLOCK SHELF BRACKET</v>
      </c>
      <c r="I873" s="31" t="str">
        <f>VLOOKUP(D873,'[1]NEW PRICE LIST'!$C$4:$D$1917,2,FALSE)</f>
        <v>12DP/CTN</v>
      </c>
      <c r="J873" s="13" t="s">
        <v>3979</v>
      </c>
      <c r="K873" s="32">
        <f>VLOOKUP(D873,'[1]NEW PRICE LIST'!$C$4:$H$1917,3,FALSE)</f>
        <v>280</v>
      </c>
      <c r="L873" s="13">
        <v>100</v>
      </c>
      <c r="M873" s="13">
        <v>0</v>
      </c>
      <c r="N873" s="13">
        <v>0</v>
      </c>
    </row>
    <row r="874" spans="1:14" x14ac:dyDescent="0.25">
      <c r="A874" s="14" t="str">
        <f t="shared" si="36"/>
        <v>AVT0000873</v>
      </c>
      <c r="B874" s="13" t="str">
        <f>VLOOKUP(D874,'SUPPLIER_ITEMS (1st Tools)'!C1227:D2954,2,FALSE)</f>
        <v>1ST-358-1226</v>
      </c>
      <c r="C874" s="14" t="s">
        <v>39</v>
      </c>
      <c r="D874" s="18" t="s">
        <v>2169</v>
      </c>
      <c r="F874" s="30" t="str">
        <f t="shared" si="37"/>
        <v>AV88110-3 6X8 POLOLOCK SHELF BRACKET</v>
      </c>
      <c r="I874" s="31" t="str">
        <f>VLOOKUP(D874,'[1]NEW PRICE LIST'!$C$4:$D$1917,2,FALSE)</f>
        <v>12DP/CTN</v>
      </c>
      <c r="J874" s="13" t="s">
        <v>3979</v>
      </c>
      <c r="K874" s="32">
        <f>VLOOKUP(D874,'[1]NEW PRICE LIST'!$C$4:$H$1917,3,FALSE)</f>
        <v>320</v>
      </c>
      <c r="L874" s="13">
        <v>100</v>
      </c>
      <c r="M874" s="13">
        <v>0</v>
      </c>
      <c r="N874" s="13">
        <v>0</v>
      </c>
    </row>
    <row r="875" spans="1:14" x14ac:dyDescent="0.25">
      <c r="A875" s="14" t="str">
        <f t="shared" si="36"/>
        <v>AVT0000874</v>
      </c>
      <c r="B875" s="13" t="str">
        <f>VLOOKUP(D875,'SUPPLIER_ITEMS (1st Tools)'!C1228:D2955,2,FALSE)</f>
        <v>1ST-358-1227</v>
      </c>
      <c r="C875" s="14" t="s">
        <v>39</v>
      </c>
      <c r="D875" s="18" t="s">
        <v>2171</v>
      </c>
      <c r="F875" s="30" t="str">
        <f t="shared" si="37"/>
        <v>AV88110-4 8X10 POLOLOCK SHELF BRACKET</v>
      </c>
      <c r="I875" s="31" t="str">
        <f>VLOOKUP(D875,'[1]NEW PRICE LIST'!$C$4:$D$1917,2,FALSE)</f>
        <v>6DP/CTN</v>
      </c>
      <c r="J875" s="13" t="s">
        <v>3979</v>
      </c>
      <c r="K875" s="32">
        <f>VLOOKUP(D875,'[1]NEW PRICE LIST'!$C$4:$H$1917,3,FALSE)</f>
        <v>390</v>
      </c>
      <c r="L875" s="13">
        <v>100</v>
      </c>
      <c r="M875" s="13">
        <v>0</v>
      </c>
      <c r="N875" s="13">
        <v>0</v>
      </c>
    </row>
    <row r="876" spans="1:14" x14ac:dyDescent="0.25">
      <c r="A876" s="14" t="str">
        <f t="shared" si="36"/>
        <v>AVT0000875</v>
      </c>
      <c r="B876" s="13" t="str">
        <f>VLOOKUP(D876,'SUPPLIER_ITEMS (1st Tools)'!C1229:D2956,2,FALSE)</f>
        <v>1ST-358-1228</v>
      </c>
      <c r="C876" s="14" t="s">
        <v>39</v>
      </c>
      <c r="D876" s="18" t="s">
        <v>2173</v>
      </c>
      <c r="F876" s="30" t="str">
        <f t="shared" si="37"/>
        <v>AV88110-5 10X12 POLOLOCK SHELF BRACKET</v>
      </c>
      <c r="I876" s="31" t="str">
        <f>VLOOKUP(D876,'[1]NEW PRICE LIST'!$C$4:$D$1917,2,FALSE)</f>
        <v>6DP/CTN</v>
      </c>
      <c r="J876" s="13" t="s">
        <v>3979</v>
      </c>
      <c r="K876" s="32">
        <f>VLOOKUP(D876,'[1]NEW PRICE LIST'!$C$4:$H$1917,3,FALSE)</f>
        <v>450</v>
      </c>
      <c r="L876" s="13">
        <v>100</v>
      </c>
      <c r="M876" s="13">
        <v>0</v>
      </c>
      <c r="N876" s="13">
        <v>0</v>
      </c>
    </row>
    <row r="877" spans="1:14" x14ac:dyDescent="0.25">
      <c r="A877" s="14" t="str">
        <f t="shared" si="36"/>
        <v>AVT0000876</v>
      </c>
      <c r="B877" s="13" t="str">
        <f>VLOOKUP(D877,'SUPPLIER_ITEMS (1st Tools)'!C1230:D2957,2,FALSE)</f>
        <v>1ST-358-1229</v>
      </c>
      <c r="C877" s="14" t="s">
        <v>39</v>
      </c>
      <c r="D877" s="18" t="s">
        <v>2175</v>
      </c>
      <c r="F877" s="30" t="str">
        <f t="shared" si="37"/>
        <v>AV88110-6 12X14 POLOLOCK SHELF BRACKET</v>
      </c>
      <c r="I877" s="31" t="str">
        <f>VLOOKUP(D877,'[1]NEW PRICE LIST'!$C$4:$D$1917,2,FALSE)</f>
        <v>6DP/CTN</v>
      </c>
      <c r="J877" s="13" t="s">
        <v>3979</v>
      </c>
      <c r="K877" s="32">
        <f>VLOOKUP(D877,'[1]NEW PRICE LIST'!$C$4:$H$1917,3,FALSE)</f>
        <v>550</v>
      </c>
      <c r="L877" s="13">
        <v>100</v>
      </c>
      <c r="M877" s="13">
        <v>0</v>
      </c>
      <c r="N877" s="13">
        <v>0</v>
      </c>
    </row>
    <row r="878" spans="1:14" ht="26.4" x14ac:dyDescent="0.25">
      <c r="A878" s="14" t="str">
        <f t="shared" si="36"/>
        <v>AVT0000877</v>
      </c>
      <c r="B878" s="13" t="str">
        <f>VLOOKUP(D878,'SUPPLIER_ITEMS (1st Tools)'!C1231:D2958,2,FALSE)</f>
        <v>1ST-358-1230</v>
      </c>
      <c r="C878" s="14" t="s">
        <v>40</v>
      </c>
      <c r="D878" s="19" t="s">
        <v>2177</v>
      </c>
      <c r="F878" s="30" t="str">
        <f t="shared" si="37"/>
        <v>AV88101-1 (PL88024-2) 20-45KG POLOLOCK DOOR CLOSER SILVER</v>
      </c>
      <c r="I878" s="31" t="str">
        <f>VLOOKUP(D878,'[1]NEW PRICE LIST'!$C$4:$D$1917,2,FALSE)</f>
        <v>10PCS/CTN</v>
      </c>
      <c r="J878" s="13" t="s">
        <v>300</v>
      </c>
      <c r="K878" s="32">
        <f>VLOOKUP(D878,'[1]NEW PRICE LIST'!$C$4:$H$1917,3,FALSE)</f>
        <v>880</v>
      </c>
      <c r="L878" s="13">
        <v>100</v>
      </c>
      <c r="M878" s="13">
        <v>0</v>
      </c>
      <c r="N878" s="13">
        <v>0</v>
      </c>
    </row>
    <row r="879" spans="1:14" ht="26.4" x14ac:dyDescent="0.25">
      <c r="A879" s="14" t="str">
        <f t="shared" si="36"/>
        <v>AVT0000878</v>
      </c>
      <c r="B879" s="13" t="str">
        <f>VLOOKUP(D879,'SUPPLIER_ITEMS (1st Tools)'!C1232:D2959,2,FALSE)</f>
        <v>1ST-358-1231</v>
      </c>
      <c r="C879" s="14" t="s">
        <v>40</v>
      </c>
      <c r="D879" s="19" t="s">
        <v>3863</v>
      </c>
      <c r="F879" s="30" t="str">
        <f t="shared" si="37"/>
        <v>AV88101-2 (PL88024-4) 40-65KG POLOLOCK DOOR CLOSER SILVER</v>
      </c>
      <c r="I879" s="31" t="str">
        <f>VLOOKUP(D879,'[1]NEW PRICE LIST'!$C$4:$D$1917,2,FALSE)</f>
        <v>10PCS/CTN</v>
      </c>
      <c r="J879" s="13" t="s">
        <v>300</v>
      </c>
      <c r="K879" s="32">
        <f>VLOOKUP(D879,'[1]NEW PRICE LIST'!$C$4:$H$1917,3,FALSE)</f>
        <v>1070</v>
      </c>
      <c r="L879" s="13">
        <v>100</v>
      </c>
      <c r="M879" s="13">
        <v>0</v>
      </c>
      <c r="N879" s="13">
        <v>0</v>
      </c>
    </row>
    <row r="880" spans="1:14" x14ac:dyDescent="0.25">
      <c r="A880" s="14" t="str">
        <f t="shared" si="36"/>
        <v>AVT0000879</v>
      </c>
      <c r="B880" s="13" t="str">
        <f>VLOOKUP(D880,'SUPPLIER_ITEMS (1st Tools)'!C1233:D2960,2,FALSE)</f>
        <v>1ST-358-1232</v>
      </c>
      <c r="C880" s="14" t="s">
        <v>40</v>
      </c>
      <c r="D880" s="19" t="s">
        <v>2180</v>
      </c>
      <c r="F880" s="30" t="str">
        <f t="shared" si="37"/>
        <v>AV88101-3 20-45KG POLOLOCK DOOR CLOSER BROWN</v>
      </c>
      <c r="I880" s="31" t="str">
        <f>VLOOKUP(D880,'[1]NEW PRICE LIST'!$C$4:$D$1917,2,FALSE)</f>
        <v>10PCS/CTN</v>
      </c>
      <c r="J880" s="13" t="s">
        <v>300</v>
      </c>
      <c r="K880" s="32">
        <f>VLOOKUP(D880,'[1]NEW PRICE LIST'!$C$4:$H$1917,3,FALSE)</f>
        <v>880</v>
      </c>
      <c r="L880" s="13">
        <v>100</v>
      </c>
      <c r="M880" s="13">
        <v>0</v>
      </c>
      <c r="N880" s="13">
        <v>0</v>
      </c>
    </row>
    <row r="881" spans="1:16" x14ac:dyDescent="0.25">
      <c r="A881" s="14" t="str">
        <f t="shared" si="36"/>
        <v>AVT0000880</v>
      </c>
      <c r="B881" s="13" t="str">
        <f>VLOOKUP(D881,'SUPPLIER_ITEMS (1st Tools)'!C1234:D2961,2,FALSE)</f>
        <v>1ST-358-1233</v>
      </c>
      <c r="C881" s="14" t="s">
        <v>40</v>
      </c>
      <c r="D881" s="19" t="s">
        <v>2181</v>
      </c>
      <c r="F881" s="30" t="str">
        <f t="shared" si="37"/>
        <v>AV88101-4 40-65KG POLOLOCK DOOR CLOSER BROWN</v>
      </c>
      <c r="I881" s="31" t="str">
        <f>VLOOKUP(D881,'[1]NEW PRICE LIST'!$C$4:$D$1917,2,FALSE)</f>
        <v>10PCS/CTN</v>
      </c>
      <c r="J881" s="13" t="s">
        <v>300</v>
      </c>
      <c r="K881" s="32">
        <f>VLOOKUP(D881,'[1]NEW PRICE LIST'!$C$4:$H$1917,3,FALSE)</f>
        <v>1070</v>
      </c>
      <c r="L881" s="13">
        <v>100</v>
      </c>
      <c r="M881" s="13">
        <v>0</v>
      </c>
      <c r="N881" s="13">
        <v>0</v>
      </c>
    </row>
    <row r="882" spans="1:16" x14ac:dyDescent="0.25">
      <c r="A882" s="14" t="str">
        <f t="shared" si="36"/>
        <v>AVT0000881</v>
      </c>
      <c r="B882" s="13" t="str">
        <f>VLOOKUP(D882,'SUPPLIER_ITEMS (1st Tools)'!C1235:D2962,2,FALSE)</f>
        <v>1ST-358-1234</v>
      </c>
      <c r="C882" s="14" t="s">
        <v>41</v>
      </c>
      <c r="D882" s="18" t="s">
        <v>2182</v>
      </c>
      <c r="F882" s="30" t="str">
        <f t="shared" si="37"/>
        <v>AV88100-1 POLOLOCK SCREEN DOOR CLOSER BROWN</v>
      </c>
      <c r="I882" s="31" t="str">
        <f>VLOOKUP(D882,'[1]NEW PRICE LIST'!$C$4:$D$1917,2,FALSE)</f>
        <v>24PCS/CTN</v>
      </c>
      <c r="J882" s="13" t="s">
        <v>300</v>
      </c>
      <c r="K882" s="32">
        <f>VLOOKUP(D882,'[1]NEW PRICE LIST'!$C$4:$H$1917,3,FALSE)</f>
        <v>240</v>
      </c>
      <c r="L882" s="13">
        <v>100</v>
      </c>
      <c r="M882" s="13">
        <v>0</v>
      </c>
      <c r="N882" s="13">
        <v>0</v>
      </c>
    </row>
    <row r="883" spans="1:16" x14ac:dyDescent="0.25">
      <c r="A883" s="14" t="str">
        <f t="shared" si="36"/>
        <v>AVT0000882</v>
      </c>
      <c r="B883" s="13" t="str">
        <f>VLOOKUP(D883,'SUPPLIER_ITEMS (1st Tools)'!C1236:D2963,2,FALSE)</f>
        <v>1ST-358-1235</v>
      </c>
      <c r="C883" s="14" t="s">
        <v>41</v>
      </c>
      <c r="D883" s="18" t="s">
        <v>2183</v>
      </c>
      <c r="F883" s="30" t="str">
        <f t="shared" si="37"/>
        <v>AV88100-2 POLOLOCK SCREEN DOOR CLOSER SILVER</v>
      </c>
      <c r="I883" s="31" t="str">
        <f>VLOOKUP(D883,'[1]NEW PRICE LIST'!$C$4:$D$1917,2,FALSE)</f>
        <v>24PCS/CTN</v>
      </c>
      <c r="J883" s="13" t="s">
        <v>300</v>
      </c>
      <c r="K883" s="32">
        <f>VLOOKUP(D883,'[1]NEW PRICE LIST'!$C$4:$H$1917,3,FALSE)</f>
        <v>240</v>
      </c>
      <c r="L883" s="13">
        <v>100</v>
      </c>
      <c r="M883" s="13">
        <v>0</v>
      </c>
      <c r="N883" s="13">
        <v>0</v>
      </c>
    </row>
    <row r="884" spans="1:16" x14ac:dyDescent="0.25">
      <c r="A884" s="14" t="str">
        <f t="shared" si="36"/>
        <v>AVT0000883</v>
      </c>
      <c r="B884" s="13" t="str">
        <f>VLOOKUP(D884,'SUPPLIER_ITEMS (1st Tools)'!C1237:D2964,2,FALSE)</f>
        <v>1ST-358-1236</v>
      </c>
      <c r="C884" s="14" t="s">
        <v>42</v>
      </c>
      <c r="D884" s="18" t="s">
        <v>2184</v>
      </c>
      <c r="F884" s="30" t="str">
        <f t="shared" si="37"/>
        <v>AV88093-1 3-FOLD SOFT CLOSING SLIDE MATTE BLACK 12"</v>
      </c>
      <c r="I884" s="31" t="str">
        <f>VLOOKUP(D884,'[1]NEW PRICE LIST'!$C$4:$D$1917,2,FALSE)</f>
        <v>15PAIRS/CTN</v>
      </c>
      <c r="J884" s="13" t="s">
        <v>3975</v>
      </c>
      <c r="K884" s="32">
        <f>VLOOKUP(D884,'[1]NEW PRICE LIST'!$C$4:$H$1917,3,FALSE)</f>
        <v>216</v>
      </c>
      <c r="L884" s="13">
        <v>100</v>
      </c>
      <c r="M884" s="13">
        <v>0</v>
      </c>
      <c r="N884" s="13">
        <v>20</v>
      </c>
      <c r="P884" s="13" t="s">
        <v>3629</v>
      </c>
    </row>
    <row r="885" spans="1:16" x14ac:dyDescent="0.25">
      <c r="A885" s="14" t="str">
        <f t="shared" si="36"/>
        <v>AVT0000884</v>
      </c>
      <c r="B885" s="13" t="str">
        <f>VLOOKUP(D885,'SUPPLIER_ITEMS (1st Tools)'!C1238:D2965,2,FALSE)</f>
        <v>1ST-358-1237</v>
      </c>
      <c r="C885" s="14" t="s">
        <v>42</v>
      </c>
      <c r="D885" s="18" t="s">
        <v>2186</v>
      </c>
      <c r="F885" s="30" t="str">
        <f t="shared" si="37"/>
        <v>AV88093-2 3-FOLD SOFT CLOSING SLIDE MATTE BLACK 14"</v>
      </c>
      <c r="I885" s="31" t="str">
        <f>VLOOKUP(D885,'[1]NEW PRICE LIST'!$C$4:$D$1917,2,FALSE)</f>
        <v>15PAIRS/CTN</v>
      </c>
      <c r="J885" s="13" t="s">
        <v>3975</v>
      </c>
      <c r="K885" s="32">
        <f>VLOOKUP(D885,'[1]NEW PRICE LIST'!$C$4:$H$1917,3,FALSE)</f>
        <v>238</v>
      </c>
      <c r="L885" s="13">
        <v>100</v>
      </c>
      <c r="M885" s="13">
        <v>0</v>
      </c>
      <c r="N885" s="13">
        <v>20</v>
      </c>
      <c r="P885" s="13" t="s">
        <v>3629</v>
      </c>
    </row>
    <row r="886" spans="1:16" x14ac:dyDescent="0.25">
      <c r="A886" s="14" t="str">
        <f t="shared" si="36"/>
        <v>AVT0000885</v>
      </c>
      <c r="B886" s="13" t="str">
        <f>VLOOKUP(D886,'SUPPLIER_ITEMS (1st Tools)'!C1239:D2966,2,FALSE)</f>
        <v>1ST-358-1238</v>
      </c>
      <c r="C886" s="14" t="s">
        <v>42</v>
      </c>
      <c r="D886" s="18" t="s">
        <v>2188</v>
      </c>
      <c r="F886" s="30" t="str">
        <f t="shared" si="37"/>
        <v>AV88093-3 3-FOLD SOFT CLOSING SLIDE MATTE BLACK 16"</v>
      </c>
      <c r="I886" s="31" t="str">
        <f>VLOOKUP(D886,'[1]NEW PRICE LIST'!$C$4:$D$1917,2,FALSE)</f>
        <v>15PAIRS/CTN</v>
      </c>
      <c r="J886" s="13" t="s">
        <v>3975</v>
      </c>
      <c r="K886" s="32">
        <f>VLOOKUP(D886,'[1]NEW PRICE LIST'!$C$4:$H$1917,3,FALSE)</f>
        <v>260</v>
      </c>
      <c r="L886" s="13">
        <v>100</v>
      </c>
      <c r="M886" s="13">
        <v>0</v>
      </c>
      <c r="N886" s="13">
        <v>20</v>
      </c>
      <c r="P886" s="13" t="s">
        <v>3629</v>
      </c>
    </row>
    <row r="887" spans="1:16" x14ac:dyDescent="0.25">
      <c r="A887" s="14" t="str">
        <f t="shared" si="36"/>
        <v>AVT0000886</v>
      </c>
      <c r="B887" s="13" t="str">
        <f>VLOOKUP(D887,'SUPPLIER_ITEMS (1st Tools)'!C1240:D2967,2,FALSE)</f>
        <v>1ST-358-1239</v>
      </c>
      <c r="C887" s="14" t="s">
        <v>42</v>
      </c>
      <c r="D887" s="18" t="s">
        <v>2190</v>
      </c>
      <c r="F887" s="30" t="str">
        <f t="shared" si="37"/>
        <v>AV88093-4 3-FOLD SOFT CLOSING SLIDE MATTE BLACK 18"</v>
      </c>
      <c r="I887" s="31" t="str">
        <f>VLOOKUP(D887,'[1]NEW PRICE LIST'!$C$4:$D$1917,2,FALSE)</f>
        <v>15PAIRS/CTN</v>
      </c>
      <c r="J887" s="13" t="s">
        <v>3975</v>
      </c>
      <c r="K887" s="32">
        <f>VLOOKUP(D887,'[1]NEW PRICE LIST'!$C$4:$H$1917,3,FALSE)</f>
        <v>282</v>
      </c>
      <c r="L887" s="13">
        <v>100</v>
      </c>
      <c r="M887" s="13">
        <v>0</v>
      </c>
      <c r="N887" s="13">
        <v>20</v>
      </c>
      <c r="P887" s="13" t="s">
        <v>3629</v>
      </c>
    </row>
    <row r="888" spans="1:16" x14ac:dyDescent="0.25">
      <c r="A888" s="14" t="str">
        <f t="shared" si="36"/>
        <v>AVT0000887</v>
      </c>
      <c r="B888" s="13" t="str">
        <f>VLOOKUP(D888,'SUPPLIER_ITEMS (1st Tools)'!C1241:D2968,2,FALSE)</f>
        <v>1ST-358-1240</v>
      </c>
      <c r="C888" s="14" t="s">
        <v>42</v>
      </c>
      <c r="D888" s="18" t="s">
        <v>2192</v>
      </c>
      <c r="F888" s="30" t="str">
        <f t="shared" si="37"/>
        <v>AV88093-5 3-FOLD SOFT CLOSING SLIDE MATTE BLACK 20"</v>
      </c>
      <c r="I888" s="31" t="str">
        <f>VLOOKUP(D888,'[1]NEW PRICE LIST'!$C$4:$D$1917,2,FALSE)</f>
        <v>15PAIRS/CTN</v>
      </c>
      <c r="J888" s="13" t="s">
        <v>3975</v>
      </c>
      <c r="K888" s="32">
        <f>VLOOKUP(D888,'[1]NEW PRICE LIST'!$C$4:$H$1917,3,FALSE)</f>
        <v>304</v>
      </c>
      <c r="L888" s="13">
        <v>100</v>
      </c>
      <c r="M888" s="13">
        <v>0</v>
      </c>
      <c r="N888" s="13">
        <v>20</v>
      </c>
      <c r="P888" s="13" t="s">
        <v>3629</v>
      </c>
    </row>
    <row r="889" spans="1:16" x14ac:dyDescent="0.25">
      <c r="A889" s="14" t="str">
        <f t="shared" si="36"/>
        <v>AVT0000888</v>
      </c>
      <c r="B889" s="13" t="str">
        <f>VLOOKUP(D889,'SUPPLIER_ITEMS (1st Tools)'!C1242:D2969,2,FALSE)</f>
        <v>1ST-358-1241</v>
      </c>
      <c r="C889" s="14" t="s">
        <v>42</v>
      </c>
      <c r="D889" s="18" t="s">
        <v>2194</v>
      </c>
      <c r="F889" s="30" t="str">
        <f t="shared" si="37"/>
        <v>AV88093-6 3-FOLD SOFT CLOSING SLIDE MATTE BLACK 22"</v>
      </c>
      <c r="I889" s="31" t="str">
        <f>VLOOKUP(D889,'[1]NEW PRICE LIST'!$C$4:$D$1917,2,FALSE)</f>
        <v>15PAIRS/CTN</v>
      </c>
      <c r="J889" s="13" t="s">
        <v>3975</v>
      </c>
      <c r="K889" s="32">
        <f>VLOOKUP(D889,'[1]NEW PRICE LIST'!$C$4:$H$1917,3,FALSE)</f>
        <v>326</v>
      </c>
      <c r="L889" s="13">
        <v>100</v>
      </c>
      <c r="M889" s="13">
        <v>0</v>
      </c>
      <c r="N889" s="13">
        <v>20</v>
      </c>
      <c r="P889" s="13" t="s">
        <v>3629</v>
      </c>
    </row>
    <row r="890" spans="1:16" x14ac:dyDescent="0.25">
      <c r="A890" s="14" t="str">
        <f t="shared" si="36"/>
        <v>AVT0000889</v>
      </c>
      <c r="B890" s="13" t="str">
        <f>VLOOKUP(D890,'SUPPLIER_ITEMS (1st Tools)'!C1243:D2970,2,FALSE)</f>
        <v>1ST-358-1242</v>
      </c>
      <c r="C890" s="14" t="s">
        <v>42</v>
      </c>
      <c r="D890" s="18" t="s">
        <v>2196</v>
      </c>
      <c r="F890" s="30" t="str">
        <f t="shared" si="37"/>
        <v>AV88093-7 3-FOLD SOFT CLOSING SLIDE MATTE BLACK 24"</v>
      </c>
      <c r="I890" s="31" t="str">
        <f>VLOOKUP(D890,'[1]NEW PRICE LIST'!$C$4:$D$1917,2,FALSE)</f>
        <v>15PAIRS/CTN</v>
      </c>
      <c r="J890" s="13" t="s">
        <v>3975</v>
      </c>
      <c r="K890" s="32">
        <f>VLOOKUP(D890,'[1]NEW PRICE LIST'!$C$4:$H$1917,3,FALSE)</f>
        <v>344</v>
      </c>
      <c r="L890" s="13">
        <v>100</v>
      </c>
      <c r="M890" s="13">
        <v>0</v>
      </c>
      <c r="N890" s="13">
        <v>20</v>
      </c>
      <c r="P890" s="13" t="s">
        <v>3629</v>
      </c>
    </row>
    <row r="891" spans="1:16" ht="26.4" x14ac:dyDescent="0.25">
      <c r="A891" s="14" t="str">
        <f t="shared" si="36"/>
        <v>AVT0000890</v>
      </c>
      <c r="B891" s="13" t="str">
        <f>VLOOKUP(D891,'SUPPLIER_ITEMS (1st Tools)'!C1250:D2977,2,FALSE)</f>
        <v>1ST-358-1249</v>
      </c>
      <c r="C891" s="14" t="s">
        <v>44</v>
      </c>
      <c r="D891" s="18" t="s">
        <v>2210</v>
      </c>
      <c r="F891" s="30" t="str">
        <f t="shared" si="37"/>
        <v>AV88090-1 POLOLOCK DRAWER SLIDE BALL BEARING THREE-FOLD BLACK 10"</v>
      </c>
      <c r="I891" s="31" t="str">
        <f>VLOOKUP(D891,'[1]NEW PRICE LIST'!$C$4:$D$1917,2,FALSE)</f>
        <v>15PAIRS/CTN</v>
      </c>
      <c r="J891" s="13" t="s">
        <v>3975</v>
      </c>
      <c r="K891" s="32">
        <f>VLOOKUP(D891,'[1]NEW PRICE LIST'!$C$4:$H$1917,3,FALSE)</f>
        <v>168</v>
      </c>
      <c r="L891" s="13">
        <v>100</v>
      </c>
      <c r="M891" s="13">
        <v>0</v>
      </c>
      <c r="N891" s="13">
        <v>0</v>
      </c>
    </row>
    <row r="892" spans="1:16" ht="26.4" x14ac:dyDescent="0.25">
      <c r="A892" s="14" t="str">
        <f t="shared" si="36"/>
        <v>AVT0000891</v>
      </c>
      <c r="B892" s="13" t="str">
        <f>VLOOKUP(D892,'SUPPLIER_ITEMS (1st Tools)'!C1251:D2978,2,FALSE)</f>
        <v>1ST-358-1250</v>
      </c>
      <c r="C892" s="14" t="s">
        <v>44</v>
      </c>
      <c r="D892" s="18" t="s">
        <v>2212</v>
      </c>
      <c r="F892" s="30" t="str">
        <f t="shared" si="37"/>
        <v>AV88090-2 POLOLOCK DRAWER SLIDE BALL BEARING THREE-FOLD BLACK 12"</v>
      </c>
      <c r="I892" s="31" t="str">
        <f>VLOOKUP(D892,'[1]NEW PRICE LIST'!$C$4:$D$1917,2,FALSE)</f>
        <v>15PAIRS/CTN</v>
      </c>
      <c r="J892" s="13" t="s">
        <v>3975</v>
      </c>
      <c r="K892" s="32">
        <f>VLOOKUP(D892,'[1]NEW PRICE LIST'!$C$4:$H$1917,3,FALSE)</f>
        <v>204</v>
      </c>
      <c r="L892" s="13">
        <v>100</v>
      </c>
      <c r="M892" s="13">
        <v>0</v>
      </c>
      <c r="N892" s="13">
        <v>0</v>
      </c>
    </row>
    <row r="893" spans="1:16" ht="26.4" x14ac:dyDescent="0.25">
      <c r="A893" s="14" t="str">
        <f t="shared" si="36"/>
        <v>AVT0000892</v>
      </c>
      <c r="B893" s="13" t="str">
        <f>VLOOKUP(D893,'SUPPLIER_ITEMS (1st Tools)'!C1252:D2979,2,FALSE)</f>
        <v>1ST-358-1251</v>
      </c>
      <c r="C893" s="14" t="s">
        <v>44</v>
      </c>
      <c r="D893" s="18" t="s">
        <v>2214</v>
      </c>
      <c r="F893" s="30" t="str">
        <f t="shared" si="37"/>
        <v>AV88090-3 POLOLOCK DRAWER SLIDE BALL BEARING THREE-FOLD BLACK 14"</v>
      </c>
      <c r="I893" s="31" t="str">
        <f>VLOOKUP(D893,'[1]NEW PRICE LIST'!$C$4:$D$1917,2,FALSE)</f>
        <v>15PAIRS/CTN</v>
      </c>
      <c r="J893" s="13" t="s">
        <v>3975</v>
      </c>
      <c r="K893" s="32">
        <f>VLOOKUP(D893,'[1]NEW PRICE LIST'!$C$4:$H$1917,3,FALSE)</f>
        <v>232</v>
      </c>
      <c r="L893" s="13">
        <v>100</v>
      </c>
      <c r="M893" s="13">
        <v>0</v>
      </c>
      <c r="N893" s="13">
        <v>0</v>
      </c>
    </row>
    <row r="894" spans="1:16" ht="26.4" x14ac:dyDescent="0.25">
      <c r="A894" s="14" t="str">
        <f t="shared" si="36"/>
        <v>AVT0000893</v>
      </c>
      <c r="B894" s="13" t="str">
        <f>VLOOKUP(D894,'SUPPLIER_ITEMS (1st Tools)'!C1253:D2980,2,FALSE)</f>
        <v>1ST-358-1252</v>
      </c>
      <c r="C894" s="14" t="s">
        <v>44</v>
      </c>
      <c r="D894" s="18" t="s">
        <v>2216</v>
      </c>
      <c r="F894" s="30" t="str">
        <f t="shared" si="37"/>
        <v>AV88090-4 POLOLOCK DRAWER SLIDE BALL BEARING THREE-FOLD BLACK 16"</v>
      </c>
      <c r="I894" s="31" t="str">
        <f>VLOOKUP(D894,'[1]NEW PRICE LIST'!$C$4:$D$1917,2,FALSE)</f>
        <v>15PAIRS/CTN</v>
      </c>
      <c r="J894" s="13" t="s">
        <v>3975</v>
      </c>
      <c r="K894" s="32">
        <f>VLOOKUP(D894,'[1]NEW PRICE LIST'!$C$4:$H$1917,3,FALSE)</f>
        <v>264</v>
      </c>
      <c r="L894" s="13">
        <v>100</v>
      </c>
      <c r="M894" s="13">
        <v>0</v>
      </c>
      <c r="N894" s="13">
        <v>0</v>
      </c>
    </row>
    <row r="895" spans="1:16" ht="26.4" x14ac:dyDescent="0.25">
      <c r="A895" s="14" t="str">
        <f t="shared" si="36"/>
        <v>AVT0000894</v>
      </c>
      <c r="B895" s="13" t="str">
        <f>VLOOKUP(D895,'SUPPLIER_ITEMS (1st Tools)'!C1254:D2981,2,FALSE)</f>
        <v>1ST-358-1253</v>
      </c>
      <c r="C895" s="14" t="s">
        <v>44</v>
      </c>
      <c r="D895" s="18" t="s">
        <v>2218</v>
      </c>
      <c r="F895" s="30" t="str">
        <f t="shared" si="37"/>
        <v>AV88090-5 POLOLOCK DRAWER SLIDE BALL BEARING THREE-FOLD BLACK 18"</v>
      </c>
      <c r="I895" s="31" t="str">
        <f>VLOOKUP(D895,'[1]NEW PRICE LIST'!$C$4:$D$1917,2,FALSE)</f>
        <v>15PAIRS/CTN</v>
      </c>
      <c r="J895" s="13" t="s">
        <v>3975</v>
      </c>
      <c r="K895" s="32">
        <f>VLOOKUP(D895,'[1]NEW PRICE LIST'!$C$4:$H$1917,3,FALSE)</f>
        <v>296</v>
      </c>
      <c r="L895" s="13">
        <v>100</v>
      </c>
      <c r="M895" s="13">
        <v>0</v>
      </c>
      <c r="N895" s="13">
        <v>0</v>
      </c>
    </row>
    <row r="896" spans="1:16" ht="26.4" x14ac:dyDescent="0.25">
      <c r="A896" s="14" t="str">
        <f t="shared" si="36"/>
        <v>AVT0000895</v>
      </c>
      <c r="B896" s="13" t="str">
        <f>VLOOKUP(D896,'SUPPLIER_ITEMS (1st Tools)'!C1255:D2982,2,FALSE)</f>
        <v>1ST-358-1254</v>
      </c>
      <c r="C896" s="14" t="s">
        <v>44</v>
      </c>
      <c r="D896" s="18" t="s">
        <v>2220</v>
      </c>
      <c r="F896" s="30" t="str">
        <f t="shared" si="37"/>
        <v>AV88090-6 POLOLOCK DRAWER SLIDE BALL BEARING THREE-FOLD BLACK 20"</v>
      </c>
      <c r="I896" s="31" t="str">
        <f>VLOOKUP(D896,'[1]NEW PRICE LIST'!$C$4:$D$1917,2,FALSE)</f>
        <v>15PAIRS/CTN</v>
      </c>
      <c r="J896" s="13" t="s">
        <v>3975</v>
      </c>
      <c r="K896" s="32">
        <f>VLOOKUP(D896,'[1]NEW PRICE LIST'!$C$4:$H$1917,3,FALSE)</f>
        <v>324</v>
      </c>
      <c r="L896" s="13">
        <v>100</v>
      </c>
      <c r="M896" s="13">
        <v>0</v>
      </c>
      <c r="N896" s="13">
        <v>0</v>
      </c>
    </row>
    <row r="897" spans="1:14" ht="26.4" x14ac:dyDescent="0.25">
      <c r="A897" s="14" t="str">
        <f t="shared" si="36"/>
        <v>AVT0000896</v>
      </c>
      <c r="B897" s="13" t="str">
        <f>VLOOKUP(D897,'SUPPLIER_ITEMS (1st Tools)'!C1256:D2983,2,FALSE)</f>
        <v>1ST-358-1255</v>
      </c>
      <c r="C897" s="14" t="s">
        <v>44</v>
      </c>
      <c r="D897" s="18" t="s">
        <v>2222</v>
      </c>
      <c r="F897" s="30" t="str">
        <f t="shared" si="37"/>
        <v>AV88090-7 POLOLOCK DRAWER SLIDE BALL BEARING THREE-FOLD BLACK 22"</v>
      </c>
      <c r="I897" s="31" t="str">
        <f>VLOOKUP(D897,'[1]NEW PRICE LIST'!$C$4:$D$1917,2,FALSE)</f>
        <v>15PAIRS/CTN</v>
      </c>
      <c r="J897" s="13" t="s">
        <v>3975</v>
      </c>
      <c r="K897" s="32">
        <f>VLOOKUP(D897,'[1]NEW PRICE LIST'!$C$4:$H$1917,3,FALSE)</f>
        <v>356</v>
      </c>
      <c r="L897" s="13">
        <v>100</v>
      </c>
      <c r="M897" s="13">
        <v>0</v>
      </c>
      <c r="N897" s="13">
        <v>0</v>
      </c>
    </row>
    <row r="898" spans="1:14" ht="26.4" x14ac:dyDescent="0.25">
      <c r="A898" s="14" t="str">
        <f t="shared" si="36"/>
        <v>AVT0000897</v>
      </c>
      <c r="B898" s="13" t="str">
        <f>VLOOKUP(D898,'SUPPLIER_ITEMS (1st Tools)'!C1257:D2984,2,FALSE)</f>
        <v>1ST-358-1256</v>
      </c>
      <c r="C898" s="14" t="s">
        <v>44</v>
      </c>
      <c r="D898" s="18" t="s">
        <v>2224</v>
      </c>
      <c r="F898" s="30" t="str">
        <f t="shared" si="37"/>
        <v>AV88090-8 POLOLOCK DRAWER SLIDE BALL BEARING THREE-FOLD BLACK 24"</v>
      </c>
      <c r="I898" s="31" t="str">
        <f>VLOOKUP(D898,'[1]NEW PRICE LIST'!$C$4:$D$1917,2,FALSE)</f>
        <v>15PAIRS/CTN</v>
      </c>
      <c r="J898" s="13" t="s">
        <v>3975</v>
      </c>
      <c r="K898" s="32">
        <f>VLOOKUP(D898,'[1]NEW PRICE LIST'!$C$4:$H$1917,3,FALSE)</f>
        <v>384</v>
      </c>
      <c r="L898" s="13">
        <v>100</v>
      </c>
      <c r="M898" s="13">
        <v>0</v>
      </c>
      <c r="N898" s="13">
        <v>0</v>
      </c>
    </row>
    <row r="899" spans="1:14" x14ac:dyDescent="0.25">
      <c r="A899" s="14" t="str">
        <f t="shared" si="36"/>
        <v>AVT0000898</v>
      </c>
      <c r="B899" s="13" t="str">
        <f>VLOOKUP(D899,'SUPPLIER_ITEMS (1st Tools)'!C1265:D2992,2,FALSE)</f>
        <v>1ST-358-1264</v>
      </c>
      <c r="C899" s="14" t="s">
        <v>45</v>
      </c>
      <c r="D899" s="18" t="s">
        <v>2231</v>
      </c>
      <c r="F899" s="30" t="str">
        <f t="shared" si="37"/>
        <v>AV88080-01 CYLINDRICAL HINGES 3/8' - 11*60MM</v>
      </c>
      <c r="I899" s="31" t="str">
        <f>VLOOKUP(D899,'[1]NEW PRICE LIST'!$C$4:$D$1917,2,FALSE)</f>
        <v>480PCS/CTN</v>
      </c>
      <c r="J899" s="13" t="s">
        <v>300</v>
      </c>
      <c r="K899" s="32">
        <f>VLOOKUP(D899,'[1]NEW PRICE LIST'!$C$4:$H$1917,3,FALSE)</f>
        <v>12</v>
      </c>
      <c r="L899" s="13">
        <v>100</v>
      </c>
      <c r="M899" s="13">
        <v>0</v>
      </c>
      <c r="N899" s="13">
        <v>0</v>
      </c>
    </row>
    <row r="900" spans="1:14" x14ac:dyDescent="0.25">
      <c r="A900" s="14" t="str">
        <f t="shared" ref="A900:A963" si="38">"AVT"&amp;TEXT(RIGHT(A899,LEN(A899)-3)+1,"0000000")</f>
        <v>AVT0000899</v>
      </c>
      <c r="B900" s="13" t="str">
        <f>VLOOKUP(D900,'SUPPLIER_ITEMS (1st Tools)'!C1271:D2998,2,FALSE)</f>
        <v>1ST-358-1270</v>
      </c>
      <c r="C900" s="14" t="s">
        <v>45</v>
      </c>
      <c r="D900" s="18" t="s">
        <v>2241</v>
      </c>
      <c r="F900" s="30" t="str">
        <f t="shared" si="37"/>
        <v>AV88080-07 CYLINDRICAL HINGES 1"- 24*110MM</v>
      </c>
      <c r="I900" s="31" t="str">
        <f>VLOOKUP(D900,'[1]NEW PRICE LIST'!$C$4:$D$1917,2,FALSE)</f>
        <v>84PCS/CTN</v>
      </c>
      <c r="J900" s="13" t="s">
        <v>300</v>
      </c>
      <c r="K900" s="32">
        <f>VLOOKUP(D900,'[1]NEW PRICE LIST'!$C$4:$H$1917,3,FALSE)</f>
        <v>46</v>
      </c>
      <c r="L900" s="13">
        <v>100</v>
      </c>
      <c r="M900" s="13">
        <v>0</v>
      </c>
      <c r="N900" s="13">
        <v>0</v>
      </c>
    </row>
    <row r="901" spans="1:14" x14ac:dyDescent="0.25">
      <c r="A901" s="14" t="str">
        <f t="shared" si="38"/>
        <v>AVT0000900</v>
      </c>
      <c r="B901" s="13" t="str">
        <f>VLOOKUP(D901,'SUPPLIER_ITEMS (1st Tools)'!C1272:D2999,2,FALSE)</f>
        <v>1ST-358-1271</v>
      </c>
      <c r="C901" s="14" t="s">
        <v>45</v>
      </c>
      <c r="D901" s="18" t="s">
        <v>2242</v>
      </c>
      <c r="F901" s="30" t="str">
        <f t="shared" si="37"/>
        <v>AV88080-08 CYLINDRICAL HINGES 1- 1/2"38*110M</v>
      </c>
      <c r="I901" s="31" t="str">
        <f>VLOOKUP(D901,'[1]NEW PRICE LIST'!$C$4:$D$1917,2,FALSE)</f>
        <v>25PCS/CTN</v>
      </c>
      <c r="J901" s="13" t="s">
        <v>300</v>
      </c>
      <c r="K901" s="32">
        <f>VLOOKUP(D901,'[1]NEW PRICE LIST'!$C$4:$H$1917,3,FALSE)</f>
        <v>150</v>
      </c>
      <c r="L901" s="13">
        <v>100</v>
      </c>
      <c r="M901" s="13">
        <v>0</v>
      </c>
      <c r="N901" s="13">
        <v>0</v>
      </c>
    </row>
    <row r="902" spans="1:14" ht="26.4" x14ac:dyDescent="0.25">
      <c r="A902" s="14" t="str">
        <f t="shared" si="38"/>
        <v>AVT0000901</v>
      </c>
      <c r="B902" s="13" t="str">
        <f>VLOOKUP(D902,'SUPPLIER_ITEMS (1st Tools)'!C1370:D3097,2,FALSE)</f>
        <v>1ST-358-1369</v>
      </c>
      <c r="C902" s="14" t="s">
        <v>66</v>
      </c>
      <c r="D902" s="19" t="s">
        <v>3345</v>
      </c>
      <c r="F902" s="30" t="str">
        <f t="shared" ref="F902:F942" si="39">"AV"&amp;RIGHT(D902,LEN(D902)-2)</f>
        <v>AV55271-1 TOX W/SCREW #5&amp;6*1"（3.5*26mm）</v>
      </c>
      <c r="I902" s="31" t="str">
        <f>VLOOKUP(D902,'[1]NEW PRICE LIST'!$C$4:$D$1917,2,FALSE)</f>
        <v>10BAG*6BOX
/CTN</v>
      </c>
      <c r="J902" s="13" t="s">
        <v>3620</v>
      </c>
      <c r="K902" s="32">
        <f>VLOOKUP(D902,'[1]NEW PRICE LIST'!$C$4:$H$1917,3,FALSE)</f>
        <v>60</v>
      </c>
      <c r="L902" s="13">
        <v>100</v>
      </c>
      <c r="M902" s="13">
        <v>0</v>
      </c>
      <c r="N902" s="13">
        <v>0</v>
      </c>
    </row>
    <row r="903" spans="1:14" ht="26.4" x14ac:dyDescent="0.25">
      <c r="A903" s="14" t="str">
        <f t="shared" si="38"/>
        <v>AVT0000902</v>
      </c>
      <c r="B903" s="13" t="str">
        <f>VLOOKUP(D903,'SUPPLIER_ITEMS (1st Tools)'!C1371:D3098,2,FALSE)</f>
        <v>1ST-358-1370</v>
      </c>
      <c r="C903" s="14" t="s">
        <v>66</v>
      </c>
      <c r="D903" s="19" t="s">
        <v>3346</v>
      </c>
      <c r="F903" s="30" t="str">
        <f t="shared" si="39"/>
        <v>AV55271-2 TOX W/SCREW #6&amp;8*1"（4.2*26mm）</v>
      </c>
      <c r="I903" s="31" t="str">
        <f>VLOOKUP(D903,'[1]NEW PRICE LIST'!$C$4:$D$1917,2,FALSE)</f>
        <v>10BAG*6BOX
/CTN</v>
      </c>
      <c r="J903" s="13" t="s">
        <v>3620</v>
      </c>
      <c r="K903" s="32">
        <f>VLOOKUP(D903,'[1]NEW PRICE LIST'!$C$4:$H$1917,3,FALSE)</f>
        <v>74</v>
      </c>
      <c r="L903" s="13">
        <v>100</v>
      </c>
      <c r="M903" s="13">
        <v>0</v>
      </c>
      <c r="N903" s="13">
        <v>0</v>
      </c>
    </row>
    <row r="904" spans="1:14" ht="26.4" x14ac:dyDescent="0.25">
      <c r="A904" s="14" t="str">
        <f t="shared" si="38"/>
        <v>AVT0000903</v>
      </c>
      <c r="B904" s="13" t="str">
        <f>VLOOKUP(D904,'SUPPLIER_ITEMS (1st Tools)'!C1372:D3099,2,FALSE)</f>
        <v>1ST-358-1371</v>
      </c>
      <c r="C904" s="14" t="s">
        <v>66</v>
      </c>
      <c r="D904" s="19" t="s">
        <v>3886</v>
      </c>
      <c r="F904" s="30" t="str">
        <f t="shared" si="39"/>
        <v>AV55271-3 TOX W/SCREW #8&amp;10*1-1/2" （4.8*37mm）</v>
      </c>
      <c r="I904" s="31" t="str">
        <f>VLOOKUP(D904,'[1]NEW PRICE LIST'!$C$4:$D$1917,2,FALSE)</f>
        <v>10BAG*6BOX
/CTN</v>
      </c>
      <c r="J904" s="13" t="s">
        <v>3620</v>
      </c>
      <c r="K904" s="32">
        <f>VLOOKUP(D904,'[1]NEW PRICE LIST'!$C$4:$H$1917,3,FALSE)</f>
        <v>74</v>
      </c>
      <c r="L904" s="13">
        <v>100</v>
      </c>
      <c r="M904" s="13">
        <v>0</v>
      </c>
      <c r="N904" s="13">
        <v>0</v>
      </c>
    </row>
    <row r="905" spans="1:14" ht="26.4" x14ac:dyDescent="0.25">
      <c r="A905" s="14" t="str">
        <f t="shared" si="38"/>
        <v>AVT0000904</v>
      </c>
      <c r="B905" s="13" t="str">
        <f>VLOOKUP(D905,'SUPPLIER_ITEMS (1st Tools)'!C1373:D3100,2,FALSE)</f>
        <v>1ST-358-1372</v>
      </c>
      <c r="C905" s="14" t="s">
        <v>66</v>
      </c>
      <c r="D905" s="18" t="s">
        <v>3887</v>
      </c>
      <c r="F905" s="30" t="str">
        <f t="shared" si="39"/>
        <v>AV55271-4 TOX W/SCREW #10&amp;10*1-3/4" （4.8*43mm）</v>
      </c>
      <c r="I905" s="31" t="str">
        <f>VLOOKUP(D905,'[1]NEW PRICE LIST'!$C$4:$D$1917,2,FALSE)</f>
        <v>10BAG*6BOX
/CTN</v>
      </c>
      <c r="J905" s="13" t="s">
        <v>3620</v>
      </c>
      <c r="K905" s="32">
        <f>VLOOKUP(D905,'[1]NEW PRICE LIST'!$C$4:$H$1917,3,FALSE)</f>
        <v>95</v>
      </c>
      <c r="L905" s="13">
        <v>100</v>
      </c>
      <c r="M905" s="13">
        <v>0</v>
      </c>
      <c r="N905" s="13">
        <v>0</v>
      </c>
    </row>
    <row r="906" spans="1:14" ht="26.4" x14ac:dyDescent="0.25">
      <c r="A906" s="14" t="str">
        <f t="shared" si="38"/>
        <v>AVT0000905</v>
      </c>
      <c r="B906" s="13" t="str">
        <f>VLOOKUP(D906,'SUPPLIER_ITEMS (1st Tools)'!C1374:D3101,2,FALSE)</f>
        <v>1ST-358-1373</v>
      </c>
      <c r="C906" s="14" t="s">
        <v>67</v>
      </c>
      <c r="D906" s="19" t="s">
        <v>2344</v>
      </c>
      <c r="F906" s="30" t="str">
        <f t="shared" si="39"/>
        <v>AV55270-1 5# TOX WALL PLUG W/STOPPER</v>
      </c>
      <c r="I906" s="31" t="str">
        <f>VLOOKUP(D906,'[1]NEW PRICE LIST'!$C$4:$D$1917,2,FALSE)</f>
        <v>100PCS/BAG
*200BAGS /CTN</v>
      </c>
      <c r="J906" s="13" t="s">
        <v>3969</v>
      </c>
      <c r="K906" s="32">
        <f>VLOOKUP(D906,'[1]NEW PRICE LIST'!$C$4:$H$1917,3,FALSE)</f>
        <v>19</v>
      </c>
      <c r="L906" s="13">
        <v>100</v>
      </c>
      <c r="M906" s="13">
        <v>0</v>
      </c>
      <c r="N906" s="13">
        <v>0</v>
      </c>
    </row>
    <row r="907" spans="1:14" ht="26.4" x14ac:dyDescent="0.25">
      <c r="A907" s="14" t="str">
        <f t="shared" si="38"/>
        <v>AVT0000906</v>
      </c>
      <c r="B907" s="13" t="str">
        <f>VLOOKUP(D907,'SUPPLIER_ITEMS (1st Tools)'!C1375:D3102,2,FALSE)</f>
        <v>1ST-358-1374</v>
      </c>
      <c r="C907" s="14" t="s">
        <v>67</v>
      </c>
      <c r="D907" s="19" t="s">
        <v>2346</v>
      </c>
      <c r="F907" s="30" t="str">
        <f t="shared" si="39"/>
        <v>AV55270-2 6# TOX WALL PLUG W/STOPPER</v>
      </c>
      <c r="I907" s="31" t="str">
        <f>VLOOKUP(D907,'[1]NEW PRICE LIST'!$C$4:$D$1917,2,FALSE)</f>
        <v>100PCS/BAG
*200BAGS /CTN</v>
      </c>
      <c r="J907" s="13" t="s">
        <v>3969</v>
      </c>
      <c r="K907" s="32">
        <f>VLOOKUP(D907,'[1]NEW PRICE LIST'!$C$4:$H$1917,3,FALSE)</f>
        <v>20</v>
      </c>
      <c r="L907" s="13">
        <v>100</v>
      </c>
      <c r="M907" s="13">
        <v>0</v>
      </c>
      <c r="N907" s="13">
        <v>0</v>
      </c>
    </row>
    <row r="908" spans="1:14" ht="26.4" x14ac:dyDescent="0.25">
      <c r="A908" s="14" t="str">
        <f t="shared" si="38"/>
        <v>AVT0000907</v>
      </c>
      <c r="B908" s="13" t="str">
        <f>VLOOKUP(D908,'SUPPLIER_ITEMS (1st Tools)'!C1376:D3103,2,FALSE)</f>
        <v>1ST-358-1375</v>
      </c>
      <c r="C908" s="14" t="s">
        <v>67</v>
      </c>
      <c r="D908" s="19" t="s">
        <v>2348</v>
      </c>
      <c r="F908" s="30" t="str">
        <f t="shared" si="39"/>
        <v>AV55270-3 8# TOX WALL PLUG W/STOPPER</v>
      </c>
      <c r="I908" s="31" t="str">
        <f>VLOOKUP(D908,'[1]NEW PRICE LIST'!$C$4:$D$1917,2,FALSE)</f>
        <v>100PCS/BAG
*200BAGS /CTN</v>
      </c>
      <c r="J908" s="13" t="s">
        <v>3969</v>
      </c>
      <c r="K908" s="32">
        <f>VLOOKUP(D908,'[1]NEW PRICE LIST'!$C$4:$H$1917,3,FALSE)</f>
        <v>40</v>
      </c>
      <c r="L908" s="13">
        <v>100</v>
      </c>
      <c r="M908" s="13">
        <v>0</v>
      </c>
      <c r="N908" s="13">
        <v>0</v>
      </c>
    </row>
    <row r="909" spans="1:14" ht="26.4" x14ac:dyDescent="0.25">
      <c r="A909" s="14" t="str">
        <f t="shared" si="38"/>
        <v>AVT0000908</v>
      </c>
      <c r="B909" s="13" t="str">
        <f>VLOOKUP(D909,'SUPPLIER_ITEMS (1st Tools)'!C1377:D3104,2,FALSE)</f>
        <v>1ST-358-1376</v>
      </c>
      <c r="C909" s="14" t="s">
        <v>67</v>
      </c>
      <c r="D909" s="19" t="s">
        <v>2350</v>
      </c>
      <c r="F909" s="30" t="str">
        <f t="shared" si="39"/>
        <v>AV55270-4 10# TOX WALL PLUG W/STOPPER</v>
      </c>
      <c r="I909" s="31" t="str">
        <f>VLOOKUP(D909,'[1]NEW PRICE LIST'!$C$4:$D$1917,2,FALSE)</f>
        <v>100PCS/BAG
*100BAGS /CTN</v>
      </c>
      <c r="J909" s="13" t="s">
        <v>3969</v>
      </c>
      <c r="K909" s="32">
        <f>VLOOKUP(D909,'[1]NEW PRICE LIST'!$C$4:$H$1917,3,FALSE)</f>
        <v>60</v>
      </c>
      <c r="L909" s="13">
        <v>100</v>
      </c>
      <c r="M909" s="13">
        <v>0</v>
      </c>
      <c r="N909" s="13">
        <v>0</v>
      </c>
    </row>
    <row r="910" spans="1:14" ht="26.4" x14ac:dyDescent="0.25">
      <c r="A910" s="14" t="str">
        <f t="shared" si="38"/>
        <v>AVT0000909</v>
      </c>
      <c r="B910" s="13" t="str">
        <f>VLOOKUP(D910,'SUPPLIER_ITEMS (1st Tools)'!C1378:D3105,2,FALSE)</f>
        <v>1ST-358-1377</v>
      </c>
      <c r="C910" s="14" t="s">
        <v>68</v>
      </c>
      <c r="D910" s="19" t="s">
        <v>2351</v>
      </c>
      <c r="F910" s="30" t="str">
        <f t="shared" si="39"/>
        <v>AV75011 SQUARE PIPE CLAMP 1/4"-6mm</v>
      </c>
      <c r="I910" s="31" t="str">
        <f>VLOOKUP(D910,'[1]NEW PRICE LIST'!$C$4:$D$1917,2,FALSE)</f>
        <v>25S.BOX
*12BOXES/ CTN</v>
      </c>
      <c r="J910" s="13" t="s">
        <v>3620</v>
      </c>
      <c r="K910" s="32">
        <f>VLOOKUP(D910,'[1]NEW PRICE LIST'!$C$4:$H$1917,3,FALSE)</f>
        <v>22</v>
      </c>
      <c r="L910" s="13">
        <v>100</v>
      </c>
      <c r="M910" s="13">
        <v>0</v>
      </c>
      <c r="N910" s="13">
        <v>0</v>
      </c>
    </row>
    <row r="911" spans="1:14" ht="26.4" x14ac:dyDescent="0.25">
      <c r="A911" s="14" t="str">
        <f t="shared" si="38"/>
        <v>AVT0000910</v>
      </c>
      <c r="B911" s="13" t="str">
        <f>VLOOKUP(D911,'SUPPLIER_ITEMS (1st Tools)'!C1379:D3106,2,FALSE)</f>
        <v>1ST-358-1378</v>
      </c>
      <c r="C911" s="14" t="s">
        <v>68</v>
      </c>
      <c r="D911" s="19" t="s">
        <v>2353</v>
      </c>
      <c r="F911" s="30" t="str">
        <f t="shared" si="39"/>
        <v>AV75012 SQUARE PIPE CLAMP 5/16"-8mm</v>
      </c>
      <c r="I911" s="31" t="str">
        <f>VLOOKUP(D911,'[1]NEW PRICE LIST'!$C$4:$D$1917,2,FALSE)</f>
        <v>25S.BOX
*10BOXES/ CTN</v>
      </c>
      <c r="J911" s="13" t="s">
        <v>3620</v>
      </c>
      <c r="K911" s="32">
        <f>VLOOKUP(D911,'[1]NEW PRICE LIST'!$C$4:$H$1917,3,FALSE)</f>
        <v>27</v>
      </c>
      <c r="L911" s="13">
        <v>100</v>
      </c>
      <c r="M911" s="13">
        <v>0</v>
      </c>
      <c r="N911" s="13">
        <v>0</v>
      </c>
    </row>
    <row r="912" spans="1:14" ht="26.4" x14ac:dyDescent="0.25">
      <c r="A912" s="14" t="str">
        <f t="shared" si="38"/>
        <v>AVT0000911</v>
      </c>
      <c r="B912" s="13" t="str">
        <f>VLOOKUP(D912,'SUPPLIER_ITEMS (1st Tools)'!C1380:D3107,2,FALSE)</f>
        <v>1ST-358-1379</v>
      </c>
      <c r="C912" s="14" t="s">
        <v>68</v>
      </c>
      <c r="D912" s="19" t="s">
        <v>2355</v>
      </c>
      <c r="F912" s="30" t="str">
        <f t="shared" si="39"/>
        <v>AV75013 SQUARE PIPE CLAMP 3/8"-10mm</v>
      </c>
      <c r="I912" s="31" t="str">
        <f>VLOOKUP(D912,'[1]NEW PRICE LIST'!$C$4:$D$1917,2,FALSE)</f>
        <v>25S.BOX
*8BOXES/CTN</v>
      </c>
      <c r="J912" s="13" t="s">
        <v>3620</v>
      </c>
      <c r="K912" s="32">
        <f>VLOOKUP(D912,'[1]NEW PRICE LIST'!$C$4:$H$1917,3,FALSE)</f>
        <v>40</v>
      </c>
      <c r="L912" s="13">
        <v>100</v>
      </c>
      <c r="M912" s="13">
        <v>0</v>
      </c>
      <c r="N912" s="13">
        <v>0</v>
      </c>
    </row>
    <row r="913" spans="1:14" ht="26.4" x14ac:dyDescent="0.25">
      <c r="A913" s="14" t="str">
        <f t="shared" si="38"/>
        <v>AVT0000912</v>
      </c>
      <c r="B913" s="13" t="str">
        <f>VLOOKUP(D913,'SUPPLIER_ITEMS (1st Tools)'!C1381:D3108,2,FALSE)</f>
        <v>1ST-358-1380</v>
      </c>
      <c r="C913" s="14" t="s">
        <v>68</v>
      </c>
      <c r="D913" s="19" t="s">
        <v>2357</v>
      </c>
      <c r="F913" s="30" t="str">
        <f t="shared" si="39"/>
        <v>AV55260-4 SQUARE PIPE CLAMP 1/2"-12mm</v>
      </c>
      <c r="I913" s="31" t="str">
        <f>VLOOKUP(D913,'[1]NEW PRICE LIST'!$C$4:$D$1917,2,FALSE)</f>
        <v>25BAGS*
6BOXES/CTN</v>
      </c>
      <c r="J913" s="13" t="s">
        <v>302</v>
      </c>
      <c r="K913" s="32">
        <f>VLOOKUP(D913,'[1]NEW PRICE LIST'!$C$4:$H$1917,3,FALSE)</f>
        <v>25</v>
      </c>
      <c r="L913" s="13">
        <v>100</v>
      </c>
      <c r="M913" s="13">
        <v>0</v>
      </c>
      <c r="N913" s="13">
        <v>0</v>
      </c>
    </row>
    <row r="914" spans="1:14" ht="26.4" x14ac:dyDescent="0.25">
      <c r="A914" s="14" t="str">
        <f t="shared" si="38"/>
        <v>AVT0000913</v>
      </c>
      <c r="B914" s="13" t="str">
        <f>VLOOKUP(D914,'SUPPLIER_ITEMS (1st Tools)'!C1382:D3109,2,FALSE)</f>
        <v>1ST-358-1381</v>
      </c>
      <c r="C914" s="14" t="s">
        <v>68</v>
      </c>
      <c r="D914" s="18" t="s">
        <v>2359</v>
      </c>
      <c r="F914" s="30" t="str">
        <f t="shared" si="39"/>
        <v>AV75001 CIRCULAR PIPE CLAMP 1/4"-6mm</v>
      </c>
      <c r="I914" s="31" t="str">
        <f>VLOOKUP(D914,'[1]NEW PRICE LIST'!$C$4:$D$1917,2,FALSE)</f>
        <v>25S.BOX*
12BOXES/CTN</v>
      </c>
      <c r="J914" s="13" t="s">
        <v>3620</v>
      </c>
      <c r="K914" s="32">
        <f>VLOOKUP(D914,'[1]NEW PRICE LIST'!$C$4:$H$1917,3,FALSE)</f>
        <v>24</v>
      </c>
      <c r="L914" s="13">
        <v>100</v>
      </c>
      <c r="M914" s="13">
        <v>0</v>
      </c>
      <c r="N914" s="13">
        <v>0</v>
      </c>
    </row>
    <row r="915" spans="1:14" ht="26.4" x14ac:dyDescent="0.25">
      <c r="A915" s="14" t="str">
        <f t="shared" si="38"/>
        <v>AVT0000914</v>
      </c>
      <c r="B915" s="13" t="str">
        <f>VLOOKUP(D915,'SUPPLIER_ITEMS (1st Tools)'!C1383:D3110,2,FALSE)</f>
        <v>1ST-358-1382</v>
      </c>
      <c r="C915" s="14" t="s">
        <v>68</v>
      </c>
      <c r="D915" s="18" t="s">
        <v>2361</v>
      </c>
      <c r="F915" s="30" t="str">
        <f t="shared" si="39"/>
        <v>AV55261-2 CIRCULAR PIPE CLAMP 5/16"-8mm</v>
      </c>
      <c r="I915" s="31" t="str">
        <f>VLOOKUP(D915,'[1]NEW PRICE LIST'!$C$4:$D$1917,2,FALSE)</f>
        <v>25BAGS*
10BOXES/CTN</v>
      </c>
      <c r="J915" s="13" t="s">
        <v>302</v>
      </c>
      <c r="K915" s="32">
        <f>VLOOKUP(D915,'[1]NEW PRICE LIST'!$C$4:$H$1917,3,FALSE)</f>
        <v>29</v>
      </c>
      <c r="L915" s="13">
        <v>100</v>
      </c>
      <c r="M915" s="13">
        <v>0</v>
      </c>
      <c r="N915" s="13">
        <v>0</v>
      </c>
    </row>
    <row r="916" spans="1:14" ht="26.4" x14ac:dyDescent="0.25">
      <c r="A916" s="14" t="str">
        <f t="shared" si="38"/>
        <v>AVT0000915</v>
      </c>
      <c r="B916" s="13" t="str">
        <f>VLOOKUP(D916,'SUPPLIER_ITEMS (1st Tools)'!C1384:D3111,2,FALSE)</f>
        <v>1ST-358-1383</v>
      </c>
      <c r="C916" s="14" t="s">
        <v>68</v>
      </c>
      <c r="D916" s="18" t="s">
        <v>2363</v>
      </c>
      <c r="F916" s="30" t="str">
        <f t="shared" si="39"/>
        <v>AV55261-3 CIRCULAR PIPE CLAMP 3/8"-10mm</v>
      </c>
      <c r="I916" s="31" t="str">
        <f>VLOOKUP(D916,'[1]NEW PRICE LIST'!$C$4:$D$1917,2,FALSE)</f>
        <v>25BAGS*
8BOXES/CTN</v>
      </c>
      <c r="J916" s="13" t="s">
        <v>302</v>
      </c>
      <c r="K916" s="32">
        <f>VLOOKUP(D916,'[1]NEW PRICE LIST'!$C$4:$H$1917,3,FALSE)</f>
        <v>38</v>
      </c>
      <c r="L916" s="13">
        <v>100</v>
      </c>
      <c r="M916" s="13">
        <v>0</v>
      </c>
      <c r="N916" s="13">
        <v>0</v>
      </c>
    </row>
    <row r="917" spans="1:14" ht="26.4" x14ac:dyDescent="0.25">
      <c r="A917" s="14" t="str">
        <f t="shared" si="38"/>
        <v>AVT0000916</v>
      </c>
      <c r="B917" s="13" t="str">
        <f>VLOOKUP(D917,'SUPPLIER_ITEMS (1st Tools)'!C1385:D3112,2,FALSE)</f>
        <v>1ST-358-1384</v>
      </c>
      <c r="C917" s="14" t="s">
        <v>68</v>
      </c>
      <c r="D917" s="18" t="s">
        <v>2365</v>
      </c>
      <c r="F917" s="30" t="str">
        <f t="shared" si="39"/>
        <v>AV55261-4 CIRCULAR PIPE CLAMP 1/2"-12mm</v>
      </c>
      <c r="I917" s="31" t="str">
        <f>VLOOKUP(D917,'[1]NEW PRICE LIST'!$C$4:$D$1917,2,FALSE)</f>
        <v>25BAGS*
8BOXES/CTN</v>
      </c>
      <c r="J917" s="13" t="s">
        <v>302</v>
      </c>
      <c r="K917" s="32">
        <f>VLOOKUP(D917,'[1]NEW PRICE LIST'!$C$4:$H$1917,3,FALSE)</f>
        <v>50</v>
      </c>
      <c r="L917" s="13">
        <v>100</v>
      </c>
      <c r="M917" s="13">
        <v>0</v>
      </c>
      <c r="N917" s="13">
        <v>0</v>
      </c>
    </row>
    <row r="918" spans="1:14" ht="26.4" x14ac:dyDescent="0.25">
      <c r="A918" s="14" t="str">
        <f t="shared" si="38"/>
        <v>AVT0000917</v>
      </c>
      <c r="B918" s="13" t="str">
        <f>VLOOKUP(D918,'SUPPLIER_ITEMS (1st Tools)'!C1386:D3113,2,FALSE)</f>
        <v>1ST-358-1385</v>
      </c>
      <c r="C918" s="14" t="s">
        <v>68</v>
      </c>
      <c r="D918" s="18" t="s">
        <v>2367</v>
      </c>
      <c r="F918" s="30" t="str">
        <f t="shared" si="39"/>
        <v>AV75005 CIRCULAR PIPE CLAMP 3/4"-18mm</v>
      </c>
      <c r="I918" s="31" t="str">
        <f>VLOOKUP(D918,'[1]NEW PRICE LIST'!$C$4:$D$1917,2,FALSE)</f>
        <v>12S.BOX*5BOXES
/CTN</v>
      </c>
      <c r="J918" s="13" t="s">
        <v>3620</v>
      </c>
      <c r="K918" s="32">
        <f>VLOOKUP(D918,'[1]NEW PRICE LIST'!$C$4:$H$1917,3,FALSE)</f>
        <v>112</v>
      </c>
      <c r="L918" s="13">
        <v>100</v>
      </c>
      <c r="M918" s="13">
        <v>0</v>
      </c>
      <c r="N918" s="13">
        <v>0</v>
      </c>
    </row>
    <row r="919" spans="1:14" ht="26.4" x14ac:dyDescent="0.25">
      <c r="A919" s="14" t="str">
        <f t="shared" si="38"/>
        <v>AVT0000918</v>
      </c>
      <c r="B919" s="13" t="str">
        <f>VLOOKUP(D919,'SUPPLIER_ITEMS (1st Tools)'!C1387:D3114,2,FALSE)</f>
        <v>1ST-358-1386</v>
      </c>
      <c r="C919" s="14" t="s">
        <v>68</v>
      </c>
      <c r="D919" s="18" t="s">
        <v>2369</v>
      </c>
      <c r="F919" s="30" t="str">
        <f t="shared" si="39"/>
        <v>AV75006 CIRCULAR PIPE CLAMP 1"-25mm</v>
      </c>
      <c r="I919" s="31" t="str">
        <f>VLOOKUP(D919,'[1]NEW PRICE LIST'!$C$4:$D$1917,2,FALSE)</f>
        <v>12S.BOX*5BOXES
/CTN</v>
      </c>
      <c r="J919" s="13" t="s">
        <v>3620</v>
      </c>
      <c r="K919" s="32">
        <f>VLOOKUP(D919,'[1]NEW PRICE LIST'!$C$4:$H$1917,3,FALSE)</f>
        <v>112</v>
      </c>
      <c r="L919" s="13">
        <v>100</v>
      </c>
      <c r="M919" s="13">
        <v>0</v>
      </c>
      <c r="N919" s="13">
        <v>0</v>
      </c>
    </row>
    <row r="920" spans="1:14" ht="26.4" x14ac:dyDescent="0.25">
      <c r="A920" s="14" t="str">
        <f t="shared" si="38"/>
        <v>AVT0000919</v>
      </c>
      <c r="B920" s="13" t="str">
        <f>VLOOKUP(D920,'SUPPLIER_ITEMS (1st Tools)'!C1388:D3115,2,FALSE)</f>
        <v>1ST-358-1387</v>
      </c>
      <c r="C920" s="14" t="s">
        <v>69</v>
      </c>
      <c r="D920" s="18" t="s">
        <v>2370</v>
      </c>
      <c r="F920" s="30" t="str">
        <f t="shared" si="39"/>
        <v>AV55250-1 INSULATED STAPLE 1/2"-16*9*1.6mm</v>
      </c>
      <c r="I920" s="31" t="str">
        <f>VLOOKUP(D920,'[1]NEW PRICE LIST'!$C$4:$D$1917,2,FALSE)</f>
        <v>10S.BOX*
32BOXES/CTN</v>
      </c>
      <c r="J920" s="13" t="s">
        <v>3620</v>
      </c>
      <c r="K920" s="32">
        <f>VLOOKUP(D920,'[1]NEW PRICE LIST'!$C$4:$H$1917,3,FALSE)</f>
        <v>36</v>
      </c>
      <c r="L920" s="13">
        <v>100</v>
      </c>
      <c r="M920" s="13">
        <v>0</v>
      </c>
      <c r="N920" s="13">
        <v>0</v>
      </c>
    </row>
    <row r="921" spans="1:14" ht="26.4" x14ac:dyDescent="0.25">
      <c r="A921" s="14" t="str">
        <f t="shared" si="38"/>
        <v>AVT0000920</v>
      </c>
      <c r="B921" s="13" t="str">
        <f>VLOOKUP(D921,'SUPPLIER_ITEMS (1st Tools)'!C1389:D3116,2,FALSE)</f>
        <v>1ST-358-1388</v>
      </c>
      <c r="C921" s="14" t="s">
        <v>69</v>
      </c>
      <c r="D921" s="18" t="s">
        <v>2372</v>
      </c>
      <c r="F921" s="30" t="str">
        <f t="shared" si="39"/>
        <v>AV55250-2 INSULATED STAPLE 3/4"-18*11*1.6mm</v>
      </c>
      <c r="I921" s="31" t="str">
        <f>VLOOKUP(D921,'[1]NEW PRICE LIST'!$C$4:$D$1917,2,FALSE)</f>
        <v>10S.BOX*
24BOXES/CTN</v>
      </c>
      <c r="J921" s="13" t="s">
        <v>3620</v>
      </c>
      <c r="K921" s="32">
        <f>VLOOKUP(D921,'[1]NEW PRICE LIST'!$C$4:$H$1917,3,FALSE)</f>
        <v>40</v>
      </c>
      <c r="L921" s="13">
        <v>100</v>
      </c>
      <c r="M921" s="13">
        <v>0</v>
      </c>
      <c r="N921" s="13">
        <v>0</v>
      </c>
    </row>
    <row r="922" spans="1:14" ht="26.4" x14ac:dyDescent="0.25">
      <c r="A922" s="14" t="str">
        <f t="shared" si="38"/>
        <v>AVT0000921</v>
      </c>
      <c r="B922" s="13" t="str">
        <f>VLOOKUP(D922,'SUPPLIER_ITEMS (1st Tools)'!C1390:D3117,2,FALSE)</f>
        <v>1ST-358-1389</v>
      </c>
      <c r="C922" s="14" t="s">
        <v>69</v>
      </c>
      <c r="D922" s="18" t="s">
        <v>2373</v>
      </c>
      <c r="F922" s="30" t="str">
        <f t="shared" si="39"/>
        <v>AV55250-3" INSULATED STAPLE 1"-21*13*1.8mm</v>
      </c>
      <c r="I922" s="31" t="str">
        <f>VLOOKUP(D922,'[1]NEW PRICE LIST'!$C$4:$D$1917,2,FALSE)</f>
        <v>10S.BOX*
18BOXES/CTN</v>
      </c>
      <c r="J922" s="13" t="s">
        <v>3620</v>
      </c>
      <c r="K922" s="32">
        <f>VLOOKUP(D922,'[1]NEW PRICE LIST'!$C$4:$H$1917,3,FALSE)</f>
        <v>45</v>
      </c>
      <c r="L922" s="13">
        <v>100</v>
      </c>
      <c r="M922" s="13">
        <v>0</v>
      </c>
      <c r="N922" s="13">
        <v>0</v>
      </c>
    </row>
    <row r="923" spans="1:14" x14ac:dyDescent="0.25">
      <c r="A923" s="14" t="str">
        <f t="shared" si="38"/>
        <v>AVT0000922</v>
      </c>
      <c r="B923" s="13" t="str">
        <f>VLOOKUP(D923,'SUPPLIER_ITEMS (1st Tools)'!C1391:D3118,2,FALSE)</f>
        <v>1ST-358-1390</v>
      </c>
      <c r="C923" s="14" t="s">
        <v>70</v>
      </c>
      <c r="D923" s="18" t="s">
        <v>2375</v>
      </c>
      <c r="F923" s="30" t="str">
        <f t="shared" si="39"/>
        <v>AV55210-1 SINGLE HOLE CLAMP 1/2"</v>
      </c>
      <c r="I923" s="31" t="str">
        <f>VLOOKUP(D923,'[1]NEW PRICE LIST'!$C$4:$D$1917,2,FALSE)</f>
        <v>100PCS*20BAG/ CTN</v>
      </c>
      <c r="J923" s="13" t="s">
        <v>3970</v>
      </c>
      <c r="K923" s="32">
        <f>VLOOKUP(D923,'[1]NEW PRICE LIST'!$C$4:$H$1917,3,FALSE)</f>
        <v>3</v>
      </c>
      <c r="L923" s="13">
        <v>100</v>
      </c>
      <c r="M923" s="13">
        <v>0</v>
      </c>
      <c r="N923" s="13">
        <v>0</v>
      </c>
    </row>
    <row r="924" spans="1:14" x14ac:dyDescent="0.25">
      <c r="A924" s="14" t="str">
        <f t="shared" si="38"/>
        <v>AVT0000923</v>
      </c>
      <c r="B924" s="13" t="str">
        <f>VLOOKUP(D924,'SUPPLIER_ITEMS (1st Tools)'!C1392:D3119,2,FALSE)</f>
        <v>1ST-358-1391</v>
      </c>
      <c r="C924" s="14" t="s">
        <v>70</v>
      </c>
      <c r="D924" s="18" t="s">
        <v>2377</v>
      </c>
      <c r="F924" s="30" t="str">
        <f t="shared" si="39"/>
        <v>AV55210-2 SINGLE HOLE CLAMP 3/4"</v>
      </c>
      <c r="I924" s="31" t="str">
        <f>VLOOKUP(D924,'[1]NEW PRICE LIST'!$C$4:$D$1917,2,FALSE)</f>
        <v>100PCS*20BAG/ CTN</v>
      </c>
      <c r="J924" s="13" t="s">
        <v>3970</v>
      </c>
      <c r="K924" s="32">
        <f>VLOOKUP(D924,'[1]NEW PRICE LIST'!$C$4:$H$1917,3,FALSE)</f>
        <v>4</v>
      </c>
      <c r="L924" s="13">
        <v>100</v>
      </c>
      <c r="M924" s="13">
        <v>0</v>
      </c>
      <c r="N924" s="13">
        <v>0</v>
      </c>
    </row>
    <row r="925" spans="1:14" x14ac:dyDescent="0.25">
      <c r="A925" s="14" t="str">
        <f t="shared" si="38"/>
        <v>AVT0000924</v>
      </c>
      <c r="B925" s="13" t="str">
        <f>VLOOKUP(D925,'SUPPLIER_ITEMS (1st Tools)'!C1393:D3120,2,FALSE)</f>
        <v>1ST-358-1392</v>
      </c>
      <c r="C925" s="14" t="s">
        <v>70</v>
      </c>
      <c r="D925" s="18" t="s">
        <v>2379</v>
      </c>
      <c r="F925" s="30" t="str">
        <f t="shared" si="39"/>
        <v>AV55210-3 SINGLE HOLE CLAMP 1"</v>
      </c>
      <c r="I925" s="31" t="str">
        <f>VLOOKUP(D925,'[1]NEW PRICE LIST'!$C$4:$D$1917,2,FALSE)</f>
        <v>100PCS*10BAG/ CTN</v>
      </c>
      <c r="J925" s="13" t="s">
        <v>3970</v>
      </c>
      <c r="K925" s="32">
        <f>VLOOKUP(D925,'[1]NEW PRICE LIST'!$C$4:$H$1917,3,FALSE)</f>
        <v>6</v>
      </c>
      <c r="L925" s="13">
        <v>100</v>
      </c>
      <c r="M925" s="13">
        <v>0</v>
      </c>
      <c r="N925" s="13">
        <v>0</v>
      </c>
    </row>
    <row r="926" spans="1:14" x14ac:dyDescent="0.25">
      <c r="A926" s="14" t="str">
        <f t="shared" si="38"/>
        <v>AVT0000925</v>
      </c>
      <c r="B926" s="13" t="str">
        <f>VLOOKUP(D926,'SUPPLIER_ITEMS (1st Tools)'!C1394:D3121,2,FALSE)</f>
        <v>1ST-358-1393</v>
      </c>
      <c r="C926" s="14" t="s">
        <v>70</v>
      </c>
      <c r="D926" s="18" t="s">
        <v>2381</v>
      </c>
      <c r="F926" s="30" t="str">
        <f t="shared" si="39"/>
        <v>AV55210-4 DOUBLE HOLE CLAMP 1/2"</v>
      </c>
      <c r="I926" s="31" t="str">
        <f>VLOOKUP(D926,'[1]NEW PRICE LIST'!$C$4:$D$1917,2,FALSE)</f>
        <v>100PCS*20BAG/ CTN</v>
      </c>
      <c r="J926" s="13" t="s">
        <v>3970</v>
      </c>
      <c r="K926" s="32">
        <f>VLOOKUP(D926,'[1]NEW PRICE LIST'!$C$4:$H$1917,3,FALSE)</f>
        <v>4</v>
      </c>
      <c r="L926" s="13">
        <v>100</v>
      </c>
      <c r="M926" s="13">
        <v>0</v>
      </c>
      <c r="N926" s="13">
        <v>0</v>
      </c>
    </row>
    <row r="927" spans="1:14" x14ac:dyDescent="0.25">
      <c r="A927" s="14" t="str">
        <f t="shared" si="38"/>
        <v>AVT0000926</v>
      </c>
      <c r="B927" s="13" t="str">
        <f>VLOOKUP(D927,'SUPPLIER_ITEMS (1st Tools)'!C1395:D3122,2,FALSE)</f>
        <v>1ST-358-1394</v>
      </c>
      <c r="C927" s="14" t="s">
        <v>70</v>
      </c>
      <c r="D927" s="18" t="s">
        <v>2383</v>
      </c>
      <c r="F927" s="30" t="str">
        <f t="shared" si="39"/>
        <v>AV55210-5 DOUBLE HOLE CLAMP 3/4"</v>
      </c>
      <c r="I927" s="31" t="str">
        <f>VLOOKUP(D927,'[1]NEW PRICE LIST'!$C$4:$D$1917,2,FALSE)</f>
        <v>100PCS*20BAG/ CTN</v>
      </c>
      <c r="J927" s="13" t="s">
        <v>3970</v>
      </c>
      <c r="K927" s="32">
        <f>VLOOKUP(D927,'[1]NEW PRICE LIST'!$C$4:$H$1917,3,FALSE)</f>
        <v>5</v>
      </c>
      <c r="L927" s="13">
        <v>100</v>
      </c>
      <c r="M927" s="13">
        <v>0</v>
      </c>
      <c r="N927" s="13">
        <v>0</v>
      </c>
    </row>
    <row r="928" spans="1:14" x14ac:dyDescent="0.25">
      <c r="A928" s="14" t="str">
        <f t="shared" si="38"/>
        <v>AVT0000927</v>
      </c>
      <c r="B928" s="13" t="str">
        <f>VLOOKUP(D928,'SUPPLIER_ITEMS (1st Tools)'!C1396:D3123,2,FALSE)</f>
        <v>1ST-358-1395</v>
      </c>
      <c r="C928" s="14" t="s">
        <v>70</v>
      </c>
      <c r="D928" s="18" t="s">
        <v>2385</v>
      </c>
      <c r="F928" s="30" t="str">
        <f t="shared" si="39"/>
        <v>AV55210-6 DOUBLE HOLE CLAMP 1"</v>
      </c>
      <c r="I928" s="31" t="str">
        <f>VLOOKUP(D928,'[1]NEW PRICE LIST'!$C$4:$D$1917,2,FALSE)</f>
        <v>100PCS*10BAG/ CTN</v>
      </c>
      <c r="J928" s="13" t="s">
        <v>3970</v>
      </c>
      <c r="K928" s="32">
        <f>VLOOKUP(D928,'[1]NEW PRICE LIST'!$C$4:$H$1917,3,FALSE)</f>
        <v>7</v>
      </c>
      <c r="L928" s="13">
        <v>100</v>
      </c>
      <c r="M928" s="13">
        <v>0</v>
      </c>
      <c r="N928" s="13">
        <v>0</v>
      </c>
    </row>
    <row r="929" spans="1:14" x14ac:dyDescent="0.25">
      <c r="A929" s="14" t="str">
        <f t="shared" si="38"/>
        <v>AVT0000928</v>
      </c>
      <c r="B929" s="13" t="str">
        <f>VLOOKUP(D929,'SUPPLIER_ITEMS (1st Tools)'!C1397:D3124,2,FALSE)</f>
        <v>1ST-358-1396</v>
      </c>
      <c r="C929" s="14" t="s">
        <v>71</v>
      </c>
      <c r="D929" s="14" t="s">
        <v>2002</v>
      </c>
      <c r="F929" s="30" t="str">
        <f t="shared" si="39"/>
        <v>AV55171 ACRYLIC CAULKING SEALANT</v>
      </c>
      <c r="I929" s="31" t="str">
        <f>VLOOKUP(D929,'[1]NEW PRICE LIST'!$C$4:$D$1917,2,FALSE)</f>
        <v>24PCS/CTN</v>
      </c>
      <c r="J929" s="13" t="s">
        <v>300</v>
      </c>
      <c r="K929" s="32">
        <f>VLOOKUP(D929,'[1]NEW PRICE LIST'!$C$4:$H$1917,3,FALSE)</f>
        <v>105</v>
      </c>
      <c r="L929" s="13">
        <v>100</v>
      </c>
      <c r="M929" s="13">
        <v>0</v>
      </c>
      <c r="N929" s="13">
        <v>0</v>
      </c>
    </row>
    <row r="930" spans="1:14" x14ac:dyDescent="0.25">
      <c r="A930" s="14" t="str">
        <f t="shared" si="38"/>
        <v>AVT0000929</v>
      </c>
      <c r="B930" s="13" t="str">
        <f>VLOOKUP(D930,'SUPPLIER_ITEMS (1st Tools)'!C1398:D3125,2,FALSE)</f>
        <v>1ST-358-1397</v>
      </c>
      <c r="C930" s="14" t="s">
        <v>139</v>
      </c>
      <c r="D930" s="19" t="s">
        <v>2387</v>
      </c>
      <c r="F930" s="30" t="str">
        <f t="shared" si="39"/>
        <v>AV66340-1 #10 DARK WELDING LENS GLASS</v>
      </c>
      <c r="I930" s="31" t="str">
        <f>VLOOKUP(D930,'[1]NEW PRICE LIST'!$C$4:$D$1917,2,FALSE)</f>
        <v>600PCS/CTN</v>
      </c>
      <c r="J930" s="13" t="s">
        <v>300</v>
      </c>
      <c r="K930" s="32">
        <f>VLOOKUP(D930,'[1]NEW PRICE LIST'!$C$4:$H$1917,3,FALSE)</f>
        <v>10</v>
      </c>
      <c r="L930" s="13">
        <v>100</v>
      </c>
      <c r="M930" s="13">
        <v>0</v>
      </c>
      <c r="N930" s="13">
        <v>0</v>
      </c>
    </row>
    <row r="931" spans="1:14" x14ac:dyDescent="0.25">
      <c r="A931" s="14" t="str">
        <f t="shared" si="38"/>
        <v>AVT0000930</v>
      </c>
      <c r="B931" s="13" t="str">
        <f>VLOOKUP(D931,'SUPPLIER_ITEMS (1st Tools)'!C1399:D3126,2,FALSE)</f>
        <v>1ST-358-1398</v>
      </c>
      <c r="C931" s="14" t="s">
        <v>139</v>
      </c>
      <c r="D931" s="19" t="s">
        <v>2388</v>
      </c>
      <c r="F931" s="30" t="str">
        <f t="shared" si="39"/>
        <v>AV66340-2 #12 DARK WELDING LENS GLASS</v>
      </c>
      <c r="I931" s="31" t="str">
        <f>VLOOKUP(D931,'[1]NEW PRICE LIST'!$C$4:$D$1917,2,FALSE)</f>
        <v>600PCS/CTN</v>
      </c>
      <c r="J931" s="13" t="s">
        <v>300</v>
      </c>
      <c r="K931" s="32">
        <f>VLOOKUP(D931,'[1]NEW PRICE LIST'!$C$4:$H$1917,3,FALSE)</f>
        <v>10</v>
      </c>
      <c r="L931" s="13">
        <v>100</v>
      </c>
      <c r="M931" s="13">
        <v>0</v>
      </c>
      <c r="N931" s="13">
        <v>0</v>
      </c>
    </row>
    <row r="932" spans="1:14" ht="26.4" x14ac:dyDescent="0.25">
      <c r="A932" s="14" t="str">
        <f t="shared" si="38"/>
        <v>AVT0000931</v>
      </c>
      <c r="B932" s="13" t="str">
        <f>VLOOKUP(D932,'SUPPLIER_ITEMS (1st Tools)'!C1400:D3127,2,FALSE)</f>
        <v>1ST-358-1399</v>
      </c>
      <c r="C932" s="14" t="s">
        <v>139</v>
      </c>
      <c r="D932" s="18" t="s">
        <v>2389</v>
      </c>
      <c r="F932" s="30" t="str">
        <f t="shared" si="39"/>
        <v>AV66340-3 WELDING LENS CLEAR GLASS (TRANSPARENT)</v>
      </c>
      <c r="I932" s="31" t="str">
        <f>VLOOKUP(D932,'[1]NEW PRICE LIST'!$C$4:$D$1917,2,FALSE)</f>
        <v>180PCS*5BOXES
/CTN</v>
      </c>
      <c r="J932" s="13" t="s">
        <v>3620</v>
      </c>
      <c r="K932" s="32">
        <f>VLOOKUP(D932,'[1]NEW PRICE LIST'!$C$4:$H$1917,3,FALSE)</f>
        <v>8</v>
      </c>
      <c r="L932" s="13">
        <v>100</v>
      </c>
      <c r="M932" s="13">
        <v>0</v>
      </c>
      <c r="N932" s="13">
        <v>0</v>
      </c>
    </row>
    <row r="933" spans="1:14" x14ac:dyDescent="0.25">
      <c r="A933" s="14" t="str">
        <f t="shared" si="38"/>
        <v>AVT0000932</v>
      </c>
      <c r="B933" s="13" t="str">
        <f>VLOOKUP(D933,'SUPPLIER_ITEMS (1st Tools)'!C1401:D3128,2,FALSE)</f>
        <v>1ST-358-1400</v>
      </c>
      <c r="C933" s="14" t="s">
        <v>140</v>
      </c>
      <c r="D933" s="19" t="s">
        <v>2390</v>
      </c>
      <c r="F933" s="30" t="str">
        <f t="shared" si="39"/>
        <v>AV66330-1 BLUE WELDING MASK W/HANDLE</v>
      </c>
      <c r="I933" s="31" t="str">
        <f>VLOOKUP(D933,'[1]NEW PRICE LIST'!$C$4:$D$1917,2,FALSE)</f>
        <v>30PCS/CTN</v>
      </c>
      <c r="J933" s="13" t="s">
        <v>300</v>
      </c>
      <c r="K933" s="32">
        <f>VLOOKUP(D933,'[1]NEW PRICE LIST'!$C$4:$H$1917,3,FALSE)</f>
        <v>110</v>
      </c>
      <c r="L933" s="13">
        <v>100</v>
      </c>
      <c r="M933" s="13">
        <v>0</v>
      </c>
      <c r="N933" s="13">
        <v>0</v>
      </c>
    </row>
    <row r="934" spans="1:14" ht="26.4" x14ac:dyDescent="0.25">
      <c r="A934" s="14" t="str">
        <f t="shared" si="38"/>
        <v>AVT0000933</v>
      </c>
      <c r="B934" s="13" t="str">
        <f>VLOOKUP(D934,'SUPPLIER_ITEMS (1st Tools)'!C1402:D3129,2,FALSE)</f>
        <v>1ST-358-1401</v>
      </c>
      <c r="C934" s="14" t="s">
        <v>140</v>
      </c>
      <c r="D934" s="19" t="s">
        <v>2391</v>
      </c>
      <c r="F934" s="30" t="str">
        <f t="shared" si="39"/>
        <v>AV66330-2 BLUE WELDING MASK W/HEAD MOUNTED OPEN TYPE</v>
      </c>
      <c r="I934" s="31" t="str">
        <f>VLOOKUP(D934,'[1]NEW PRICE LIST'!$C$4:$D$1917,2,FALSE)</f>
        <v>30PCS/CTN</v>
      </c>
      <c r="J934" s="13" t="s">
        <v>300</v>
      </c>
      <c r="K934" s="32">
        <f>VLOOKUP(D934,'[1]NEW PRICE LIST'!$C$4:$H$1917,3,FALSE)</f>
        <v>160</v>
      </c>
      <c r="L934" s="13">
        <v>100</v>
      </c>
      <c r="M934" s="13">
        <v>0</v>
      </c>
      <c r="N934" s="13">
        <v>0</v>
      </c>
    </row>
    <row r="935" spans="1:14" x14ac:dyDescent="0.25">
      <c r="A935" s="14" t="str">
        <f t="shared" si="38"/>
        <v>AVT0000934</v>
      </c>
      <c r="B935" s="13" t="str">
        <f>VLOOKUP(D935,'SUPPLIER_ITEMS (1st Tools)'!C1403:D3130,2,FALSE)</f>
        <v>1ST-358-1402</v>
      </c>
      <c r="C935" s="14" t="s">
        <v>138</v>
      </c>
      <c r="D935" s="18" t="s">
        <v>2392</v>
      </c>
      <c r="F935" s="30" t="str">
        <f t="shared" si="39"/>
        <v>AV33004-1 #60 POLOLOCK SAND PAPER</v>
      </c>
      <c r="I935" s="31" t="str">
        <f>VLOOKUP(D935,'[1]NEW PRICE LIST'!$C$4:$D$1917,2,FALSE)</f>
        <v>500PCS/CTN</v>
      </c>
      <c r="J935" s="13" t="s">
        <v>300</v>
      </c>
      <c r="K935" s="32">
        <f>VLOOKUP(D935,'[1]NEW PRICE LIST'!$C$4:$H$1917,3,FALSE)</f>
        <v>11</v>
      </c>
      <c r="L935" s="13">
        <v>100</v>
      </c>
      <c r="M935" s="13">
        <v>0</v>
      </c>
      <c r="N935" s="13">
        <v>0</v>
      </c>
    </row>
    <row r="936" spans="1:14" x14ac:dyDescent="0.25">
      <c r="A936" s="14" t="str">
        <f t="shared" si="38"/>
        <v>AVT0000935</v>
      </c>
      <c r="B936" s="13" t="str">
        <f>VLOOKUP(D936,'SUPPLIER_ITEMS (1st Tools)'!C1404:D3131,2,FALSE)</f>
        <v>1ST-358-1403</v>
      </c>
      <c r="C936" s="14" t="s">
        <v>138</v>
      </c>
      <c r="D936" s="18" t="s">
        <v>2393</v>
      </c>
      <c r="F936" s="30" t="str">
        <f t="shared" si="39"/>
        <v>AV33004-2 #80 POLOLOCK SAND PAPER</v>
      </c>
      <c r="I936" s="31" t="str">
        <f>VLOOKUP(D936,'[1]NEW PRICE LIST'!$C$4:$D$1917,2,FALSE)</f>
        <v>500PCS/CTN</v>
      </c>
      <c r="J936" s="13" t="s">
        <v>300</v>
      </c>
      <c r="K936" s="32">
        <f>VLOOKUP(D936,'[1]NEW PRICE LIST'!$C$4:$H$1917,3,FALSE)</f>
        <v>11</v>
      </c>
      <c r="L936" s="13">
        <v>100</v>
      </c>
      <c r="M936" s="13">
        <v>0</v>
      </c>
      <c r="N936" s="13">
        <v>0</v>
      </c>
    </row>
    <row r="937" spans="1:14" x14ac:dyDescent="0.25">
      <c r="A937" s="14" t="str">
        <f t="shared" si="38"/>
        <v>AVT0000936</v>
      </c>
      <c r="B937" s="13" t="str">
        <f>VLOOKUP(D937,'SUPPLIER_ITEMS (1st Tools)'!C1405:D3132,2,FALSE)</f>
        <v>1ST-358-1404</v>
      </c>
      <c r="C937" s="14" t="s">
        <v>138</v>
      </c>
      <c r="D937" s="18" t="s">
        <v>2394</v>
      </c>
      <c r="F937" s="30" t="str">
        <f t="shared" si="39"/>
        <v>AV33004-3 #100 POLOLOCK SAND PAPER</v>
      </c>
      <c r="I937" s="31" t="str">
        <f>VLOOKUP(D937,'[1]NEW PRICE LIST'!$C$4:$D$1917,2,FALSE)</f>
        <v>500PCS/CTN</v>
      </c>
      <c r="J937" s="13" t="s">
        <v>300</v>
      </c>
      <c r="K937" s="32">
        <f>VLOOKUP(D937,'[1]NEW PRICE LIST'!$C$4:$H$1917,3,FALSE)</f>
        <v>11</v>
      </c>
      <c r="L937" s="13">
        <v>100</v>
      </c>
      <c r="M937" s="13">
        <v>0</v>
      </c>
      <c r="N937" s="13">
        <v>0</v>
      </c>
    </row>
    <row r="938" spans="1:14" x14ac:dyDescent="0.25">
      <c r="A938" s="14" t="str">
        <f t="shared" si="38"/>
        <v>AVT0000937</v>
      </c>
      <c r="B938" s="13" t="str">
        <f>VLOOKUP(D938,'SUPPLIER_ITEMS (1st Tools)'!C1406:D3133,2,FALSE)</f>
        <v>1ST-358-1405</v>
      </c>
      <c r="C938" s="14" t="s">
        <v>138</v>
      </c>
      <c r="D938" s="18" t="s">
        <v>2395</v>
      </c>
      <c r="F938" s="30" t="str">
        <f t="shared" si="39"/>
        <v>AV33004-4 #120 POLOLOCK SAND PAPER</v>
      </c>
      <c r="I938" s="31" t="str">
        <f>VLOOKUP(D938,'[1]NEW PRICE LIST'!$C$4:$D$1917,2,FALSE)</f>
        <v>1000PCS/CTN</v>
      </c>
      <c r="J938" s="13" t="s">
        <v>300</v>
      </c>
      <c r="K938" s="32">
        <f>VLOOKUP(D938,'[1]NEW PRICE LIST'!$C$4:$H$1917,3,FALSE)</f>
        <v>11</v>
      </c>
      <c r="L938" s="13">
        <v>100</v>
      </c>
      <c r="M938" s="13">
        <v>0</v>
      </c>
      <c r="N938" s="13">
        <v>0</v>
      </c>
    </row>
    <row r="939" spans="1:14" x14ac:dyDescent="0.25">
      <c r="A939" s="14" t="str">
        <f t="shared" si="38"/>
        <v>AVT0000938</v>
      </c>
      <c r="B939" s="13" t="str">
        <f>VLOOKUP(D939,'SUPPLIER_ITEMS (1st Tools)'!C1407:D3134,2,FALSE)</f>
        <v>1ST-358-1406</v>
      </c>
      <c r="C939" s="14" t="s">
        <v>138</v>
      </c>
      <c r="D939" s="18" t="s">
        <v>2396</v>
      </c>
      <c r="F939" s="30" t="str">
        <f t="shared" si="39"/>
        <v>AV33004-5 #150 POLOLOCK SAND PAPER</v>
      </c>
      <c r="I939" s="31" t="str">
        <f>VLOOKUP(D939,'[1]NEW PRICE LIST'!$C$4:$D$1917,2,FALSE)</f>
        <v>1000PCS/CTN</v>
      </c>
      <c r="J939" s="13" t="s">
        <v>300</v>
      </c>
      <c r="K939" s="32">
        <f>VLOOKUP(D939,'[1]NEW PRICE LIST'!$C$4:$H$1917,3,FALSE)</f>
        <v>11</v>
      </c>
      <c r="L939" s="13">
        <v>100</v>
      </c>
      <c r="M939" s="13">
        <v>0</v>
      </c>
      <c r="N939" s="13">
        <v>0</v>
      </c>
    </row>
    <row r="940" spans="1:14" x14ac:dyDescent="0.25">
      <c r="A940" s="14" t="str">
        <f t="shared" si="38"/>
        <v>AVT0000939</v>
      </c>
      <c r="B940" s="13" t="str">
        <f>VLOOKUP(D940,'SUPPLIER_ITEMS (1st Tools)'!C1408:D3135,2,FALSE)</f>
        <v>1ST-358-1407</v>
      </c>
      <c r="C940" s="14" t="s">
        <v>138</v>
      </c>
      <c r="D940" s="18" t="s">
        <v>2397</v>
      </c>
      <c r="F940" s="30" t="str">
        <f t="shared" si="39"/>
        <v>AV33004-6 #180 POLOLOCK SAND PAPER</v>
      </c>
      <c r="I940" s="31" t="str">
        <f>VLOOKUP(D940,'[1]NEW PRICE LIST'!$C$4:$D$1917,2,FALSE)</f>
        <v>1000PCS/CTN</v>
      </c>
      <c r="J940" s="13" t="s">
        <v>300</v>
      </c>
      <c r="K940" s="32">
        <f>VLOOKUP(D940,'[1]NEW PRICE LIST'!$C$4:$H$1917,3,FALSE)</f>
        <v>11</v>
      </c>
      <c r="L940" s="13">
        <v>100</v>
      </c>
      <c r="M940" s="13">
        <v>0</v>
      </c>
      <c r="N940" s="13">
        <v>0</v>
      </c>
    </row>
    <row r="941" spans="1:14" x14ac:dyDescent="0.25">
      <c r="A941" s="14" t="str">
        <f t="shared" si="38"/>
        <v>AVT0000940</v>
      </c>
      <c r="B941" s="13" t="str">
        <f>VLOOKUP(D941,'SUPPLIER_ITEMS (1st Tools)'!C1409:D3136,2,FALSE)</f>
        <v>1ST-358-1408</v>
      </c>
      <c r="C941" s="14" t="s">
        <v>138</v>
      </c>
      <c r="D941" s="18" t="s">
        <v>2398</v>
      </c>
      <c r="F941" s="30" t="str">
        <f t="shared" si="39"/>
        <v>AV33004-7 #240 POLOLOCK SAND PAPER</v>
      </c>
      <c r="I941" s="31" t="str">
        <f>VLOOKUP(D941,'[1]NEW PRICE LIST'!$C$4:$D$1917,2,FALSE)</f>
        <v>1000PCS/CTN</v>
      </c>
      <c r="J941" s="13" t="s">
        <v>300</v>
      </c>
      <c r="K941" s="32">
        <f>VLOOKUP(D941,'[1]NEW PRICE LIST'!$C$4:$H$1917,3,FALSE)</f>
        <v>11</v>
      </c>
      <c r="L941" s="13">
        <v>100</v>
      </c>
      <c r="M941" s="13">
        <v>0</v>
      </c>
      <c r="N941" s="13">
        <v>0</v>
      </c>
    </row>
    <row r="942" spans="1:14" x14ac:dyDescent="0.25">
      <c r="A942" s="14" t="str">
        <f t="shared" si="38"/>
        <v>AVT0000941</v>
      </c>
      <c r="B942" s="13" t="str">
        <f>VLOOKUP(D942,'SUPPLIER_ITEMS (1st Tools)'!C1410:D3137,2,FALSE)</f>
        <v>1ST-358-1409</v>
      </c>
      <c r="C942" s="14" t="s">
        <v>138</v>
      </c>
      <c r="D942" s="18" t="s">
        <v>2399</v>
      </c>
      <c r="F942" s="30" t="str">
        <f t="shared" si="39"/>
        <v>AV33004-8 #320 POLOLOCK SAND PAPER</v>
      </c>
      <c r="I942" s="31" t="str">
        <f>VLOOKUP(D942,'[1]NEW PRICE LIST'!$C$4:$D$1917,2,FALSE)</f>
        <v>1000PCS/CTN</v>
      </c>
      <c r="J942" s="13" t="s">
        <v>300</v>
      </c>
      <c r="K942" s="32">
        <f>VLOOKUP(D942,'[1]NEW PRICE LIST'!$C$4:$H$1917,3,FALSE)</f>
        <v>11</v>
      </c>
      <c r="L942" s="13">
        <v>100</v>
      </c>
      <c r="M942" s="13">
        <v>0</v>
      </c>
      <c r="N942" s="13">
        <v>0</v>
      </c>
    </row>
    <row r="943" spans="1:14" x14ac:dyDescent="0.25">
      <c r="A943" s="14" t="str">
        <f t="shared" si="38"/>
        <v>AVT0000942</v>
      </c>
      <c r="B943" s="13" t="str">
        <f>VLOOKUP(D943,'SUPPLIER_ITEMS (1st Tools)'!C1411:D3138,2,FALSE)</f>
        <v>1ST-358-1410</v>
      </c>
      <c r="C943" s="14" t="s">
        <v>138</v>
      </c>
      <c r="D943" s="18" t="s">
        <v>2400</v>
      </c>
      <c r="F943" s="30" t="str">
        <f t="shared" ref="F943:F993" si="40">"AV"&amp;RIGHT(D943,LEN(D943)-2)</f>
        <v>AV33004-9 #400 POLOLOCK SAND PAPER</v>
      </c>
      <c r="I943" s="31" t="str">
        <f>VLOOKUP(D943,'[1]NEW PRICE LIST'!$C$4:$D$1917,2,FALSE)</f>
        <v>1000PCS/CTN</v>
      </c>
      <c r="J943" s="13" t="s">
        <v>300</v>
      </c>
      <c r="K943" s="32">
        <f>VLOOKUP(D943,'[1]NEW PRICE LIST'!$C$4:$H$1917,3,FALSE)</f>
        <v>11</v>
      </c>
      <c r="L943" s="13">
        <v>100</v>
      </c>
      <c r="M943" s="13">
        <v>0</v>
      </c>
      <c r="N943" s="13">
        <v>0</v>
      </c>
    </row>
    <row r="944" spans="1:14" ht="26.4" x14ac:dyDescent="0.25">
      <c r="A944" s="14" t="str">
        <f t="shared" si="38"/>
        <v>AVT0000943</v>
      </c>
      <c r="B944" s="13" t="str">
        <f>VLOOKUP(D944,'SUPPLIER_ITEMS (1st Tools)'!C1415:D3142,2,FALSE)</f>
        <v>1ST-358-1414</v>
      </c>
      <c r="C944" s="14" t="s">
        <v>137</v>
      </c>
      <c r="D944" s="18" t="s">
        <v>2404</v>
      </c>
      <c r="F944" s="30" t="str">
        <f t="shared" si="40"/>
        <v>AV66183-1 (PL33005-36) POLOLOCK FLOOR SANDING ROLL #36</v>
      </c>
      <c r="I944" s="31" t="str">
        <f>VLOOKUP(D944,'[1]NEW PRICE LIST'!$C$4:$D$1917,2,FALSE)</f>
        <v>2ROLL/CTN</v>
      </c>
      <c r="J944" s="13" t="s">
        <v>3980</v>
      </c>
      <c r="K944" s="32">
        <f>VLOOKUP(D944,'[1]NEW PRICE LIST'!$C$4:$H$1917,3,FALSE)</f>
        <v>3900</v>
      </c>
      <c r="L944" s="13">
        <v>100</v>
      </c>
      <c r="M944" s="13">
        <v>0</v>
      </c>
      <c r="N944" s="13">
        <v>0</v>
      </c>
    </row>
    <row r="945" spans="1:14" ht="26.4" x14ac:dyDescent="0.25">
      <c r="A945" s="14" t="str">
        <f t="shared" si="38"/>
        <v>AVT0000944</v>
      </c>
      <c r="B945" s="13" t="str">
        <f>VLOOKUP(D945,'SUPPLIER_ITEMS (1st Tools)'!C1416:D3143,2,FALSE)</f>
        <v>1ST-358-1415</v>
      </c>
      <c r="C945" s="14" t="s">
        <v>137</v>
      </c>
      <c r="D945" s="18" t="s">
        <v>2406</v>
      </c>
      <c r="F945" s="30" t="str">
        <f t="shared" si="40"/>
        <v>AV66183-2 (PL33005-60) POLOLOCK FLOOR SANDING ROLL #60</v>
      </c>
      <c r="I945" s="31" t="str">
        <f>VLOOKUP(D945,'[1]NEW PRICE LIST'!$C$4:$D$1917,2,FALSE)</f>
        <v>2ROLL/CTN</v>
      </c>
      <c r="J945" s="13" t="s">
        <v>3980</v>
      </c>
      <c r="K945" s="32">
        <f>VLOOKUP(D945,'[1]NEW PRICE LIST'!$C$4:$H$1917,3,FALSE)</f>
        <v>3350</v>
      </c>
      <c r="L945" s="13">
        <v>100</v>
      </c>
      <c r="M945" s="13">
        <v>0</v>
      </c>
      <c r="N945" s="13">
        <v>0</v>
      </c>
    </row>
    <row r="946" spans="1:14" ht="26.4" x14ac:dyDescent="0.25">
      <c r="A946" s="14" t="str">
        <f t="shared" si="38"/>
        <v>AVT0000945</v>
      </c>
      <c r="B946" s="13" t="str">
        <f>VLOOKUP(D946,'SUPPLIER_ITEMS (1st Tools)'!C1417:D3144,2,FALSE)</f>
        <v>1ST-358-1416</v>
      </c>
      <c r="C946" s="14" t="s">
        <v>137</v>
      </c>
      <c r="D946" s="18" t="s">
        <v>2408</v>
      </c>
      <c r="F946" s="30" t="str">
        <f t="shared" si="40"/>
        <v>AV66183-3 (PL33005-80) POLOLOCK FLOOR SANDING ROLL #80</v>
      </c>
      <c r="I946" s="31" t="str">
        <f>VLOOKUP(D946,'[1]NEW PRICE LIST'!$C$4:$D$1917,2,FALSE)</f>
        <v>2ROLL/CTN</v>
      </c>
      <c r="J946" s="13" t="s">
        <v>3980</v>
      </c>
      <c r="K946" s="32">
        <f>VLOOKUP(D946,'[1]NEW PRICE LIST'!$C$4:$H$1917,3,FALSE)</f>
        <v>3100</v>
      </c>
      <c r="L946" s="13">
        <v>100</v>
      </c>
      <c r="M946" s="13">
        <v>0</v>
      </c>
      <c r="N946" s="13">
        <v>0</v>
      </c>
    </row>
    <row r="947" spans="1:14" ht="26.4" x14ac:dyDescent="0.25">
      <c r="A947" s="14" t="str">
        <f t="shared" si="38"/>
        <v>AVT0000946</v>
      </c>
      <c r="B947" s="13" t="str">
        <f>VLOOKUP(D947,'SUPPLIER_ITEMS (1st Tools)'!C1418:D3145,2,FALSE)</f>
        <v>1ST-358-1417</v>
      </c>
      <c r="C947" s="14" t="s">
        <v>137</v>
      </c>
      <c r="D947" s="18" t="s">
        <v>2410</v>
      </c>
      <c r="F947" s="30" t="str">
        <f t="shared" si="40"/>
        <v>AV66183-4 (PL33005-100) POLOLOCK FLOOR SANDING ROLL #100</v>
      </c>
      <c r="I947" s="31" t="str">
        <f>VLOOKUP(D947,'[1]NEW PRICE LIST'!$C$4:$D$1917,2,FALSE)</f>
        <v>2ROLL/CTN</v>
      </c>
      <c r="J947" s="13" t="s">
        <v>3980</v>
      </c>
      <c r="K947" s="32">
        <f>VLOOKUP(D947,'[1]NEW PRICE LIST'!$C$4:$H$1917,3,FALSE)</f>
        <v>2950</v>
      </c>
      <c r="L947" s="13">
        <v>100</v>
      </c>
      <c r="M947" s="13">
        <v>0</v>
      </c>
      <c r="N947" s="13">
        <v>0</v>
      </c>
    </row>
    <row r="948" spans="1:14" x14ac:dyDescent="0.25">
      <c r="A948" s="14" t="str">
        <f t="shared" si="38"/>
        <v>AVT0000947</v>
      </c>
      <c r="B948" s="13" t="str">
        <f>VLOOKUP(D948,'SUPPLIER_ITEMS (1st Tools)'!C1419:D3146,2,FALSE)</f>
        <v>1ST-358-1418</v>
      </c>
      <c r="C948" s="14" t="s">
        <v>136</v>
      </c>
      <c r="D948" s="18" t="s">
        <v>2412</v>
      </c>
      <c r="F948" s="30" t="str">
        <f t="shared" si="40"/>
        <v>AV66183-01 FLOOR SANDING ROLL FOR METAL #36</v>
      </c>
      <c r="I948" s="31" t="str">
        <f>VLOOKUP(D948,'[1]NEW PRICE LIST'!$C$4:$D$1917,2,FALSE)</f>
        <v>2ROLL/CTN</v>
      </c>
      <c r="J948" s="13" t="s">
        <v>3980</v>
      </c>
      <c r="K948" s="32">
        <f>VLOOKUP(D948,'[1]NEW PRICE LIST'!$C$4:$H$1917,3,FALSE)</f>
        <v>3150</v>
      </c>
      <c r="L948" s="13">
        <v>100</v>
      </c>
      <c r="M948" s="13">
        <v>0</v>
      </c>
      <c r="N948" s="13">
        <v>0</v>
      </c>
    </row>
    <row r="949" spans="1:14" x14ac:dyDescent="0.25">
      <c r="A949" s="14" t="str">
        <f t="shared" si="38"/>
        <v>AVT0000948</v>
      </c>
      <c r="B949" s="13" t="str">
        <f>VLOOKUP(D949,'SUPPLIER_ITEMS (1st Tools)'!C1420:D3147,2,FALSE)</f>
        <v>1ST-358-1419</v>
      </c>
      <c r="C949" s="14" t="s">
        <v>136</v>
      </c>
      <c r="D949" s="18" t="s">
        <v>2414</v>
      </c>
      <c r="F949" s="30" t="str">
        <f t="shared" si="40"/>
        <v>AV66183-02 FLOOR SANDING ROLL FOR METAL #60</v>
      </c>
      <c r="I949" s="31" t="str">
        <f>VLOOKUP(D949,'[1]NEW PRICE LIST'!$C$4:$D$1917,2,FALSE)</f>
        <v>2ROLL/CTN</v>
      </c>
      <c r="J949" s="13" t="s">
        <v>3980</v>
      </c>
      <c r="K949" s="32">
        <f>VLOOKUP(D949,'[1]NEW PRICE LIST'!$C$4:$H$1917,3,FALSE)</f>
        <v>2580</v>
      </c>
      <c r="L949" s="13">
        <v>100</v>
      </c>
      <c r="M949" s="13">
        <v>0</v>
      </c>
      <c r="N949" s="13">
        <v>0</v>
      </c>
    </row>
    <row r="950" spans="1:14" x14ac:dyDescent="0.25">
      <c r="A950" s="14" t="str">
        <f t="shared" si="38"/>
        <v>AVT0000949</v>
      </c>
      <c r="B950" s="13" t="str">
        <f>VLOOKUP(D950,'SUPPLIER_ITEMS (1st Tools)'!C1421:D3148,2,FALSE)</f>
        <v>1ST-358-1420</v>
      </c>
      <c r="C950" s="14" t="s">
        <v>136</v>
      </c>
      <c r="D950" s="18" t="s">
        <v>2416</v>
      </c>
      <c r="F950" s="30" t="str">
        <f t="shared" si="40"/>
        <v>AV66183-03 FLOOR SANDING ROLL FOR METAL #80</v>
      </c>
      <c r="I950" s="31" t="str">
        <f>VLOOKUP(D950,'[1]NEW PRICE LIST'!$C$4:$D$1917,2,FALSE)</f>
        <v>2ROLL/CTN</v>
      </c>
      <c r="J950" s="13" t="s">
        <v>3980</v>
      </c>
      <c r="K950" s="32">
        <f>VLOOKUP(D950,'[1]NEW PRICE LIST'!$C$4:$H$1917,3,FALSE)</f>
        <v>2260</v>
      </c>
      <c r="L950" s="13">
        <v>100</v>
      </c>
      <c r="M950" s="13">
        <v>0</v>
      </c>
      <c r="N950" s="13">
        <v>0</v>
      </c>
    </row>
    <row r="951" spans="1:14" x14ac:dyDescent="0.25">
      <c r="A951" s="14" t="str">
        <f t="shared" si="38"/>
        <v>AVT0000950</v>
      </c>
      <c r="B951" s="13" t="str">
        <f>VLOOKUP(D951,'SUPPLIER_ITEMS (1st Tools)'!C1422:D3149,2,FALSE)</f>
        <v>1ST-358-1421</v>
      </c>
      <c r="C951" s="14" t="s">
        <v>136</v>
      </c>
      <c r="D951" s="18" t="s">
        <v>2417</v>
      </c>
      <c r="F951" s="30" t="str">
        <f t="shared" si="40"/>
        <v>AV66183-04 FLOOR SANDING ROLL FOR METAL #100</v>
      </c>
      <c r="I951" s="31" t="str">
        <f>VLOOKUP(D951,'[1]NEW PRICE LIST'!$C$4:$D$1917,2,FALSE)</f>
        <v>2ROLL/CTN</v>
      </c>
      <c r="J951" s="13" t="s">
        <v>3980</v>
      </c>
      <c r="K951" s="32">
        <f>VLOOKUP(D951,'[1]NEW PRICE LIST'!$C$4:$H$1917,3,FALSE)</f>
        <v>2350</v>
      </c>
      <c r="L951" s="13">
        <v>100</v>
      </c>
      <c r="M951" s="13">
        <v>0</v>
      </c>
      <c r="N951" s="13">
        <v>0</v>
      </c>
    </row>
    <row r="952" spans="1:14" x14ac:dyDescent="0.25">
      <c r="A952" s="14" t="str">
        <f t="shared" si="38"/>
        <v>AVT0000951</v>
      </c>
      <c r="B952" s="13" t="str">
        <f>VLOOKUP(D952,'SUPPLIER_ITEMS (1st Tools)'!C1423:D3150,2,FALSE)</f>
        <v>1ST-358-1422</v>
      </c>
      <c r="C952" s="14" t="s">
        <v>135</v>
      </c>
      <c r="D952" s="18" t="s">
        <v>3349</v>
      </c>
      <c r="F952" s="30" t="str">
        <f t="shared" si="40"/>
        <v>AV66500-1 CUP BRUSH 曲丝3"-PLAIN M10*1.25mm</v>
      </c>
      <c r="I952" s="31" t="str">
        <f>VLOOKUP(D952,'[1]NEW PRICE LIST'!$C$4:$D$1917,2,FALSE)</f>
        <v>100PCS/CTN</v>
      </c>
      <c r="J952" s="13" t="s">
        <v>300</v>
      </c>
      <c r="K952" s="32">
        <f>VLOOKUP(D952,'[1]NEW PRICE LIST'!$C$4:$H$1917,3,FALSE)</f>
        <v>80</v>
      </c>
      <c r="L952" s="13">
        <v>100</v>
      </c>
      <c r="M952" s="13">
        <v>0</v>
      </c>
      <c r="N952" s="13">
        <v>0</v>
      </c>
    </row>
    <row r="953" spans="1:14" x14ac:dyDescent="0.25">
      <c r="A953" s="14" t="str">
        <f t="shared" si="38"/>
        <v>AVT0000952</v>
      </c>
      <c r="B953" s="13" t="str">
        <f>VLOOKUP(D953,'SUPPLIER_ITEMS (1st Tools)'!C1424:D3151,2,FALSE)</f>
        <v>1ST-358-1423</v>
      </c>
      <c r="C953" s="14" t="s">
        <v>135</v>
      </c>
      <c r="D953" s="18" t="s">
        <v>3888</v>
      </c>
      <c r="F953" s="30" t="str">
        <f t="shared" si="40"/>
        <v>AV66500-2 CUP BRUSH 曲丝3"-PLAIN M10*1.5mm</v>
      </c>
      <c r="I953" s="31" t="str">
        <f>VLOOKUP(D953,'[1]NEW PRICE LIST'!$C$4:$D$1917,2,FALSE)</f>
        <v>100PCS/CTN</v>
      </c>
      <c r="J953" s="13" t="s">
        <v>300</v>
      </c>
      <c r="K953" s="32">
        <f>VLOOKUP(D953,'[1]NEW PRICE LIST'!$C$4:$H$1917,3,FALSE)</f>
        <v>80</v>
      </c>
      <c r="L953" s="13">
        <v>100</v>
      </c>
      <c r="M953" s="13">
        <v>0</v>
      </c>
      <c r="N953" s="13">
        <v>0</v>
      </c>
    </row>
    <row r="954" spans="1:14" x14ac:dyDescent="0.25">
      <c r="A954" s="14" t="str">
        <f t="shared" si="38"/>
        <v>AVT0000953</v>
      </c>
      <c r="B954" s="13" t="str">
        <f>VLOOKUP(D954,'SUPPLIER_ITEMS (1st Tools)'!C1427:D3154,2,FALSE)</f>
        <v>1ST-358-1426</v>
      </c>
      <c r="C954" s="14" t="s">
        <v>134</v>
      </c>
      <c r="D954" s="18" t="s">
        <v>3351</v>
      </c>
      <c r="F954" s="30" t="str">
        <f t="shared" si="40"/>
        <v>AV66500-5 CUP BRUSH 扭丝3"-TWISTED M10*1.25mm</v>
      </c>
      <c r="I954" s="31" t="str">
        <f>VLOOKUP(D954,'[1]NEW PRICE LIST'!$C$4:$D$1917,2,FALSE)</f>
        <v>100PCS/CTN</v>
      </c>
      <c r="J954" s="13" t="s">
        <v>300</v>
      </c>
      <c r="K954" s="32">
        <f>VLOOKUP(D954,'[1]NEW PRICE LIST'!$C$4:$H$1917,3,FALSE)</f>
        <v>90</v>
      </c>
      <c r="L954" s="13">
        <v>100</v>
      </c>
      <c r="M954" s="13">
        <v>0</v>
      </c>
      <c r="N954" s="13">
        <v>0</v>
      </c>
    </row>
    <row r="955" spans="1:14" x14ac:dyDescent="0.25">
      <c r="A955" s="14" t="str">
        <f t="shared" si="38"/>
        <v>AVT0000954</v>
      </c>
      <c r="B955" s="13" t="str">
        <f>VLOOKUP(D955,'SUPPLIER_ITEMS (1st Tools)'!C1428:D3155,2,FALSE)</f>
        <v>1ST-358-1427</v>
      </c>
      <c r="C955" s="14" t="s">
        <v>134</v>
      </c>
      <c r="D955" s="18" t="s">
        <v>3890</v>
      </c>
      <c r="F955" s="30" t="str">
        <f t="shared" si="40"/>
        <v>AV66500-6 CUP BRUSH 扭丝3"-TWISTED M10*1.5mm</v>
      </c>
      <c r="I955" s="31" t="str">
        <f>VLOOKUP(D955,'[1]NEW PRICE LIST'!$C$4:$D$1917,2,FALSE)</f>
        <v>100PCS/CTN</v>
      </c>
      <c r="J955" s="13" t="s">
        <v>300</v>
      </c>
      <c r="K955" s="32">
        <f>VLOOKUP(D955,'[1]NEW PRICE LIST'!$C$4:$H$1917,3,FALSE)</f>
        <v>90</v>
      </c>
      <c r="L955" s="13">
        <v>100</v>
      </c>
      <c r="M955" s="13">
        <v>0</v>
      </c>
      <c r="N955" s="13">
        <v>0</v>
      </c>
    </row>
    <row r="956" spans="1:14" x14ac:dyDescent="0.25">
      <c r="A956" s="14" t="str">
        <f t="shared" si="38"/>
        <v>AVT0000955</v>
      </c>
      <c r="B956" s="13" t="str">
        <f>VLOOKUP(D956,'SUPPLIER_ITEMS (1st Tools)'!C1431:D3158,2,FALSE)</f>
        <v>1ST-358-1430</v>
      </c>
      <c r="C956" s="14" t="s">
        <v>133</v>
      </c>
      <c r="D956" s="18" t="s">
        <v>2422</v>
      </c>
      <c r="F956" s="30" t="str">
        <f t="shared" si="40"/>
        <v>AV66501-1 CIRCULAR WIRE BRUSH 4"</v>
      </c>
      <c r="I956" s="31" t="str">
        <f>VLOOKUP(D956,'[1]NEW PRICE LIST'!$C$4:$D$1917,2,FALSE)</f>
        <v>100PCS/CTN</v>
      </c>
      <c r="J956" s="13" t="s">
        <v>300</v>
      </c>
      <c r="K956" s="32">
        <f>VLOOKUP(D956,'[1]NEW PRICE LIST'!$C$4:$H$1917,3,FALSE)</f>
        <v>80</v>
      </c>
      <c r="L956" s="13">
        <v>100</v>
      </c>
      <c r="M956" s="13">
        <v>0</v>
      </c>
      <c r="N956" s="13">
        <v>0</v>
      </c>
    </row>
    <row r="957" spans="1:14" x14ac:dyDescent="0.25">
      <c r="A957" s="14" t="str">
        <f t="shared" si="38"/>
        <v>AVT0000956</v>
      </c>
      <c r="B957" s="13" t="str">
        <f>VLOOKUP(D957,'SUPPLIER_ITEMS (1st Tools)'!C1432:D3159,2,FALSE)</f>
        <v>1ST-358-1431</v>
      </c>
      <c r="C957" s="14" t="s">
        <v>133</v>
      </c>
      <c r="D957" s="18" t="s">
        <v>2423</v>
      </c>
      <c r="F957" s="30" t="str">
        <f t="shared" si="40"/>
        <v>AV66501-2 CIRCULAR WIRE BRUSH 6"</v>
      </c>
      <c r="I957" s="31" t="str">
        <f>VLOOKUP(D957,'[1]NEW PRICE LIST'!$C$4:$D$1917,2,FALSE)</f>
        <v>40PCS/CTN</v>
      </c>
      <c r="J957" s="13" t="s">
        <v>300</v>
      </c>
      <c r="K957" s="32">
        <f>VLOOKUP(D957,'[1]NEW PRICE LIST'!$C$4:$H$1917,3,FALSE)</f>
        <v>180</v>
      </c>
      <c r="L957" s="13">
        <v>100</v>
      </c>
      <c r="M957" s="13">
        <v>0</v>
      </c>
      <c r="N957" s="13">
        <v>0</v>
      </c>
    </row>
    <row r="958" spans="1:14" x14ac:dyDescent="0.25">
      <c r="A958" s="14" t="str">
        <f t="shared" si="38"/>
        <v>AVT0000957</v>
      </c>
      <c r="B958" s="13" t="str">
        <f>VLOOKUP(D958,'SUPPLIER_ITEMS (1st Tools)'!C1433:D3160,2,FALSE)</f>
        <v>1ST-358-1432</v>
      </c>
      <c r="C958" s="14" t="s">
        <v>133</v>
      </c>
      <c r="D958" s="18" t="s">
        <v>2424</v>
      </c>
      <c r="F958" s="30" t="str">
        <f t="shared" si="40"/>
        <v>AV66501-3 CIRCULAR WIRE BRUSH 8"</v>
      </c>
      <c r="I958" s="31" t="str">
        <f>VLOOKUP(D958,'[1]NEW PRICE LIST'!$C$4:$D$1917,2,FALSE)</f>
        <v>20PCS/CTN</v>
      </c>
      <c r="J958" s="13" t="s">
        <v>300</v>
      </c>
      <c r="K958" s="32">
        <f>VLOOKUP(D958,'[1]NEW PRICE LIST'!$C$4:$H$1917,3,FALSE)</f>
        <v>230</v>
      </c>
      <c r="L958" s="13">
        <v>100</v>
      </c>
      <c r="M958" s="13">
        <v>0</v>
      </c>
      <c r="N958" s="13">
        <v>0</v>
      </c>
    </row>
    <row r="959" spans="1:14" x14ac:dyDescent="0.25">
      <c r="A959" s="14" t="str">
        <f t="shared" si="38"/>
        <v>AVT0000958</v>
      </c>
      <c r="B959" s="13" t="str">
        <f>VLOOKUP(D959,'SUPPLIER_ITEMS (1st Tools)'!C1434:D3161,2,FALSE)</f>
        <v>1ST-358-1433</v>
      </c>
      <c r="C959" s="14" t="s">
        <v>132</v>
      </c>
      <c r="D959" s="18" t="s">
        <v>2425</v>
      </c>
      <c r="F959" s="30" t="str">
        <f t="shared" si="40"/>
        <v>AV66180-1 107*1.2*16MM POLONET CUT OFF WHEEL #4</v>
      </c>
      <c r="I959" s="31" t="str">
        <f>VLOOKUP(D959,'[1]NEW PRICE LIST'!$C$4:$D$1917,2,FALSE)</f>
        <v>800PCS/CTN</v>
      </c>
      <c r="J959" s="13" t="s">
        <v>300</v>
      </c>
      <c r="K959" s="32">
        <f>VLOOKUP(D959,'[1]NEW PRICE LIST'!$C$4:$H$1917,3,FALSE)</f>
        <v>8</v>
      </c>
      <c r="L959" s="13">
        <v>100</v>
      </c>
      <c r="M959" s="13">
        <v>0</v>
      </c>
      <c r="N959" s="13">
        <v>0</v>
      </c>
    </row>
    <row r="960" spans="1:14" x14ac:dyDescent="0.25">
      <c r="A960" s="14" t="str">
        <f t="shared" si="38"/>
        <v>AVT0000959</v>
      </c>
      <c r="B960" s="13" t="str">
        <f>VLOOKUP(D960,'SUPPLIER_ITEMS (1st Tools)'!C1435:D3162,2,FALSE)</f>
        <v>1ST-358-1434</v>
      </c>
      <c r="C960" s="14" t="s">
        <v>132</v>
      </c>
      <c r="D960" s="18" t="s">
        <v>2426</v>
      </c>
      <c r="F960" s="30" t="str">
        <f t="shared" si="40"/>
        <v>AV66180-2 107*1.2*16MM POLOLOCK CUT-OFF WHEEL</v>
      </c>
      <c r="I960" s="31" t="str">
        <f>VLOOKUP(D960,'[1]NEW PRICE LIST'!$C$4:$D$1917,2,FALSE)</f>
        <v>800PCS/CTN</v>
      </c>
      <c r="J960" s="13" t="s">
        <v>300</v>
      </c>
      <c r="K960" s="32">
        <f>VLOOKUP(D960,'[1]NEW PRICE LIST'!$C$4:$H$1917,3,FALSE)</f>
        <v>16</v>
      </c>
      <c r="L960" s="13">
        <v>100</v>
      </c>
      <c r="M960" s="13">
        <v>0</v>
      </c>
      <c r="N960" s="13">
        <v>0</v>
      </c>
    </row>
    <row r="961" spans="1:14" x14ac:dyDescent="0.25">
      <c r="A961" s="14" t="str">
        <f t="shared" si="38"/>
        <v>AVT0000960</v>
      </c>
      <c r="B961" s="13" t="str">
        <f>VLOOKUP(D961,'SUPPLIER_ITEMS (1st Tools)'!C1436:D3163,2,FALSE)</f>
        <v>1ST-358-1435</v>
      </c>
      <c r="C961" s="14" t="s">
        <v>132</v>
      </c>
      <c r="D961" s="19" t="s">
        <v>2427</v>
      </c>
      <c r="F961" s="30" t="str">
        <f t="shared" si="40"/>
        <v>AV66180-3 POLONET CUTTING WHEELS BLACK 14"</v>
      </c>
      <c r="I961" s="31" t="str">
        <f>VLOOKUP(D961,'[1]NEW PRICE LIST'!$C$4:$D$1917,2,FALSE)</f>
        <v>25PCS/CTN</v>
      </c>
      <c r="J961" s="13" t="s">
        <v>300</v>
      </c>
      <c r="K961" s="32">
        <f>VLOOKUP(D961,'[1]NEW PRICE LIST'!$C$4:$H$1917,3,FALSE)</f>
        <v>160</v>
      </c>
      <c r="L961" s="13">
        <v>100</v>
      </c>
      <c r="M961" s="13">
        <v>0</v>
      </c>
      <c r="N961" s="13">
        <v>0</v>
      </c>
    </row>
    <row r="962" spans="1:14" x14ac:dyDescent="0.25">
      <c r="A962" s="14" t="str">
        <f t="shared" si="38"/>
        <v>AVT0000961</v>
      </c>
      <c r="B962" s="13" t="str">
        <f>VLOOKUP(D962,'SUPPLIER_ITEMS (1st Tools)'!C1437:D3164,2,FALSE)</f>
        <v>1ST-358-1436</v>
      </c>
      <c r="C962" s="14" t="s">
        <v>132</v>
      </c>
      <c r="D962" s="19" t="s">
        <v>2428</v>
      </c>
      <c r="F962" s="30" t="str">
        <f t="shared" si="40"/>
        <v>AV66184-1 4"GRINDING WHEELS 100*6*16MM</v>
      </c>
      <c r="I962" s="31" t="str">
        <f>VLOOKUP(D962,'[1]NEW PRICE LIST'!$C$4:$D$1917,2,FALSE)</f>
        <v>200PCS/CTN</v>
      </c>
      <c r="J962" s="13" t="s">
        <v>300</v>
      </c>
      <c r="K962" s="32">
        <f>VLOOKUP(D962,'[1]NEW PRICE LIST'!$C$4:$H$1917,3,FALSE)</f>
        <v>30</v>
      </c>
      <c r="L962" s="13">
        <v>100</v>
      </c>
      <c r="M962" s="13">
        <v>0</v>
      </c>
      <c r="N962" s="13">
        <v>0</v>
      </c>
    </row>
    <row r="963" spans="1:14" x14ac:dyDescent="0.25">
      <c r="A963" s="14" t="str">
        <f t="shared" si="38"/>
        <v>AVT0000962</v>
      </c>
      <c r="B963" s="13" t="str">
        <f>VLOOKUP(D963,'SUPPLIER_ITEMS (1st Tools)'!C1438:D3165,2,FALSE)</f>
        <v>1ST-358-1437</v>
      </c>
      <c r="C963" s="14" t="s">
        <v>132</v>
      </c>
      <c r="D963" s="19" t="s">
        <v>2429</v>
      </c>
      <c r="F963" s="30" t="str">
        <f t="shared" si="40"/>
        <v>AV66184-2 7'' POLOLOCK METAL GRINDING WHEELS</v>
      </c>
      <c r="I963" s="31" t="str">
        <f>VLOOKUP(D963,'[1]NEW PRICE LIST'!$C$4:$D$1917,2,FALSE)</f>
        <v>50PCS/CTN</v>
      </c>
      <c r="J963" s="13" t="s">
        <v>300</v>
      </c>
      <c r="K963" s="32">
        <f>VLOOKUP(D963,'[1]NEW PRICE LIST'!$C$4:$H$1917,3,FALSE)</f>
        <v>100</v>
      </c>
      <c r="L963" s="13">
        <v>100</v>
      </c>
      <c r="M963" s="13">
        <v>0</v>
      </c>
      <c r="N963" s="13">
        <v>0</v>
      </c>
    </row>
    <row r="964" spans="1:14" x14ac:dyDescent="0.25">
      <c r="A964" s="14" t="str">
        <f t="shared" ref="A964:A1027" si="41">"AVT"&amp;TEXT(RIGHT(A963,LEN(A963)-3)+1,"0000000")</f>
        <v>AVT0000963</v>
      </c>
      <c r="B964" s="13" t="str">
        <f>VLOOKUP(D964,'SUPPLIER_ITEMS (1st Tools)'!C1439:D3166,2,FALSE)</f>
        <v>1ST-358-1438</v>
      </c>
      <c r="C964" s="14" t="s">
        <v>132</v>
      </c>
      <c r="D964" s="19" t="s">
        <v>2430</v>
      </c>
      <c r="F964" s="30" t="str">
        <f t="shared" si="40"/>
        <v>AV66211-1 POLOLOCK DIAMOND CUTTING WHEEL DRY 4"</v>
      </c>
      <c r="I964" s="31" t="str">
        <f>VLOOKUP(D964,'[1]NEW PRICE LIST'!$C$4:$D$1917,2,FALSE)</f>
        <v>120PCS/CTN</v>
      </c>
      <c r="J964" s="13" t="s">
        <v>300</v>
      </c>
      <c r="K964" s="32">
        <f>VLOOKUP(D964,'[1]NEW PRICE LIST'!$C$4:$H$1917,3,FALSE)</f>
        <v>150</v>
      </c>
      <c r="L964" s="13">
        <v>100</v>
      </c>
      <c r="M964" s="13">
        <v>0</v>
      </c>
      <c r="N964" s="13">
        <v>0</v>
      </c>
    </row>
    <row r="965" spans="1:14" x14ac:dyDescent="0.25">
      <c r="A965" s="14" t="str">
        <f t="shared" si="41"/>
        <v>AVT0000964</v>
      </c>
      <c r="B965" s="13" t="str">
        <f>VLOOKUP(D965,'SUPPLIER_ITEMS (1st Tools)'!C1440:D3167,2,FALSE)</f>
        <v>1ST-358-1439</v>
      </c>
      <c r="C965" s="14" t="s">
        <v>132</v>
      </c>
      <c r="D965" s="18" t="s">
        <v>2431</v>
      </c>
      <c r="F965" s="30" t="str">
        <f t="shared" si="40"/>
        <v>AV66211-2 POLOLOCK DIAMOND CUTTING WHEEL TURBO 4"</v>
      </c>
      <c r="I965" s="31" t="str">
        <f>VLOOKUP(D965,'[1]NEW PRICE LIST'!$C$4:$D$1917,2,FALSE)</f>
        <v>120PCS/CTN</v>
      </c>
      <c r="J965" s="13" t="s">
        <v>300</v>
      </c>
      <c r="K965" s="32">
        <f>VLOOKUP(D965,'[1]NEW PRICE LIST'!$C$4:$H$1917,3,FALSE)</f>
        <v>110</v>
      </c>
      <c r="L965" s="13">
        <v>100</v>
      </c>
      <c r="M965" s="13">
        <v>0</v>
      </c>
      <c r="N965" s="13">
        <v>0</v>
      </c>
    </row>
    <row r="966" spans="1:14" ht="26.4" x14ac:dyDescent="0.25">
      <c r="A966" s="14" t="str">
        <f t="shared" si="41"/>
        <v>AVT0000965</v>
      </c>
      <c r="B966" s="13" t="str">
        <f>VLOOKUP(D966,'SUPPLIER_ITEMS (1st Tools)'!C1441:D3168,2,FALSE)</f>
        <v>1ST-358-1440</v>
      </c>
      <c r="C966" s="14" t="s">
        <v>132</v>
      </c>
      <c r="D966" s="18" t="s">
        <v>2432</v>
      </c>
      <c r="F966" s="30" t="str">
        <f t="shared" si="40"/>
        <v>AV66212 POLOLOCK DIAMOND CUTTING WHEEL SUPERTHIN FOR MARBLE TURBO 4"</v>
      </c>
      <c r="I966" s="31" t="str">
        <f>VLOOKUP(D966,'[1]NEW PRICE LIST'!$C$4:$D$1917,2,FALSE)</f>
        <v>120PCS/CTN</v>
      </c>
      <c r="J966" s="13" t="s">
        <v>300</v>
      </c>
      <c r="K966" s="32">
        <f>VLOOKUP(D966,'[1]NEW PRICE LIST'!$C$4:$H$1917,3,FALSE)</f>
        <v>300</v>
      </c>
      <c r="L966" s="13">
        <v>100</v>
      </c>
      <c r="M966" s="13">
        <v>0</v>
      </c>
      <c r="N966" s="13">
        <v>0</v>
      </c>
    </row>
    <row r="967" spans="1:14" x14ac:dyDescent="0.25">
      <c r="A967" s="14" t="str">
        <f t="shared" si="41"/>
        <v>AVT0000966</v>
      </c>
      <c r="B967" s="13" t="str">
        <f>VLOOKUP(D967,'SUPPLIER_ITEMS (1st Tools)'!C1442:D3169,2,FALSE)</f>
        <v>1ST-358-1441</v>
      </c>
      <c r="C967" s="14" t="s">
        <v>132</v>
      </c>
      <c r="D967" s="18" t="s">
        <v>3893</v>
      </c>
      <c r="F967" s="30" t="str">
        <f t="shared" si="40"/>
        <v>AV66213 POLOLOCK DIAMOND CUTTING WHEEL TURBO 4"</v>
      </c>
      <c r="I967" s="31" t="str">
        <f>VLOOKUP(D967,'[1]NEW PRICE LIST'!$C$4:$D$1917,2,FALSE)</f>
        <v>120PCS/CTN</v>
      </c>
      <c r="J967" s="13" t="s">
        <v>300</v>
      </c>
      <c r="K967" s="32">
        <f>VLOOKUP(D967,'[1]NEW PRICE LIST'!$C$4:$H$1917,3,FALSE)</f>
        <v>250</v>
      </c>
      <c r="L967" s="13">
        <v>100</v>
      </c>
      <c r="M967" s="13">
        <v>0</v>
      </c>
      <c r="N967" s="13">
        <v>0</v>
      </c>
    </row>
    <row r="968" spans="1:14" x14ac:dyDescent="0.25">
      <c r="A968" s="14" t="str">
        <f t="shared" si="41"/>
        <v>AVT0000967</v>
      </c>
      <c r="B968" s="13" t="str">
        <f>VLOOKUP(D968,'SUPPLIER_ITEMS (1st Tools)'!C1443:D3170,2,FALSE)</f>
        <v>1ST-358-1442</v>
      </c>
      <c r="C968" s="14" t="s">
        <v>132</v>
      </c>
      <c r="D968" s="18" t="s">
        <v>2433</v>
      </c>
      <c r="F968" s="30" t="str">
        <f t="shared" si="40"/>
        <v>AV66214 POLOLOCK DIAMOND CUTTING WHEEL TURBO 7"</v>
      </c>
      <c r="I968" s="31" t="str">
        <f>VLOOKUP(D968,'[1]NEW PRICE LIST'!$C$4:$D$1917,2,FALSE)</f>
        <v>40PCS/CTN</v>
      </c>
      <c r="J968" s="13" t="s">
        <v>300</v>
      </c>
      <c r="K968" s="32">
        <f>VLOOKUP(D968,'[1]NEW PRICE LIST'!$C$4:$H$1917,3,FALSE)</f>
        <v>110</v>
      </c>
      <c r="L968" s="13">
        <v>100</v>
      </c>
      <c r="M968" s="13">
        <v>0</v>
      </c>
      <c r="N968" s="13">
        <v>0</v>
      </c>
    </row>
    <row r="969" spans="1:14" ht="26.4" x14ac:dyDescent="0.25">
      <c r="A969" s="14" t="str">
        <f t="shared" si="41"/>
        <v>AVT0000968</v>
      </c>
      <c r="B969" s="13" t="str">
        <f>VLOOKUP(D969,'SUPPLIER_ITEMS (1st Tools)'!C1444:D3171,2,FALSE)</f>
        <v>1ST-358-1443</v>
      </c>
      <c r="C969" s="14" t="s">
        <v>132</v>
      </c>
      <c r="D969" s="18" t="s">
        <v>2434</v>
      </c>
      <c r="F969" s="30" t="str">
        <f t="shared" si="40"/>
        <v>AV66215-1 DIAMOND GRINDING CUP WHEEL 90MM*5MM*20MM</v>
      </c>
      <c r="I969" s="31" t="str">
        <f>VLOOKUP(D969,'[1]NEW PRICE LIST'!$C$4:$D$1917,2,FALSE)</f>
        <v>6PCS*8BOX/CTN</v>
      </c>
      <c r="J969" s="13" t="s">
        <v>3620</v>
      </c>
      <c r="K969" s="32">
        <f>VLOOKUP(D969,'[1]NEW PRICE LIST'!$C$4:$H$1917,3,FALSE)</f>
        <v>250</v>
      </c>
      <c r="L969" s="13">
        <v>100</v>
      </c>
      <c r="M969" s="13">
        <v>0</v>
      </c>
      <c r="N969" s="13">
        <v>0</v>
      </c>
    </row>
    <row r="970" spans="1:14" x14ac:dyDescent="0.25">
      <c r="A970" s="14" t="str">
        <f t="shared" si="41"/>
        <v>AVT0000969</v>
      </c>
      <c r="B970" s="13" t="str">
        <f>VLOOKUP(D970,'SUPPLIER_ITEMS (1st Tools)'!C1446:D3173,2,FALSE)</f>
        <v>1ST-358-1445</v>
      </c>
      <c r="C970" s="14" t="s">
        <v>130</v>
      </c>
      <c r="D970" s="19" t="s">
        <v>3356</v>
      </c>
      <c r="F970" s="30" t="str">
        <f t="shared" si="40"/>
        <v>AV66181-1 FLAP DISCS（FOR METAL) #36</v>
      </c>
      <c r="I970" s="31" t="str">
        <f>VLOOKUP(D970,'[1]NEW PRICE LIST'!$C$4:$D$1917,2,FALSE)</f>
        <v>200PCS/CTN</v>
      </c>
      <c r="J970" s="13" t="s">
        <v>300</v>
      </c>
      <c r="K970" s="32">
        <f>VLOOKUP(D970,'[1]NEW PRICE LIST'!$C$4:$H$1917,3,FALSE)</f>
        <v>25</v>
      </c>
      <c r="L970" s="13">
        <v>100</v>
      </c>
      <c r="M970" s="13">
        <v>0</v>
      </c>
      <c r="N970" s="13">
        <v>0</v>
      </c>
    </row>
    <row r="971" spans="1:14" x14ac:dyDescent="0.25">
      <c r="A971" s="14" t="str">
        <f t="shared" si="41"/>
        <v>AVT0000970</v>
      </c>
      <c r="B971" s="13" t="str">
        <f>VLOOKUP(D971,'SUPPLIER_ITEMS (1st Tools)'!C1447:D3174,2,FALSE)</f>
        <v>1ST-358-1446</v>
      </c>
      <c r="C971" s="14" t="s">
        <v>130</v>
      </c>
      <c r="D971" s="19" t="s">
        <v>3358</v>
      </c>
      <c r="F971" s="30" t="str">
        <f t="shared" si="40"/>
        <v>AV66181-2 FLAP DISCS（FOR METAL) #40</v>
      </c>
      <c r="I971" s="31" t="str">
        <f>VLOOKUP(D971,'[1]NEW PRICE LIST'!$C$4:$D$1917,2,FALSE)</f>
        <v>200PCS/CTN</v>
      </c>
      <c r="J971" s="13" t="s">
        <v>300</v>
      </c>
      <c r="K971" s="32">
        <f>VLOOKUP(D971,'[1]NEW PRICE LIST'!$C$4:$H$1917,3,FALSE)</f>
        <v>25</v>
      </c>
      <c r="L971" s="13">
        <v>100</v>
      </c>
      <c r="M971" s="13">
        <v>0</v>
      </c>
      <c r="N971" s="13">
        <v>0</v>
      </c>
    </row>
    <row r="972" spans="1:14" x14ac:dyDescent="0.25">
      <c r="A972" s="14" t="str">
        <f t="shared" si="41"/>
        <v>AVT0000971</v>
      </c>
      <c r="B972" s="13" t="str">
        <f>VLOOKUP(D972,'SUPPLIER_ITEMS (1st Tools)'!C1448:D3175,2,FALSE)</f>
        <v>1ST-358-1447</v>
      </c>
      <c r="C972" s="14" t="s">
        <v>130</v>
      </c>
      <c r="D972" s="19" t="s">
        <v>3359</v>
      </c>
      <c r="F972" s="30" t="str">
        <f t="shared" si="40"/>
        <v>AV66181-3 FLAP DISCS（FOR METAL) #60</v>
      </c>
      <c r="I972" s="31" t="str">
        <f>VLOOKUP(D972,'[1]NEW PRICE LIST'!$C$4:$D$1917,2,FALSE)</f>
        <v>200PCS/CTN</v>
      </c>
      <c r="J972" s="13" t="s">
        <v>300</v>
      </c>
      <c r="K972" s="32">
        <f>VLOOKUP(D972,'[1]NEW PRICE LIST'!$C$4:$H$1917,3,FALSE)</f>
        <v>25</v>
      </c>
      <c r="L972" s="13">
        <v>100</v>
      </c>
      <c r="M972" s="13">
        <v>0</v>
      </c>
      <c r="N972" s="13">
        <v>0</v>
      </c>
    </row>
    <row r="973" spans="1:14" x14ac:dyDescent="0.25">
      <c r="A973" s="14" t="str">
        <f t="shared" si="41"/>
        <v>AVT0000972</v>
      </c>
      <c r="B973" s="13" t="str">
        <f>VLOOKUP(D973,'SUPPLIER_ITEMS (1st Tools)'!C1449:D3176,2,FALSE)</f>
        <v>1ST-358-1448</v>
      </c>
      <c r="C973" s="14" t="s">
        <v>130</v>
      </c>
      <c r="D973" s="19" t="s">
        <v>3361</v>
      </c>
      <c r="F973" s="30" t="str">
        <f t="shared" si="40"/>
        <v>AV66181-4 FLAP DISCS（FOR METAL) #80</v>
      </c>
      <c r="I973" s="31" t="str">
        <f>VLOOKUP(D973,'[1]NEW PRICE LIST'!$C$4:$D$1917,2,FALSE)</f>
        <v>200PCS/CTN</v>
      </c>
      <c r="J973" s="13" t="s">
        <v>300</v>
      </c>
      <c r="K973" s="32">
        <f>VLOOKUP(D973,'[1]NEW PRICE LIST'!$C$4:$H$1917,3,FALSE)</f>
        <v>25</v>
      </c>
      <c r="L973" s="13">
        <v>100</v>
      </c>
      <c r="M973" s="13">
        <v>0</v>
      </c>
      <c r="N973" s="13">
        <v>0</v>
      </c>
    </row>
    <row r="974" spans="1:14" x14ac:dyDescent="0.25">
      <c r="A974" s="14" t="str">
        <f t="shared" si="41"/>
        <v>AVT0000973</v>
      </c>
      <c r="B974" s="13" t="str">
        <f>VLOOKUP(D974,'SUPPLIER_ITEMS (1st Tools)'!C1450:D3177,2,FALSE)</f>
        <v>1ST-358-1449</v>
      </c>
      <c r="C974" s="14" t="s">
        <v>130</v>
      </c>
      <c r="D974" s="19" t="s">
        <v>3362</v>
      </c>
      <c r="F974" s="30" t="str">
        <f t="shared" si="40"/>
        <v>AV66181-5 FLAP DISCS（FOR METAL) #100</v>
      </c>
      <c r="I974" s="31" t="str">
        <f>VLOOKUP(D974,'[1]NEW PRICE LIST'!$C$4:$D$1917,2,FALSE)</f>
        <v>200PCS/CTN</v>
      </c>
      <c r="J974" s="13" t="s">
        <v>300</v>
      </c>
      <c r="K974" s="32">
        <f>VLOOKUP(D974,'[1]NEW PRICE LIST'!$C$4:$H$1917,3,FALSE)</f>
        <v>25</v>
      </c>
      <c r="L974" s="13">
        <v>100</v>
      </c>
      <c r="M974" s="13">
        <v>0</v>
      </c>
      <c r="N974" s="13">
        <v>0</v>
      </c>
    </row>
    <row r="975" spans="1:14" x14ac:dyDescent="0.25">
      <c r="A975" s="14" t="str">
        <f t="shared" si="41"/>
        <v>AVT0000974</v>
      </c>
      <c r="B975" s="13" t="str">
        <f>VLOOKUP(D975,'SUPPLIER_ITEMS (1st Tools)'!C1451:D3178,2,FALSE)</f>
        <v>1ST-358-1450</v>
      </c>
      <c r="C975" s="14" t="s">
        <v>130</v>
      </c>
      <c r="D975" s="19" t="s">
        <v>3894</v>
      </c>
      <c r="F975" s="30" t="str">
        <f t="shared" si="40"/>
        <v>AV66181-6 FLAP DISCS（FOR METAL) #120</v>
      </c>
      <c r="I975" s="31" t="str">
        <f>VLOOKUP(D975,'[1]NEW PRICE LIST'!$C$4:$D$1917,2,FALSE)</f>
        <v>200PCS/CTN</v>
      </c>
      <c r="J975" s="13" t="s">
        <v>300</v>
      </c>
      <c r="K975" s="32">
        <f>VLOOKUP(D975,'[1]NEW PRICE LIST'!$C$4:$H$1917,3,FALSE)</f>
        <v>25</v>
      </c>
      <c r="L975" s="13">
        <v>100</v>
      </c>
      <c r="M975" s="13">
        <v>0</v>
      </c>
      <c r="N975" s="13">
        <v>0</v>
      </c>
    </row>
    <row r="976" spans="1:14" ht="26.4" x14ac:dyDescent="0.25">
      <c r="A976" s="14" t="str">
        <f t="shared" si="41"/>
        <v>AVT0000975</v>
      </c>
      <c r="B976" s="13" t="str">
        <f>VLOOKUP(D976,'SUPPLIER_ITEMS (1st Tools)'!C1452:D3179,2,FALSE)</f>
        <v>1ST-358-1451</v>
      </c>
      <c r="C976" s="14" t="s">
        <v>129</v>
      </c>
      <c r="D976" s="18" t="s">
        <v>3363</v>
      </c>
      <c r="F976" s="30" t="str">
        <f t="shared" si="40"/>
        <v>AV66185-1 FLAP DISC（FOR STAINLESS) 4" 40#</v>
      </c>
      <c r="I976" s="31" t="str">
        <f>VLOOKUP(D976,'[1]NEW PRICE LIST'!$C$4:$D$1917,2,FALSE)</f>
        <v>20PCS  *10BOXES
/CTN</v>
      </c>
      <c r="J976" s="13" t="s">
        <v>3620</v>
      </c>
      <c r="K976" s="32">
        <f>VLOOKUP(D976,'[1]NEW PRICE LIST'!$C$4:$H$1917,3,FALSE)</f>
        <v>50</v>
      </c>
      <c r="L976" s="13">
        <v>100</v>
      </c>
      <c r="M976" s="13">
        <v>0</v>
      </c>
      <c r="N976" s="13">
        <v>0</v>
      </c>
    </row>
    <row r="977" spans="1:14" ht="26.4" x14ac:dyDescent="0.25">
      <c r="A977" s="14" t="str">
        <f t="shared" si="41"/>
        <v>AVT0000976</v>
      </c>
      <c r="B977" s="13" t="str">
        <f>VLOOKUP(D977,'SUPPLIER_ITEMS (1st Tools)'!C1453:D3180,2,FALSE)</f>
        <v>1ST-358-1452</v>
      </c>
      <c r="C977" s="14" t="s">
        <v>129</v>
      </c>
      <c r="D977" s="18" t="s">
        <v>3364</v>
      </c>
      <c r="F977" s="30" t="str">
        <f t="shared" si="40"/>
        <v>AV66185-2FLAP DISC（FOR STAINLESS) 4”60#</v>
      </c>
      <c r="I977" s="31" t="str">
        <f>VLOOKUP(D977,'[1]NEW PRICE LIST'!$C$4:$D$1917,2,FALSE)</f>
        <v>20PCS  *10BOXES
/CTN</v>
      </c>
      <c r="J977" s="13" t="s">
        <v>3620</v>
      </c>
      <c r="K977" s="32">
        <f>VLOOKUP(D977,'[1]NEW PRICE LIST'!$C$4:$H$1917,3,FALSE)</f>
        <v>50</v>
      </c>
      <c r="L977" s="13">
        <v>100</v>
      </c>
      <c r="M977" s="13">
        <v>0</v>
      </c>
      <c r="N977" s="13">
        <v>0</v>
      </c>
    </row>
    <row r="978" spans="1:14" ht="26.4" x14ac:dyDescent="0.25">
      <c r="A978" s="14" t="str">
        <f t="shared" si="41"/>
        <v>AVT0000977</v>
      </c>
      <c r="B978" s="13" t="str">
        <f>VLOOKUP(D978,'SUPPLIER_ITEMS (1st Tools)'!C1454:D3181,2,FALSE)</f>
        <v>1ST-358-1453</v>
      </c>
      <c r="C978" s="14" t="s">
        <v>129</v>
      </c>
      <c r="D978" s="18" t="s">
        <v>3365</v>
      </c>
      <c r="F978" s="30" t="str">
        <f t="shared" si="40"/>
        <v>AV66185-3 FLAP DISC（FOR STAINLESS) 4" 80#</v>
      </c>
      <c r="I978" s="31" t="str">
        <f>VLOOKUP(D978,'[1]NEW PRICE LIST'!$C$4:$D$1917,2,FALSE)</f>
        <v>20PCS  *10BOXES
/CTN</v>
      </c>
      <c r="J978" s="13" t="s">
        <v>3620</v>
      </c>
      <c r="K978" s="32">
        <f>VLOOKUP(D978,'[1]NEW PRICE LIST'!$C$4:$H$1917,3,FALSE)</f>
        <v>50</v>
      </c>
      <c r="L978" s="13">
        <v>100</v>
      </c>
      <c r="M978" s="13">
        <v>0</v>
      </c>
      <c r="N978" s="13">
        <v>0</v>
      </c>
    </row>
    <row r="979" spans="1:14" ht="26.4" x14ac:dyDescent="0.25">
      <c r="A979" s="14" t="str">
        <f t="shared" si="41"/>
        <v>AVT0000978</v>
      </c>
      <c r="B979" s="13" t="str">
        <f>VLOOKUP(D979,'SUPPLIER_ITEMS (1st Tools)'!C1455:D3182,2,FALSE)</f>
        <v>1ST-358-1454</v>
      </c>
      <c r="C979" s="14" t="s">
        <v>129</v>
      </c>
      <c r="D979" s="18" t="s">
        <v>3366</v>
      </c>
      <c r="F979" s="30" t="str">
        <f t="shared" si="40"/>
        <v>AV66185-4 FLAP DISC（FOR STAINLESS) 4" 100#</v>
      </c>
      <c r="I979" s="31" t="str">
        <f>VLOOKUP(D979,'[1]NEW PRICE LIST'!$C$4:$D$1917,2,FALSE)</f>
        <v>20PCS  *10BOXES
/CTN</v>
      </c>
      <c r="J979" s="13" t="s">
        <v>3620</v>
      </c>
      <c r="K979" s="32">
        <f>VLOOKUP(D979,'[1]NEW PRICE LIST'!$C$4:$H$1917,3,FALSE)</f>
        <v>50</v>
      </c>
      <c r="L979" s="13">
        <v>100</v>
      </c>
      <c r="M979" s="13">
        <v>0</v>
      </c>
      <c r="N979" s="13">
        <v>0</v>
      </c>
    </row>
    <row r="980" spans="1:14" ht="26.4" x14ac:dyDescent="0.25">
      <c r="A980" s="14" t="str">
        <f t="shared" si="41"/>
        <v>AVT0000979</v>
      </c>
      <c r="B980" s="13" t="str">
        <f>VLOOKUP(D980,'SUPPLIER_ITEMS (1st Tools)'!C1456:D3183,2,FALSE)</f>
        <v>1ST-358-1455</v>
      </c>
      <c r="C980" s="14" t="s">
        <v>129</v>
      </c>
      <c r="D980" s="18" t="s">
        <v>3367</v>
      </c>
      <c r="F980" s="30" t="str">
        <f t="shared" si="40"/>
        <v>AV66185-5 FLAP DISC（FOR STAINLESS) 4" 120#</v>
      </c>
      <c r="I980" s="31" t="str">
        <f>VLOOKUP(D980,'[1]NEW PRICE LIST'!$C$4:$D$1917,2,FALSE)</f>
        <v>20PCS  *10BOXES
/CTN</v>
      </c>
      <c r="J980" s="13" t="s">
        <v>3620</v>
      </c>
      <c r="K980" s="32">
        <f>VLOOKUP(D980,'[1]NEW PRICE LIST'!$C$4:$H$1917,3,FALSE)</f>
        <v>50</v>
      </c>
      <c r="L980" s="13">
        <v>100</v>
      </c>
      <c r="M980" s="13">
        <v>0</v>
      </c>
      <c r="N980" s="13">
        <v>0</v>
      </c>
    </row>
    <row r="981" spans="1:14" x14ac:dyDescent="0.25">
      <c r="A981" s="14" t="str">
        <f t="shared" si="41"/>
        <v>AVT0000980</v>
      </c>
      <c r="B981" s="13" t="str">
        <f>VLOOKUP(D981,'SUPPLIER_ITEMS (1st Tools)'!C1457:D3184,2,FALSE)</f>
        <v>1ST-358-1456</v>
      </c>
      <c r="C981" s="14" t="s">
        <v>128</v>
      </c>
      <c r="D981" s="14" t="s">
        <v>2012</v>
      </c>
      <c r="F981" s="30" t="str">
        <f t="shared" si="40"/>
        <v>AV66400 120MM*10MM*5MM CHALK STONE</v>
      </c>
      <c r="I981" s="31" t="str">
        <f>VLOOKUP(D981,'[1]NEW PRICE LIST'!$C$4:$D$1917,2,FALSE)</f>
        <v>10BOX/CTN</v>
      </c>
      <c r="J981" s="13" t="s">
        <v>3620</v>
      </c>
      <c r="K981" s="32">
        <f>VLOOKUP(D981,'[1]NEW PRICE LIST'!$C$4:$H$1917,3,FALSE)</f>
        <v>400</v>
      </c>
      <c r="L981" s="13">
        <v>100</v>
      </c>
      <c r="M981" s="13">
        <v>0</v>
      </c>
      <c r="N981" s="13">
        <v>0</v>
      </c>
    </row>
    <row r="982" spans="1:14" x14ac:dyDescent="0.25">
      <c r="A982" s="14" t="str">
        <f t="shared" si="41"/>
        <v>AVT0000981</v>
      </c>
      <c r="B982" s="13" t="str">
        <f>VLOOKUP(D982,'SUPPLIER_ITEMS (1st Tools)'!C1458:D3185,2,FALSE)</f>
        <v>1ST-358-1457</v>
      </c>
      <c r="C982" s="14" t="s">
        <v>127</v>
      </c>
      <c r="D982" s="14" t="s">
        <v>3895</v>
      </c>
      <c r="F982" s="30" t="str">
        <f t="shared" si="40"/>
        <v>AV66420 STAPLE GUN</v>
      </c>
      <c r="I982" s="31" t="str">
        <f>VLOOKUP(D982,'[1]NEW PRICE LIST'!$C$4:$D$1917,2,FALSE)</f>
        <v>24PCS/CTN</v>
      </c>
      <c r="J982" s="13" t="s">
        <v>300</v>
      </c>
      <c r="K982" s="32">
        <f>VLOOKUP(D982,'[1]NEW PRICE LIST'!$C$4:$H$1917,3,FALSE)</f>
        <v>290</v>
      </c>
      <c r="L982" s="13">
        <v>100</v>
      </c>
      <c r="M982" s="13">
        <v>0</v>
      </c>
      <c r="N982" s="13">
        <v>0</v>
      </c>
    </row>
    <row r="983" spans="1:14" x14ac:dyDescent="0.25">
      <c r="A983" s="14" t="str">
        <f t="shared" si="41"/>
        <v>AVT0000982</v>
      </c>
      <c r="B983" s="13" t="str">
        <f>VLOOKUP(D983,'SUPPLIER_ITEMS (1st Tools)'!C1460:D3187,2,FALSE)</f>
        <v>1ST-358-1459</v>
      </c>
      <c r="C983" s="14" t="s">
        <v>126</v>
      </c>
      <c r="D983" s="18" t="s">
        <v>2437</v>
      </c>
      <c r="F983" s="30" t="str">
        <f t="shared" si="40"/>
        <v>AV66430-2 POLONET STAPLES 8M</v>
      </c>
      <c r="I983" s="31" t="str">
        <f>VLOOKUP(D983,'[1]NEW PRICE LIST'!$C$4:$D$1917,2,FALSE)</f>
        <v>200BOX/CTN</v>
      </c>
      <c r="J983" s="13" t="s">
        <v>3620</v>
      </c>
      <c r="K983" s="32">
        <f>VLOOKUP(D983,'[1]NEW PRICE LIST'!$C$4:$H$1917,3,FALSE)</f>
        <v>390</v>
      </c>
      <c r="L983" s="13">
        <v>100</v>
      </c>
      <c r="M983" s="13">
        <v>0</v>
      </c>
      <c r="N983" s="13">
        <v>0</v>
      </c>
    </row>
    <row r="984" spans="1:14" x14ac:dyDescent="0.25">
      <c r="A984" s="14" t="str">
        <f t="shared" si="41"/>
        <v>AVT0000983</v>
      </c>
      <c r="B984" s="13" t="str">
        <f>VLOOKUP(D984,'SUPPLIER_ITEMS (1st Tools)'!C1461:D3188,2,FALSE)</f>
        <v>1ST-358-1460</v>
      </c>
      <c r="C984" s="14" t="s">
        <v>126</v>
      </c>
      <c r="D984" s="18" t="s">
        <v>2439</v>
      </c>
      <c r="F984" s="30" t="str">
        <f t="shared" si="40"/>
        <v>AV66430-3 POLONET STAPLES 10M</v>
      </c>
      <c r="I984" s="31" t="str">
        <f>VLOOKUP(D984,'[1]NEW PRICE LIST'!$C$4:$D$1917,2,FALSE)</f>
        <v>200BOX/CTN</v>
      </c>
      <c r="J984" s="13" t="s">
        <v>3620</v>
      </c>
      <c r="K984" s="32">
        <f>VLOOKUP(D984,'[1]NEW PRICE LIST'!$C$4:$H$1917,3,FALSE)</f>
        <v>390</v>
      </c>
      <c r="L984" s="13">
        <v>100</v>
      </c>
      <c r="M984" s="13">
        <v>0</v>
      </c>
      <c r="N984" s="13">
        <v>0</v>
      </c>
    </row>
    <row r="985" spans="1:14" x14ac:dyDescent="0.25">
      <c r="A985" s="14" t="str">
        <f t="shared" si="41"/>
        <v>AVT0000984</v>
      </c>
      <c r="B985" s="13" t="str">
        <f>VLOOKUP(D985,'SUPPLIER_ITEMS (1st Tools)'!C1462:D3189,2,FALSE)</f>
        <v>1ST-358-1461</v>
      </c>
      <c r="C985" s="14" t="s">
        <v>125</v>
      </c>
      <c r="D985" s="18" t="s">
        <v>3896</v>
      </c>
      <c r="F985" s="30" t="str">
        <f t="shared" si="40"/>
        <v>AV66440-1 POLONET MASKING TAPE 1/2"- 12mm*25Y</v>
      </c>
      <c r="I985" s="31" t="str">
        <f>VLOOKUP(D985,'[1]NEW PRICE LIST'!$C$4:$D$1917,2,FALSE)</f>
        <v>96PCS/CTN</v>
      </c>
      <c r="J985" s="13" t="s">
        <v>300</v>
      </c>
      <c r="K985" s="32">
        <f>VLOOKUP(D985,'[1]NEW PRICE LIST'!$C$4:$H$1917,3,FALSE)</f>
        <v>1200</v>
      </c>
      <c r="L985" s="13">
        <v>100</v>
      </c>
      <c r="M985" s="13">
        <v>0</v>
      </c>
      <c r="N985" s="13">
        <v>0</v>
      </c>
    </row>
    <row r="986" spans="1:14" x14ac:dyDescent="0.25">
      <c r="A986" s="14" t="str">
        <f t="shared" si="41"/>
        <v>AVT0000985</v>
      </c>
      <c r="B986" s="13" t="str">
        <f>VLOOKUP(D986,'SUPPLIER_ITEMS (1st Tools)'!C1463:D3190,2,FALSE)</f>
        <v>1ST-358-1462</v>
      </c>
      <c r="C986" s="14" t="s">
        <v>125</v>
      </c>
      <c r="D986" s="18" t="s">
        <v>3897</v>
      </c>
      <c r="F986" s="30" t="str">
        <f t="shared" si="40"/>
        <v>AV66440-2 POLONET MASKING TAPE 3/4"- 18mm*25Y</v>
      </c>
      <c r="I986" s="31" t="str">
        <f>VLOOKUP(D986,'[1]NEW PRICE LIST'!$C$4:$D$1917,2,FALSE)</f>
        <v>64PCS/CTN</v>
      </c>
      <c r="J986" s="13" t="s">
        <v>300</v>
      </c>
      <c r="K986" s="32">
        <f>VLOOKUP(D986,'[1]NEW PRICE LIST'!$C$4:$H$1917,3,FALSE)</f>
        <v>1200</v>
      </c>
      <c r="L986" s="13">
        <v>100</v>
      </c>
      <c r="M986" s="13">
        <v>0</v>
      </c>
      <c r="N986" s="13">
        <v>0</v>
      </c>
    </row>
    <row r="987" spans="1:14" x14ac:dyDescent="0.25">
      <c r="A987" s="14" t="str">
        <f t="shared" si="41"/>
        <v>AVT0000986</v>
      </c>
      <c r="B987" s="13" t="str">
        <f>VLOOKUP(D987,'SUPPLIER_ITEMS (1st Tools)'!C1464:D3191,2,FALSE)</f>
        <v>1ST-358-1463</v>
      </c>
      <c r="C987" s="14" t="s">
        <v>125</v>
      </c>
      <c r="D987" s="18" t="s">
        <v>3898</v>
      </c>
      <c r="F987" s="30" t="str">
        <f t="shared" si="40"/>
        <v>AV66440-3 POLONET MASKING TAPE 1"- 24mm*25Y</v>
      </c>
      <c r="I987" s="31" t="str">
        <f>VLOOKUP(D987,'[1]NEW PRICE LIST'!$C$4:$D$1917,2,FALSE)</f>
        <v>48PCS/CTN</v>
      </c>
      <c r="J987" s="13" t="s">
        <v>300</v>
      </c>
      <c r="K987" s="32">
        <f>VLOOKUP(D987,'[1]NEW PRICE LIST'!$C$4:$H$1917,3,FALSE)</f>
        <v>1200</v>
      </c>
      <c r="L987" s="13">
        <v>100</v>
      </c>
      <c r="M987" s="13">
        <v>0</v>
      </c>
      <c r="N987" s="13">
        <v>0</v>
      </c>
    </row>
    <row r="988" spans="1:14" x14ac:dyDescent="0.25">
      <c r="A988" s="14" t="str">
        <f t="shared" si="41"/>
        <v>AVT0000987</v>
      </c>
      <c r="B988" s="13" t="str">
        <f>VLOOKUP(D988,'SUPPLIER_ITEMS (1st Tools)'!C1465:D3192,2,FALSE)</f>
        <v>1ST-358-1464</v>
      </c>
      <c r="C988" s="14" t="s">
        <v>125</v>
      </c>
      <c r="D988" s="18" t="s">
        <v>3899</v>
      </c>
      <c r="F988" s="30" t="str">
        <f t="shared" si="40"/>
        <v>AV66440-4 POLONET MASKING TAPE 1-1/2"- 36mm*25Y</v>
      </c>
      <c r="I988" s="31" t="str">
        <f>VLOOKUP(D988,'[1]NEW PRICE LIST'!$C$4:$D$1917,2,FALSE)</f>
        <v>32PCS/CTN</v>
      </c>
      <c r="J988" s="13" t="s">
        <v>300</v>
      </c>
      <c r="K988" s="32">
        <f>VLOOKUP(D988,'[1]NEW PRICE LIST'!$C$4:$H$1917,3,FALSE)</f>
        <v>1200</v>
      </c>
      <c r="L988" s="13">
        <v>100</v>
      </c>
      <c r="M988" s="13">
        <v>0</v>
      </c>
      <c r="N988" s="13">
        <v>0</v>
      </c>
    </row>
    <row r="989" spans="1:14" x14ac:dyDescent="0.25">
      <c r="A989" s="14" t="str">
        <f t="shared" si="41"/>
        <v>AVT0000988</v>
      </c>
      <c r="B989" s="13" t="str">
        <f>VLOOKUP(D989,'SUPPLIER_ITEMS (1st Tools)'!C1466:D3193,2,FALSE)</f>
        <v>1ST-358-1465</v>
      </c>
      <c r="C989" s="14" t="s">
        <v>125</v>
      </c>
      <c r="D989" s="18" t="s">
        <v>3900</v>
      </c>
      <c r="F989" s="30" t="str">
        <f t="shared" si="40"/>
        <v>AV66440-5 POLONET MASKING TAPE 2"- 48mm*25Y</v>
      </c>
      <c r="I989" s="31" t="str">
        <f>VLOOKUP(D989,'[1]NEW PRICE LIST'!$C$4:$D$1917,2,FALSE)</f>
        <v>24PCS/CTN</v>
      </c>
      <c r="J989" s="13" t="s">
        <v>300</v>
      </c>
      <c r="K989" s="32">
        <f>VLOOKUP(D989,'[1]NEW PRICE LIST'!$C$4:$H$1917,3,FALSE)</f>
        <v>1200</v>
      </c>
      <c r="L989" s="13">
        <v>100</v>
      </c>
      <c r="M989" s="13">
        <v>0</v>
      </c>
      <c r="N989" s="13">
        <v>0</v>
      </c>
    </row>
    <row r="990" spans="1:14" x14ac:dyDescent="0.25">
      <c r="A990" s="14" t="str">
        <f t="shared" si="41"/>
        <v>AVT0000989</v>
      </c>
      <c r="B990" s="13" t="str">
        <f>VLOOKUP(D990,'SUPPLIER_ITEMS (1st Tools)'!C1467:D3194,2,FALSE)</f>
        <v>1ST-358-1466</v>
      </c>
      <c r="C990" s="14" t="s">
        <v>124</v>
      </c>
      <c r="D990" s="20" t="s">
        <v>3901</v>
      </c>
      <c r="F990" s="30" t="str">
        <f t="shared" si="40"/>
        <v>AV66540-1 CLOTH DUCT TAPE 0.26mm*50mm*30Y GRAY</v>
      </c>
      <c r="I990" s="31" t="str">
        <f>VLOOKUP(D990,'[1]NEW PRICE LIST'!$C$4:$D$1917,2,FALSE)</f>
        <v>48ROLLS/CTN</v>
      </c>
      <c r="J990" s="13" t="s">
        <v>3980</v>
      </c>
      <c r="K990" s="32">
        <f>VLOOKUP(D990,'[1]NEW PRICE LIST'!$C$4:$H$1917,3,FALSE)</f>
        <v>150</v>
      </c>
      <c r="L990" s="13">
        <v>100</v>
      </c>
      <c r="M990" s="13">
        <v>0</v>
      </c>
      <c r="N990" s="13">
        <v>0</v>
      </c>
    </row>
    <row r="991" spans="1:14" x14ac:dyDescent="0.25">
      <c r="A991" s="14" t="str">
        <f t="shared" si="41"/>
        <v>AVT0000990</v>
      </c>
      <c r="B991" s="13" t="str">
        <f>VLOOKUP(D991,'SUPPLIER_ITEMS (1st Tools)'!C1468:D3195,2,FALSE)</f>
        <v>1ST-358-1467</v>
      </c>
      <c r="C991" s="14" t="s">
        <v>123</v>
      </c>
      <c r="D991" s="18" t="s">
        <v>3368</v>
      </c>
      <c r="F991" s="30" t="str">
        <f t="shared" si="40"/>
        <v>AV66490-1 ALUMINUM DUCT TAPE 2"X2.5丝 X30M</v>
      </c>
      <c r="I991" s="31" t="str">
        <f>VLOOKUP(D991,'[1]NEW PRICE LIST'!$C$4:$D$1917,2,FALSE)</f>
        <v>36PCS/CTN</v>
      </c>
      <c r="J991" s="13" t="s">
        <v>300</v>
      </c>
      <c r="K991" s="32">
        <f>VLOOKUP(D991,'[1]NEW PRICE LIST'!$C$4:$H$1917,3,FALSE)</f>
        <v>140</v>
      </c>
      <c r="L991" s="13">
        <v>100</v>
      </c>
      <c r="M991" s="13">
        <v>0</v>
      </c>
      <c r="N991" s="13">
        <v>0</v>
      </c>
    </row>
    <row r="992" spans="1:14" x14ac:dyDescent="0.25">
      <c r="A992" s="14" t="str">
        <f t="shared" si="41"/>
        <v>AVT0000991</v>
      </c>
      <c r="B992" s="13" t="str">
        <f>VLOOKUP(D992,'SUPPLIER_ITEMS (1st Tools)'!C1469:D3196,2,FALSE)</f>
        <v>1ST-358-1468</v>
      </c>
      <c r="C992" s="14" t="s">
        <v>123</v>
      </c>
      <c r="D992" s="18" t="s">
        <v>3369</v>
      </c>
      <c r="F992" s="30" t="str">
        <f t="shared" si="40"/>
        <v>AV66490-2 ALUMINUM DUCT TAPE 3"X2.5丝 X30M</v>
      </c>
      <c r="I992" s="31" t="str">
        <f>VLOOKUP(D992,'[1]NEW PRICE LIST'!$C$4:$D$1917,2,FALSE)</f>
        <v>24PCS/CTN</v>
      </c>
      <c r="J992" s="13" t="s">
        <v>300</v>
      </c>
      <c r="K992" s="32">
        <f>VLOOKUP(D992,'[1]NEW PRICE LIST'!$C$4:$H$1917,3,FALSE)</f>
        <v>200</v>
      </c>
      <c r="L992" s="13">
        <v>100</v>
      </c>
      <c r="M992" s="13">
        <v>0</v>
      </c>
      <c r="N992" s="13">
        <v>0</v>
      </c>
    </row>
    <row r="993" spans="1:14" x14ac:dyDescent="0.25">
      <c r="A993" s="14" t="str">
        <f t="shared" si="41"/>
        <v>AVT0000992</v>
      </c>
      <c r="B993" s="13" t="str">
        <f>VLOOKUP(D993,'SUPPLIER_ITEMS (1st Tools)'!C1471:D3198,2,FALSE)</f>
        <v>1ST-358-1470</v>
      </c>
      <c r="C993" s="14" t="s">
        <v>122</v>
      </c>
      <c r="D993" s="18" t="s">
        <v>2443</v>
      </c>
      <c r="F993" s="30" t="str">
        <f t="shared" si="40"/>
        <v>AV66480-2 AMETEK PRESSURE GAUGE 2"*#100</v>
      </c>
      <c r="I993" s="31" t="str">
        <f>VLOOKUP(D993,'[1]NEW PRICE LIST'!$C$4:$D$1917,2,FALSE)</f>
        <v>200PCS/CTN</v>
      </c>
      <c r="J993" s="13" t="s">
        <v>300</v>
      </c>
      <c r="K993" s="32">
        <f>VLOOKUP(D993,'[1]NEW PRICE LIST'!$C$4:$H$1917,3,FALSE)</f>
        <v>115</v>
      </c>
      <c r="L993" s="13">
        <v>100</v>
      </c>
      <c r="M993" s="13">
        <v>0</v>
      </c>
      <c r="N993" s="13">
        <v>0</v>
      </c>
    </row>
    <row r="994" spans="1:14" x14ac:dyDescent="0.25">
      <c r="A994" s="14" t="str">
        <f t="shared" si="41"/>
        <v>AVT0000993</v>
      </c>
      <c r="B994" s="13" t="str">
        <f>VLOOKUP(D994,'SUPPLIER_ITEMS (1st Tools)'!C1478:D3205,2,FALSE)</f>
        <v>1ST-358-1477</v>
      </c>
      <c r="C994" s="14" t="s">
        <v>121</v>
      </c>
      <c r="D994" s="14" t="s">
        <v>2023</v>
      </c>
      <c r="F994" s="30" t="str">
        <f t="shared" ref="F994:F1053" si="42">"AV"&amp;RIGHT(D994,LEN(D994)-2)</f>
        <v>AV66511 POLOLOCK PPR HEATER /FUSHION WELD 1000W</v>
      </c>
      <c r="I994" s="31" t="str">
        <f>VLOOKUP(D994,'[1]NEW PRICE LIST'!$C$4:$D$1917,2,FALSE)</f>
        <v>5 SET/CTN</v>
      </c>
      <c r="J994" s="13" t="s">
        <v>3622</v>
      </c>
      <c r="K994" s="32">
        <f>VLOOKUP(D994,'[1]NEW PRICE LIST'!$C$4:$H$1917,3,FALSE)</f>
        <v>2000</v>
      </c>
      <c r="L994" s="13">
        <v>100</v>
      </c>
      <c r="M994" s="13">
        <v>0</v>
      </c>
      <c r="N994" s="13">
        <v>0</v>
      </c>
    </row>
    <row r="995" spans="1:14" x14ac:dyDescent="0.25">
      <c r="A995" s="14" t="str">
        <f t="shared" si="41"/>
        <v>AVT0000994</v>
      </c>
      <c r="B995" s="13" t="str">
        <f>VLOOKUP(D995,'SUPPLIER_ITEMS (1st Tools)'!C1479:D3206,2,FALSE)</f>
        <v>1ST-358-1478</v>
      </c>
      <c r="C995" s="14" t="s">
        <v>120</v>
      </c>
      <c r="D995" s="14" t="s">
        <v>2026</v>
      </c>
      <c r="F995" s="30" t="str">
        <f t="shared" si="42"/>
        <v>AV66520 TUBE CUTTER 3-32MM</v>
      </c>
      <c r="I995" s="31" t="str">
        <f>VLOOKUP(D995,'[1]NEW PRICE LIST'!$C$4:$D$1917,2,FALSE)</f>
        <v>6PCS*8 BOXES/CTN</v>
      </c>
      <c r="J995" s="13" t="s">
        <v>3620</v>
      </c>
      <c r="K995" s="32">
        <f>VLOOKUP(D995,'[1]NEW PRICE LIST'!$C$4:$H$1917,3,FALSE)</f>
        <v>250</v>
      </c>
      <c r="L995" s="13">
        <v>100</v>
      </c>
      <c r="M995" s="13">
        <v>0</v>
      </c>
      <c r="N995" s="13">
        <v>0</v>
      </c>
    </row>
    <row r="996" spans="1:14" x14ac:dyDescent="0.25">
      <c r="A996" s="14" t="str">
        <f t="shared" si="41"/>
        <v>AVT0000995</v>
      </c>
      <c r="B996" s="13" t="str">
        <f>VLOOKUP(D996,'SUPPLIER_ITEMS (1st Tools)'!C1480:D3207,2,FALSE)</f>
        <v>1ST-358-1479</v>
      </c>
      <c r="C996" s="14" t="s">
        <v>119</v>
      </c>
      <c r="D996" s="18" t="s">
        <v>2450</v>
      </c>
      <c r="F996" s="30" t="str">
        <f t="shared" si="42"/>
        <v>AV66590-01 SHIP CHAIN 1/8"</v>
      </c>
      <c r="I996" s="31" t="str">
        <f>VLOOKUP(D996,'[1]NEW PRICE LIST'!$C$4:$D$1917,2,FALSE)</f>
        <v>N.W.48KGS/ SACK</v>
      </c>
      <c r="J996" s="13" t="s">
        <v>3981</v>
      </c>
      <c r="K996" s="32">
        <v>3950</v>
      </c>
      <c r="L996" s="13">
        <v>100</v>
      </c>
      <c r="M996" s="13">
        <v>0</v>
      </c>
      <c r="N996" s="13">
        <v>0</v>
      </c>
    </row>
    <row r="997" spans="1:14" x14ac:dyDescent="0.25">
      <c r="A997" s="14" t="str">
        <f t="shared" si="41"/>
        <v>AVT0000996</v>
      </c>
      <c r="B997" s="13" t="str">
        <f>VLOOKUP(D997,'SUPPLIER_ITEMS (1st Tools)'!C1481:D3208,2,FALSE)</f>
        <v>1ST-358-1480</v>
      </c>
      <c r="C997" s="14" t="s">
        <v>119</v>
      </c>
      <c r="D997" s="18" t="s">
        <v>2451</v>
      </c>
      <c r="F997" s="30" t="str">
        <f t="shared" si="42"/>
        <v>AV66590-02 SHIP CHAIN 3/16"</v>
      </c>
      <c r="I997" s="31" t="str">
        <f>VLOOKUP(D997,'[1]NEW PRICE LIST'!$C$4:$D$1917,2,FALSE)</f>
        <v>N.W.48KGS/ SACK</v>
      </c>
      <c r="J997" s="13" t="s">
        <v>3981</v>
      </c>
      <c r="K997" s="32">
        <v>3950</v>
      </c>
      <c r="L997" s="13">
        <v>100</v>
      </c>
      <c r="M997" s="13">
        <v>0</v>
      </c>
      <c r="N997" s="13">
        <v>0</v>
      </c>
    </row>
    <row r="998" spans="1:14" x14ac:dyDescent="0.25">
      <c r="A998" s="14" t="str">
        <f t="shared" si="41"/>
        <v>AVT0000997</v>
      </c>
      <c r="B998" s="13" t="str">
        <f>VLOOKUP(D998,'SUPPLIER_ITEMS (1st Tools)'!C1482:D3209,2,FALSE)</f>
        <v>1ST-358-1481</v>
      </c>
      <c r="C998" s="14" t="s">
        <v>119</v>
      </c>
      <c r="D998" s="18" t="s">
        <v>2452</v>
      </c>
      <c r="F998" s="30" t="str">
        <f t="shared" si="42"/>
        <v>AV66590-03 SHIP CHAIN 1/4"</v>
      </c>
      <c r="I998" s="31" t="str">
        <f>VLOOKUP(D998,'[1]NEW PRICE LIST'!$C$4:$D$1917,2,FALSE)</f>
        <v>N.W.48KGS/ SACK</v>
      </c>
      <c r="J998" s="13" t="s">
        <v>3981</v>
      </c>
      <c r="K998" s="32">
        <v>3950</v>
      </c>
      <c r="L998" s="13">
        <v>100</v>
      </c>
      <c r="M998" s="13">
        <v>0</v>
      </c>
      <c r="N998" s="13">
        <v>0</v>
      </c>
    </row>
    <row r="999" spans="1:14" x14ac:dyDescent="0.25">
      <c r="A999" s="14" t="str">
        <f t="shared" si="41"/>
        <v>AVT0000998</v>
      </c>
      <c r="B999" s="13" t="str">
        <f>VLOOKUP(D999,'SUPPLIER_ITEMS (1st Tools)'!C1483:D3210,2,FALSE)</f>
        <v>1ST-358-1482</v>
      </c>
      <c r="C999" s="14" t="s">
        <v>119</v>
      </c>
      <c r="D999" s="18" t="s">
        <v>2453</v>
      </c>
      <c r="F999" s="30" t="str">
        <f t="shared" si="42"/>
        <v>AV66590-04 SHIP CHAIN 5/16"</v>
      </c>
      <c r="I999" s="31" t="str">
        <f>VLOOKUP(D999,'[1]NEW PRICE LIST'!$C$4:$D$1917,2,FALSE)</f>
        <v>N.W.48KGS/ SACK</v>
      </c>
      <c r="J999" s="13" t="s">
        <v>3981</v>
      </c>
      <c r="K999" s="32">
        <v>3950</v>
      </c>
      <c r="L999" s="13">
        <v>100</v>
      </c>
      <c r="M999" s="13">
        <v>0</v>
      </c>
      <c r="N999" s="13">
        <v>0</v>
      </c>
    </row>
    <row r="1000" spans="1:14" x14ac:dyDescent="0.25">
      <c r="A1000" s="14" t="str">
        <f t="shared" si="41"/>
        <v>AVT0000999</v>
      </c>
      <c r="B1000" s="13" t="str">
        <f>VLOOKUP(D1000,'SUPPLIER_ITEMS (1st Tools)'!C1484:D3211,2,FALSE)</f>
        <v>1ST-358-1483</v>
      </c>
      <c r="C1000" s="14" t="s">
        <v>119</v>
      </c>
      <c r="D1000" s="18" t="s">
        <v>2454</v>
      </c>
      <c r="F1000" s="30" t="str">
        <f t="shared" si="42"/>
        <v>AV66590-05 SHIP CHAIN 3/8"</v>
      </c>
      <c r="I1000" s="31" t="str">
        <f>VLOOKUP(D1000,'[1]NEW PRICE LIST'!$C$4:$D$1917,2,FALSE)</f>
        <v>N.W.48KGS/ SACK</v>
      </c>
      <c r="J1000" s="13" t="s">
        <v>3981</v>
      </c>
      <c r="K1000" s="32">
        <v>3950</v>
      </c>
      <c r="L1000" s="13">
        <v>100</v>
      </c>
      <c r="M1000" s="13">
        <v>0</v>
      </c>
      <c r="N1000" s="13">
        <v>0</v>
      </c>
    </row>
    <row r="1001" spans="1:14" x14ac:dyDescent="0.25">
      <c r="A1001" s="14" t="str">
        <f t="shared" si="41"/>
        <v>AVT0001000</v>
      </c>
      <c r="B1001" s="13" t="str">
        <f>VLOOKUP(D1001,'SUPPLIER_ITEMS (1st Tools)'!C1485:D3212,2,FALSE)</f>
        <v>1ST-358-1484</v>
      </c>
      <c r="C1001" s="14" t="s">
        <v>119</v>
      </c>
      <c r="D1001" s="18" t="s">
        <v>2455</v>
      </c>
      <c r="F1001" s="30" t="str">
        <f t="shared" si="42"/>
        <v>AV66590-06 SHIP CHAIN 1/2"</v>
      </c>
      <c r="I1001" s="31" t="str">
        <f>VLOOKUP(D1001,'[1]NEW PRICE LIST'!$C$4:$D$1917,2,FALSE)</f>
        <v>N.W.48KGS/ SACK</v>
      </c>
      <c r="J1001" s="13" t="s">
        <v>3981</v>
      </c>
      <c r="K1001" s="32">
        <v>3950</v>
      </c>
      <c r="L1001" s="13">
        <v>100</v>
      </c>
      <c r="M1001" s="13">
        <v>0</v>
      </c>
      <c r="N1001" s="13">
        <v>0</v>
      </c>
    </row>
    <row r="1002" spans="1:14" x14ac:dyDescent="0.25">
      <c r="A1002" s="14" t="str">
        <f t="shared" si="41"/>
        <v>AVT0001001</v>
      </c>
      <c r="B1002" s="13" t="str">
        <f>VLOOKUP(D1002,'SUPPLIER_ITEMS (1st Tools)'!C1486:D3213,2,FALSE)</f>
        <v>1ST-358-1485</v>
      </c>
      <c r="C1002" s="14" t="s">
        <v>118</v>
      </c>
      <c r="D1002" s="18" t="s">
        <v>2456</v>
      </c>
      <c r="F1002" s="30" t="str">
        <f t="shared" si="42"/>
        <v>AV55010-1 (LT55001-01) 1/4" DYNA BOLT</v>
      </c>
      <c r="I1002" s="31" t="str">
        <f>VLOOKUP(D1002,'[1]NEW PRICE LIST'!$C$4:$D$1917,2,FALSE)</f>
        <v>1500PCS/CTN</v>
      </c>
      <c r="J1002" s="13" t="s">
        <v>300</v>
      </c>
      <c r="K1002" s="32">
        <f>VLOOKUP(D1002,'[1]NEW PRICE LIST'!$C$4:$H$1917,3,FALSE)</f>
        <v>8</v>
      </c>
      <c r="L1002" s="13">
        <v>100</v>
      </c>
      <c r="M1002" s="13">
        <v>0</v>
      </c>
      <c r="N1002" s="13">
        <v>0</v>
      </c>
    </row>
    <row r="1003" spans="1:14" x14ac:dyDescent="0.25">
      <c r="A1003" s="14" t="str">
        <f t="shared" si="41"/>
        <v>AVT0001002</v>
      </c>
      <c r="B1003" s="13" t="str">
        <f>VLOOKUP(D1003,'SUPPLIER_ITEMS (1st Tools)'!C1487:D3214,2,FALSE)</f>
        <v>1ST-358-1486</v>
      </c>
      <c r="C1003" s="14" t="s">
        <v>118</v>
      </c>
      <c r="D1003" s="18" t="s">
        <v>2457</v>
      </c>
      <c r="F1003" s="30" t="str">
        <f t="shared" si="42"/>
        <v>AV55010-2 (LT55001-02) 5/16" DYNA BOLT</v>
      </c>
      <c r="I1003" s="31" t="str">
        <f>VLOOKUP(D1003,'[1]NEW PRICE LIST'!$C$4:$D$1917,2,FALSE)</f>
        <v>800PCS/CTN</v>
      </c>
      <c r="J1003" s="13" t="s">
        <v>300</v>
      </c>
      <c r="K1003" s="32">
        <f>VLOOKUP(D1003,'[1]NEW PRICE LIST'!$C$4:$H$1917,3,FALSE)</f>
        <v>12</v>
      </c>
      <c r="L1003" s="13">
        <v>100</v>
      </c>
      <c r="M1003" s="13">
        <v>0</v>
      </c>
      <c r="N1003" s="13">
        <v>0</v>
      </c>
    </row>
    <row r="1004" spans="1:14" x14ac:dyDescent="0.25">
      <c r="A1004" s="14" t="str">
        <f t="shared" si="41"/>
        <v>AVT0001003</v>
      </c>
      <c r="B1004" s="13" t="str">
        <f>VLOOKUP(D1004,'SUPPLIER_ITEMS (1st Tools)'!C1488:D3215,2,FALSE)</f>
        <v>1ST-358-1487</v>
      </c>
      <c r="C1004" s="14" t="s">
        <v>118</v>
      </c>
      <c r="D1004" s="18" t="s">
        <v>2459</v>
      </c>
      <c r="F1004" s="30" t="str">
        <f t="shared" si="42"/>
        <v>AV55010-3 (LT55001-03) 3/8" DYNA BOLT</v>
      </c>
      <c r="I1004" s="31" t="str">
        <f>VLOOKUP(D1004,'[1]NEW PRICE LIST'!$C$4:$D$1917,2,FALSE)</f>
        <v>500PCS/CTN</v>
      </c>
      <c r="J1004" s="13" t="s">
        <v>300</v>
      </c>
      <c r="K1004" s="32">
        <f>VLOOKUP(D1004,'[1]NEW PRICE LIST'!$C$4:$H$1917,3,FALSE)</f>
        <v>16</v>
      </c>
      <c r="L1004" s="13">
        <v>100</v>
      </c>
      <c r="M1004" s="13">
        <v>0</v>
      </c>
      <c r="N1004" s="13">
        <v>0</v>
      </c>
    </row>
    <row r="1005" spans="1:14" x14ac:dyDescent="0.25">
      <c r="A1005" s="14" t="str">
        <f t="shared" si="41"/>
        <v>AVT0001004</v>
      </c>
      <c r="B1005" s="13" t="str">
        <f>VLOOKUP(D1005,'SUPPLIER_ITEMS (1st Tools)'!C1489:D3216,2,FALSE)</f>
        <v>1ST-358-1488</v>
      </c>
      <c r="C1005" s="14" t="s">
        <v>118</v>
      </c>
      <c r="D1005" s="18" t="s">
        <v>2461</v>
      </c>
      <c r="F1005" s="30" t="str">
        <f t="shared" si="42"/>
        <v>AV55010-4 (LT55001-04) 1/2" DYNA BOLT</v>
      </c>
      <c r="I1005" s="31" t="str">
        <f>VLOOKUP(D1005,'[1]NEW PRICE LIST'!$C$4:$D$1917,2,FALSE)</f>
        <v>300PCS/CTN</v>
      </c>
      <c r="J1005" s="13" t="s">
        <v>300</v>
      </c>
      <c r="K1005" s="32">
        <f>VLOOKUP(D1005,'[1]NEW PRICE LIST'!$C$4:$H$1917,3,FALSE)</f>
        <v>28</v>
      </c>
      <c r="L1005" s="13">
        <v>100</v>
      </c>
      <c r="M1005" s="13">
        <v>0</v>
      </c>
      <c r="N1005" s="13">
        <v>0</v>
      </c>
    </row>
    <row r="1006" spans="1:14" x14ac:dyDescent="0.25">
      <c r="A1006" s="14" t="str">
        <f t="shared" si="41"/>
        <v>AVT0001005</v>
      </c>
      <c r="B1006" s="13" t="str">
        <f>VLOOKUP(D1006,'SUPPLIER_ITEMS (1st Tools)'!C1490:D3217,2,FALSE)</f>
        <v>1ST-358-1489</v>
      </c>
      <c r="C1006" s="14" t="s">
        <v>118</v>
      </c>
      <c r="D1006" s="18" t="s">
        <v>2463</v>
      </c>
      <c r="F1006" s="30" t="str">
        <f t="shared" si="42"/>
        <v>AV55010-5 (LT55001-05) 5/8" DYNA BOLT</v>
      </c>
      <c r="I1006" s="31" t="str">
        <f>VLOOKUP(D1006,'[1]NEW PRICE LIST'!$C$4:$D$1917,2,FALSE)</f>
        <v>120PCS/CTN</v>
      </c>
      <c r="J1006" s="13" t="s">
        <v>300</v>
      </c>
      <c r="K1006" s="32">
        <f>VLOOKUP(D1006,'[1]NEW PRICE LIST'!$C$4:$H$1917,3,FALSE)</f>
        <v>50</v>
      </c>
      <c r="L1006" s="13">
        <v>100</v>
      </c>
      <c r="M1006" s="13">
        <v>0</v>
      </c>
      <c r="N1006" s="13">
        <v>0</v>
      </c>
    </row>
    <row r="1007" spans="1:14" x14ac:dyDescent="0.25">
      <c r="A1007" s="14" t="str">
        <f t="shared" si="41"/>
        <v>AVT0001006</v>
      </c>
      <c r="B1007" s="13" t="str">
        <f>VLOOKUP(D1007,'SUPPLIER_ITEMS (1st Tools)'!C1491:D3218,2,FALSE)</f>
        <v>1ST-358-1490</v>
      </c>
      <c r="C1007" s="14" t="s">
        <v>117</v>
      </c>
      <c r="D1007" s="19" t="s">
        <v>2465</v>
      </c>
      <c r="F1007" s="30" t="str">
        <f t="shared" si="42"/>
        <v>AV55230-1 GRIP ANCHOR 1/4"</v>
      </c>
      <c r="I1007" s="31" t="str">
        <f>VLOOKUP(D1007,'[1]NEW PRICE LIST'!$C$4:$D$1917,2,FALSE)</f>
        <v>2000 PCS/CTN</v>
      </c>
      <c r="J1007" s="13" t="s">
        <v>300</v>
      </c>
      <c r="K1007" s="32">
        <f>VLOOKUP(D1007,'[1]NEW PRICE LIST'!$C$4:$H$1917,3,FALSE)</f>
        <v>2.5</v>
      </c>
      <c r="L1007" s="13">
        <v>100</v>
      </c>
      <c r="M1007" s="13">
        <v>0</v>
      </c>
      <c r="N1007" s="13">
        <v>0</v>
      </c>
    </row>
    <row r="1008" spans="1:14" x14ac:dyDescent="0.25">
      <c r="A1008" s="14" t="str">
        <f t="shared" si="41"/>
        <v>AVT0001007</v>
      </c>
      <c r="B1008" s="13" t="str">
        <f>VLOOKUP(D1008,'SUPPLIER_ITEMS (1st Tools)'!C1492:D3219,2,FALSE)</f>
        <v>1ST-358-1491</v>
      </c>
      <c r="C1008" s="14" t="s">
        <v>117</v>
      </c>
      <c r="D1008" s="19" t="s">
        <v>2467</v>
      </c>
      <c r="F1008" s="30" t="str">
        <f t="shared" si="42"/>
        <v>AV55230-2 GRIP ANCHOR 5/16"</v>
      </c>
      <c r="I1008" s="31" t="str">
        <f>VLOOKUP(D1008,'[1]NEW PRICE LIST'!$C$4:$D$1917,2,FALSE)</f>
        <v>2000 PCS/CTN</v>
      </c>
      <c r="J1008" s="13" t="s">
        <v>300</v>
      </c>
      <c r="K1008" s="32">
        <f>VLOOKUP(D1008,'[1]NEW PRICE LIST'!$C$4:$H$1917,3,FALSE)</f>
        <v>3.2</v>
      </c>
      <c r="L1008" s="13">
        <v>100</v>
      </c>
      <c r="M1008" s="13">
        <v>0</v>
      </c>
      <c r="N1008" s="13">
        <v>0</v>
      </c>
    </row>
    <row r="1009" spans="1:14" x14ac:dyDescent="0.25">
      <c r="A1009" s="14" t="str">
        <f t="shared" si="41"/>
        <v>AVT0001008</v>
      </c>
      <c r="B1009" s="13" t="str">
        <f>VLOOKUP(D1009,'SUPPLIER_ITEMS (1st Tools)'!C1493:D3220,2,FALSE)</f>
        <v>1ST-358-1492</v>
      </c>
      <c r="C1009" s="14" t="s">
        <v>117</v>
      </c>
      <c r="D1009" s="19" t="s">
        <v>2469</v>
      </c>
      <c r="F1009" s="30" t="str">
        <f t="shared" si="42"/>
        <v>AV55230-3 GRIP ANCHOR 3/8"</v>
      </c>
      <c r="I1009" s="31" t="str">
        <f>VLOOKUP(D1009,'[1]NEW PRICE LIST'!$C$4:$D$1917,2,FALSE)</f>
        <v>1000SETS/CTN</v>
      </c>
      <c r="J1009" s="13" t="s">
        <v>3622</v>
      </c>
      <c r="K1009" s="32">
        <f>VLOOKUP(D1009,'[1]NEW PRICE LIST'!$C$4:$H$1917,3,FALSE)</f>
        <v>3.8</v>
      </c>
      <c r="L1009" s="13">
        <v>100</v>
      </c>
      <c r="M1009" s="13">
        <v>0</v>
      </c>
      <c r="N1009" s="13">
        <v>0</v>
      </c>
    </row>
    <row r="1010" spans="1:14" x14ac:dyDescent="0.25">
      <c r="A1010" s="14" t="str">
        <f t="shared" si="41"/>
        <v>AVT0001009</v>
      </c>
      <c r="B1010" s="13" t="str">
        <f>VLOOKUP(D1010,'SUPPLIER_ITEMS (1st Tools)'!C1494:D3221,2,FALSE)</f>
        <v>1ST-358-1493</v>
      </c>
      <c r="C1010" s="14" t="s">
        <v>117</v>
      </c>
      <c r="D1010" s="19" t="s">
        <v>2471</v>
      </c>
      <c r="F1010" s="30" t="str">
        <f t="shared" si="42"/>
        <v>AV55230-4 GRIP ANCHOR 1/2"</v>
      </c>
      <c r="I1010" s="31" t="str">
        <f>VLOOKUP(D1010,'[1]NEW PRICE LIST'!$C$4:$D$1917,2,FALSE)</f>
        <v>500SETS/CTN</v>
      </c>
      <c r="J1010" s="13" t="s">
        <v>3622</v>
      </c>
      <c r="K1010" s="32">
        <f>VLOOKUP(D1010,'[1]NEW PRICE LIST'!$C$4:$H$1917,3,FALSE)</f>
        <v>8</v>
      </c>
      <c r="L1010" s="13">
        <v>100</v>
      </c>
      <c r="M1010" s="13">
        <v>0</v>
      </c>
      <c r="N1010" s="13">
        <v>0</v>
      </c>
    </row>
    <row r="1011" spans="1:14" x14ac:dyDescent="0.25">
      <c r="A1011" s="14" t="str">
        <f t="shared" si="41"/>
        <v>AVT0001010</v>
      </c>
      <c r="B1011" s="13" t="str">
        <f>VLOOKUP(D1011,'SUPPLIER_ITEMS (1st Tools)'!C1495:D3222,2,FALSE)</f>
        <v>1ST-358-1494</v>
      </c>
      <c r="C1011" s="14" t="s">
        <v>116</v>
      </c>
      <c r="D1011" s="14" t="s">
        <v>2030</v>
      </c>
      <c r="F1011" s="30" t="str">
        <f t="shared" si="42"/>
        <v>AV55240 HARDIFLEX NAIL</v>
      </c>
      <c r="I1011" s="31" t="str">
        <f>VLOOKUP(D1011,'[1]NEW PRICE LIST'!$C$4:$D$1917,2,FALSE)</f>
        <v>24KGS/CTN</v>
      </c>
      <c r="J1011" s="13" t="s">
        <v>300</v>
      </c>
      <c r="K1011" s="32">
        <f>VLOOKUP(D1011,'[1]NEW PRICE LIST'!$C$4:$H$1917,3,FALSE)</f>
        <v>1950</v>
      </c>
      <c r="L1011" s="13">
        <v>100</v>
      </c>
      <c r="M1011" s="13">
        <v>0</v>
      </c>
      <c r="N1011" s="13">
        <v>0</v>
      </c>
    </row>
    <row r="1012" spans="1:14" x14ac:dyDescent="0.25">
      <c r="A1012" s="14" t="str">
        <f t="shared" si="41"/>
        <v>AVT0001011</v>
      </c>
      <c r="B1012" s="13" t="str">
        <f>VLOOKUP(D1012,'SUPPLIER_ITEMS (1st Tools)'!C1496:D3223,2,FALSE)</f>
        <v>1ST-358-1495</v>
      </c>
      <c r="C1012" s="14" t="s">
        <v>115</v>
      </c>
      <c r="D1012" s="18" t="s">
        <v>2472</v>
      </c>
      <c r="F1012" s="30" t="str">
        <f t="shared" si="42"/>
        <v>AV55050-1 1/2 POWER SMOOTH NAIL</v>
      </c>
      <c r="I1012" s="31" t="str">
        <f>VLOOKUP(D1012,'[1]NEW PRICE LIST'!$C$4:$D$1917,2,FALSE)</f>
        <v>25BOX/CTN</v>
      </c>
      <c r="J1012" s="13" t="s">
        <v>3620</v>
      </c>
      <c r="K1012" s="32">
        <f>VLOOKUP(D1012,'[1]NEW PRICE LIST'!$C$4:$H$1917,3,FALSE)</f>
        <v>86</v>
      </c>
      <c r="L1012" s="13">
        <v>100</v>
      </c>
      <c r="M1012" s="13">
        <v>0</v>
      </c>
      <c r="N1012" s="13">
        <v>0</v>
      </c>
    </row>
    <row r="1013" spans="1:14" x14ac:dyDescent="0.25">
      <c r="A1013" s="14" t="str">
        <f t="shared" si="41"/>
        <v>AVT0001012</v>
      </c>
      <c r="B1013" s="13" t="str">
        <f>VLOOKUP(D1013,'SUPPLIER_ITEMS (1st Tools)'!C1497:D3224,2,FALSE)</f>
        <v>1ST-358-1496</v>
      </c>
      <c r="C1013" s="14" t="s">
        <v>115</v>
      </c>
      <c r="D1013" s="18" t="s">
        <v>2474</v>
      </c>
      <c r="F1013" s="30" t="str">
        <f t="shared" si="42"/>
        <v>AV55050-2 5/8 POWER SMOOTH NAIL</v>
      </c>
      <c r="I1013" s="31" t="str">
        <f>VLOOKUP(D1013,'[1]NEW PRICE LIST'!$C$4:$D$1917,2,FALSE)</f>
        <v>25BOX/CTN</v>
      </c>
      <c r="J1013" s="13" t="s">
        <v>3620</v>
      </c>
      <c r="K1013" s="32">
        <f>VLOOKUP(D1013,'[1]NEW PRICE LIST'!$C$4:$H$1917,3,FALSE)</f>
        <v>82</v>
      </c>
      <c r="L1013" s="13">
        <v>100</v>
      </c>
      <c r="M1013" s="13">
        <v>0</v>
      </c>
      <c r="N1013" s="13">
        <v>0</v>
      </c>
    </row>
    <row r="1014" spans="1:14" x14ac:dyDescent="0.25">
      <c r="A1014" s="14" t="str">
        <f t="shared" si="41"/>
        <v>AVT0001013</v>
      </c>
      <c r="B1014" s="13" t="str">
        <f>VLOOKUP(D1014,'SUPPLIER_ITEMS (1st Tools)'!C1498:D3225,2,FALSE)</f>
        <v>1ST-358-1497</v>
      </c>
      <c r="C1014" s="14" t="s">
        <v>115</v>
      </c>
      <c r="D1014" s="18" t="s">
        <v>2476</v>
      </c>
      <c r="F1014" s="30" t="str">
        <f t="shared" si="42"/>
        <v>AV55050-3 3/4 POWER SMOOTH NAIL</v>
      </c>
      <c r="I1014" s="31" t="str">
        <f>VLOOKUP(D1014,'[1]NEW PRICE LIST'!$C$4:$D$1917,2,FALSE)</f>
        <v>25BOX/CTN</v>
      </c>
      <c r="J1014" s="13" t="s">
        <v>3620</v>
      </c>
      <c r="K1014" s="32">
        <f>VLOOKUP(D1014,'[1]NEW PRICE LIST'!$C$4:$H$1917,3,FALSE)</f>
        <v>75</v>
      </c>
      <c r="L1014" s="13">
        <v>100</v>
      </c>
      <c r="M1014" s="13">
        <v>0</v>
      </c>
      <c r="N1014" s="13">
        <v>0</v>
      </c>
    </row>
    <row r="1015" spans="1:14" x14ac:dyDescent="0.25">
      <c r="A1015" s="14" t="str">
        <f t="shared" si="41"/>
        <v>AVT0001014</v>
      </c>
      <c r="B1015" s="13" t="str">
        <f>VLOOKUP(D1015,'SUPPLIER_ITEMS (1st Tools)'!C1499:D3226,2,FALSE)</f>
        <v>1ST-358-1498</v>
      </c>
      <c r="C1015" s="14" t="s">
        <v>115</v>
      </c>
      <c r="D1015" s="18" t="s">
        <v>2478</v>
      </c>
      <c r="F1015" s="30" t="str">
        <f t="shared" si="42"/>
        <v>AV55050-4 7/8 POWER SMOOTH NAIL</v>
      </c>
      <c r="I1015" s="31" t="str">
        <f>VLOOKUP(D1015,'[1]NEW PRICE LIST'!$C$4:$D$1917,2,FALSE)</f>
        <v>25BOX/CTN</v>
      </c>
      <c r="J1015" s="13" t="s">
        <v>3620</v>
      </c>
      <c r="K1015" s="32">
        <f>VLOOKUP(D1015,'[1]NEW PRICE LIST'!$C$4:$H$1917,3,FALSE)</f>
        <v>75</v>
      </c>
      <c r="L1015" s="13">
        <v>100</v>
      </c>
      <c r="M1015" s="13">
        <v>0</v>
      </c>
      <c r="N1015" s="13">
        <v>0</v>
      </c>
    </row>
    <row r="1016" spans="1:14" x14ac:dyDescent="0.25">
      <c r="A1016" s="14" t="str">
        <f t="shared" si="41"/>
        <v>AVT0001015</v>
      </c>
      <c r="B1016" s="13" t="str">
        <f>VLOOKUP(D1016,'SUPPLIER_ITEMS (1st Tools)'!C1500:D3227,2,FALSE)</f>
        <v>1ST-358-1499</v>
      </c>
      <c r="C1016" s="14" t="s">
        <v>114</v>
      </c>
      <c r="D1016" s="19" t="s">
        <v>2897</v>
      </c>
      <c r="F1016" s="30" t="str">
        <f t="shared" si="42"/>
        <v>AV55060-1 ROOFING NAIL PLAIN 2" *9G</v>
      </c>
      <c r="I1016" s="31" t="str">
        <f>VLOOKUP(D1016,'[1]NEW PRICE LIST'!$C$4:$D$1917,2,FALSE)</f>
        <v>1 CTN</v>
      </c>
      <c r="J1016" s="13" t="s">
        <v>307</v>
      </c>
      <c r="K1016" s="32">
        <f>VLOOKUP(D1016,'[1]NEW PRICE LIST'!$C$4:$H$1917,3,FALSE)</f>
        <v>1675</v>
      </c>
      <c r="L1016" s="13">
        <v>100</v>
      </c>
      <c r="M1016" s="13">
        <v>0</v>
      </c>
      <c r="N1016" s="13">
        <v>0</v>
      </c>
    </row>
    <row r="1017" spans="1:14" x14ac:dyDescent="0.25">
      <c r="A1017" s="14" t="str">
        <f t="shared" si="41"/>
        <v>AVT0001016</v>
      </c>
      <c r="B1017" s="13" t="str">
        <f>VLOOKUP(D1017,'SUPPLIER_ITEMS (1st Tools)'!C1501:D3228,2,FALSE)</f>
        <v>1ST-358-1500</v>
      </c>
      <c r="C1017" s="14" t="s">
        <v>114</v>
      </c>
      <c r="D1017" s="19" t="s">
        <v>2898</v>
      </c>
      <c r="F1017" s="30" t="str">
        <f t="shared" si="42"/>
        <v>AV55060-2 ROOFING NAIL TWISTED 2-1/2"*9G</v>
      </c>
      <c r="I1017" s="31" t="str">
        <f>VLOOKUP(D1017,'[1]NEW PRICE LIST'!$C$4:$D$1917,2,FALSE)</f>
        <v>1 CTN</v>
      </c>
      <c r="J1017" s="13" t="s">
        <v>307</v>
      </c>
      <c r="K1017" s="32">
        <f>VLOOKUP(D1017,'[1]NEW PRICE LIST'!$C$4:$H$1917,3,FALSE)</f>
        <v>1675</v>
      </c>
      <c r="L1017" s="13">
        <v>100</v>
      </c>
      <c r="M1017" s="13">
        <v>0</v>
      </c>
      <c r="N1017" s="13">
        <v>0</v>
      </c>
    </row>
    <row r="1018" spans="1:14" x14ac:dyDescent="0.25">
      <c r="A1018" s="14" t="str">
        <f t="shared" si="41"/>
        <v>AVT0001017</v>
      </c>
      <c r="B1018" s="13" t="str">
        <f>VLOOKUP(D1018,'SUPPLIER_ITEMS (1st Tools)'!C1502:D3229,2,FALSE)</f>
        <v>1ST-358-1501</v>
      </c>
      <c r="C1018" s="14" t="s">
        <v>113</v>
      </c>
      <c r="D1018" s="18" t="s">
        <v>2481</v>
      </c>
      <c r="F1018" s="30" t="str">
        <f t="shared" si="42"/>
        <v>AV55070-1 EXPANSION SHIELD 1/4"*25mm</v>
      </c>
      <c r="I1018" s="31" t="str">
        <f>VLOOKUP(D1018,'[1]NEW PRICE LIST'!$C$4:$D$1917,2,FALSE)</f>
        <v>1200PCS/CTN</v>
      </c>
      <c r="J1018" s="13" t="s">
        <v>300</v>
      </c>
      <c r="K1018" s="32">
        <f>VLOOKUP(D1018,'[1]NEW PRICE LIST'!$C$4:$H$1917,3,FALSE)</f>
        <v>8</v>
      </c>
      <c r="L1018" s="13">
        <v>100</v>
      </c>
      <c r="M1018" s="13">
        <v>0</v>
      </c>
      <c r="N1018" s="13">
        <v>0</v>
      </c>
    </row>
    <row r="1019" spans="1:14" x14ac:dyDescent="0.25">
      <c r="A1019" s="14" t="str">
        <f t="shared" si="41"/>
        <v>AVT0001018</v>
      </c>
      <c r="B1019" s="13" t="str">
        <f>VLOOKUP(D1019,'SUPPLIER_ITEMS (1st Tools)'!C1503:D3230,2,FALSE)</f>
        <v>1ST-358-1502</v>
      </c>
      <c r="C1019" s="14" t="s">
        <v>113</v>
      </c>
      <c r="D1019" s="18" t="s">
        <v>2482</v>
      </c>
      <c r="F1019" s="30" t="str">
        <f t="shared" si="42"/>
        <v>AV55070-2 EXPANSION SHIELD 1/4"*40mm</v>
      </c>
      <c r="I1019" s="31" t="str">
        <f>VLOOKUP(D1019,'[1]NEW PRICE LIST'!$C$4:$D$1917,2,FALSE)</f>
        <v>1200PCS/CTN</v>
      </c>
      <c r="J1019" s="13" t="s">
        <v>300</v>
      </c>
      <c r="K1019" s="32">
        <f>VLOOKUP(D1019,'[1]NEW PRICE LIST'!$C$4:$H$1917,3,FALSE)</f>
        <v>11</v>
      </c>
      <c r="L1019" s="13">
        <v>100</v>
      </c>
      <c r="M1019" s="13">
        <v>0</v>
      </c>
      <c r="N1019" s="13">
        <v>0</v>
      </c>
    </row>
    <row r="1020" spans="1:14" x14ac:dyDescent="0.25">
      <c r="A1020" s="14" t="str">
        <f t="shared" si="41"/>
        <v>AVT0001019</v>
      </c>
      <c r="B1020" s="13" t="str">
        <f>VLOOKUP(D1020,'SUPPLIER_ITEMS (1st Tools)'!C1504:D3231,2,FALSE)</f>
        <v>1ST-358-1503</v>
      </c>
      <c r="C1020" s="14" t="s">
        <v>113</v>
      </c>
      <c r="D1020" s="18" t="s">
        <v>2484</v>
      </c>
      <c r="F1020" s="30" t="str">
        <f t="shared" si="42"/>
        <v>AV55070-3 EXPANSION SHIELD 5/16"*30mm</v>
      </c>
      <c r="I1020" s="31" t="str">
        <f>VLOOKUP(D1020,'[1]NEW PRICE LIST'!$C$4:$D$1917,2,FALSE)</f>
        <v>1200PCS/CTN</v>
      </c>
      <c r="J1020" s="13" t="s">
        <v>300</v>
      </c>
      <c r="K1020" s="32">
        <f>VLOOKUP(D1020,'[1]NEW PRICE LIST'!$C$4:$H$1917,3,FALSE)</f>
        <v>9</v>
      </c>
      <c r="L1020" s="13">
        <v>100</v>
      </c>
      <c r="M1020" s="13">
        <v>0</v>
      </c>
      <c r="N1020" s="13">
        <v>0</v>
      </c>
    </row>
    <row r="1021" spans="1:14" x14ac:dyDescent="0.25">
      <c r="A1021" s="14" t="str">
        <f t="shared" si="41"/>
        <v>AVT0001020</v>
      </c>
      <c r="B1021" s="13" t="str">
        <f>VLOOKUP(D1021,'SUPPLIER_ITEMS (1st Tools)'!C1505:D3232,2,FALSE)</f>
        <v>1ST-358-1504</v>
      </c>
      <c r="C1021" s="14" t="s">
        <v>113</v>
      </c>
      <c r="D1021" s="18" t="s">
        <v>2485</v>
      </c>
      <c r="F1021" s="30" t="str">
        <f t="shared" si="42"/>
        <v>AV55070-4 EXPANSION SHIELD 5/16"*45mm</v>
      </c>
      <c r="I1021" s="31" t="str">
        <f>VLOOKUP(D1021,'[1]NEW PRICE LIST'!$C$4:$D$1917,2,FALSE)</f>
        <v>1200PCS/CTN</v>
      </c>
      <c r="J1021" s="13" t="s">
        <v>300</v>
      </c>
      <c r="K1021" s="32">
        <f>VLOOKUP(D1021,'[1]NEW PRICE LIST'!$C$4:$H$1917,3,FALSE)</f>
        <v>12</v>
      </c>
      <c r="L1021" s="13">
        <v>100</v>
      </c>
      <c r="M1021" s="13">
        <v>0</v>
      </c>
      <c r="N1021" s="13">
        <v>0</v>
      </c>
    </row>
    <row r="1022" spans="1:14" x14ac:dyDescent="0.25">
      <c r="A1022" s="14" t="str">
        <f t="shared" si="41"/>
        <v>AVT0001021</v>
      </c>
      <c r="B1022" s="13" t="str">
        <f>VLOOKUP(D1022,'SUPPLIER_ITEMS (1st Tools)'!C1506:D3233,2,FALSE)</f>
        <v>1ST-358-1505</v>
      </c>
      <c r="C1022" s="14" t="s">
        <v>113</v>
      </c>
      <c r="D1022" s="18" t="s">
        <v>2486</v>
      </c>
      <c r="F1022" s="30" t="str">
        <f t="shared" si="42"/>
        <v>AV55070-5 EXPANSION SHIELD 3/8"*45mm</v>
      </c>
      <c r="I1022" s="31" t="str">
        <f>VLOOKUP(D1022,'[1]NEW PRICE LIST'!$C$4:$D$1917,2,FALSE)</f>
        <v>600PCS/CTN</v>
      </c>
      <c r="J1022" s="13" t="s">
        <v>300</v>
      </c>
      <c r="K1022" s="32">
        <f>VLOOKUP(D1022,'[1]NEW PRICE LIST'!$C$4:$H$1917,3,FALSE)</f>
        <v>18</v>
      </c>
      <c r="L1022" s="13">
        <v>100</v>
      </c>
      <c r="M1022" s="13">
        <v>0</v>
      </c>
      <c r="N1022" s="13">
        <v>0</v>
      </c>
    </row>
    <row r="1023" spans="1:14" x14ac:dyDescent="0.25">
      <c r="A1023" s="14" t="str">
        <f t="shared" si="41"/>
        <v>AVT0001022</v>
      </c>
      <c r="B1023" s="13" t="str">
        <f>VLOOKUP(D1023,'SUPPLIER_ITEMS (1st Tools)'!C1507:D3234,2,FALSE)</f>
        <v>1ST-358-1506</v>
      </c>
      <c r="C1023" s="14" t="s">
        <v>113</v>
      </c>
      <c r="D1023" s="18" t="s">
        <v>2488</v>
      </c>
      <c r="F1023" s="30" t="str">
        <f t="shared" si="42"/>
        <v>AV55070-6 EXPANSION SHIELD 3/8"*60mm</v>
      </c>
      <c r="I1023" s="31" t="str">
        <f>VLOOKUP(D1023,'[1]NEW PRICE LIST'!$C$4:$D$1917,2,FALSE)</f>
        <v>600PCS/CTN</v>
      </c>
      <c r="J1023" s="13" t="s">
        <v>300</v>
      </c>
      <c r="K1023" s="32">
        <f>VLOOKUP(D1023,'[1]NEW PRICE LIST'!$C$4:$H$1917,3,FALSE)</f>
        <v>23</v>
      </c>
      <c r="L1023" s="13">
        <v>100</v>
      </c>
      <c r="M1023" s="13">
        <v>0</v>
      </c>
      <c r="N1023" s="13">
        <v>0</v>
      </c>
    </row>
    <row r="1024" spans="1:14" x14ac:dyDescent="0.25">
      <c r="A1024" s="14" t="str">
        <f t="shared" si="41"/>
        <v>AVT0001023</v>
      </c>
      <c r="B1024" s="13" t="str">
        <f>VLOOKUP(D1024,'SUPPLIER_ITEMS (1st Tools)'!C1508:D3235,2,FALSE)</f>
        <v>1ST-358-1507</v>
      </c>
      <c r="C1024" s="14" t="s">
        <v>113</v>
      </c>
      <c r="D1024" s="18" t="s">
        <v>2489</v>
      </c>
      <c r="F1024" s="30" t="str">
        <f t="shared" si="42"/>
        <v>AV55070-7 EXPANSION SHIELD 1/2"*50mm</v>
      </c>
      <c r="I1024" s="31" t="str">
        <f>VLOOKUP(D1024,'[1]NEW PRICE LIST'!$C$4:$D$1917,2,FALSE)</f>
        <v>400PCS/CTN</v>
      </c>
      <c r="J1024" s="13" t="s">
        <v>300</v>
      </c>
      <c r="K1024" s="32">
        <f>VLOOKUP(D1024,'[1]NEW PRICE LIST'!$C$4:$H$1917,3,FALSE)</f>
        <v>24</v>
      </c>
      <c r="L1024" s="13">
        <v>100</v>
      </c>
      <c r="M1024" s="13">
        <v>0</v>
      </c>
      <c r="N1024" s="13">
        <v>0</v>
      </c>
    </row>
    <row r="1025" spans="1:16" x14ac:dyDescent="0.25">
      <c r="A1025" s="14" t="str">
        <f t="shared" si="41"/>
        <v>AVT0001024</v>
      </c>
      <c r="B1025" s="13" t="str">
        <f>VLOOKUP(D1025,'SUPPLIER_ITEMS (1st Tools)'!C1509:D3236,2,FALSE)</f>
        <v>1ST-358-1508</v>
      </c>
      <c r="C1025" s="14" t="s">
        <v>113</v>
      </c>
      <c r="D1025" s="18" t="s">
        <v>2491</v>
      </c>
      <c r="F1025" s="30" t="str">
        <f t="shared" si="42"/>
        <v>AV55070-8 EXPANSION SHIELD 1/2"*75mm</v>
      </c>
      <c r="I1025" s="31" t="str">
        <f>VLOOKUP(D1025,'[1]NEW PRICE LIST'!$C$4:$D$1917,2,FALSE)</f>
        <v>400PCS/CTN</v>
      </c>
      <c r="J1025" s="13" t="s">
        <v>300</v>
      </c>
      <c r="K1025" s="32">
        <f>VLOOKUP(D1025,'[1]NEW PRICE LIST'!$C$4:$H$1917,3,FALSE)</f>
        <v>32</v>
      </c>
      <c r="L1025" s="13">
        <v>100</v>
      </c>
      <c r="M1025" s="13">
        <v>0</v>
      </c>
      <c r="N1025" s="13">
        <v>0</v>
      </c>
    </row>
    <row r="1026" spans="1:16" ht="26.4" x14ac:dyDescent="0.25">
      <c r="A1026" s="14" t="str">
        <f t="shared" si="41"/>
        <v>AVT0001025</v>
      </c>
      <c r="B1026" s="13" t="str">
        <f>VLOOKUP(D1026,'SUPPLIER_ITEMS (1st Tools)'!C1510:D3237,2,FALSE)</f>
        <v>1ST-358-1509</v>
      </c>
      <c r="C1026" s="14" t="s">
        <v>112</v>
      </c>
      <c r="D1026" s="18" t="s">
        <v>3902</v>
      </c>
      <c r="F1026" s="30" t="str">
        <f t="shared" si="42"/>
        <v>AV55080-S1 GYPSUM BOARD SCREW FOR STEEL 3.5mm*1"（25MM）</v>
      </c>
      <c r="I1026" s="31" t="str">
        <f>VLOOKUP(D1026,'[1]NEW PRICE LIST'!$C$4:$D$1917,2,FALSE)</f>
        <v>1000PCS*
20BOX/CTN</v>
      </c>
      <c r="J1026" s="13" t="s">
        <v>3620</v>
      </c>
      <c r="K1026" s="32">
        <f>VLOOKUP(D1026,'[1]NEW PRICE LIST'!$C$4:$H$1917,3,FALSE)</f>
        <v>0.32</v>
      </c>
      <c r="L1026" s="13">
        <v>100</v>
      </c>
      <c r="M1026" s="13">
        <v>0</v>
      </c>
      <c r="N1026" s="13">
        <v>0</v>
      </c>
    </row>
    <row r="1027" spans="1:16" ht="26.4" x14ac:dyDescent="0.25">
      <c r="A1027" s="14" t="str">
        <f t="shared" si="41"/>
        <v>AVT0001026</v>
      </c>
      <c r="B1027" s="13" t="str">
        <f>VLOOKUP(D1027,'SUPPLIER_ITEMS (1st Tools)'!C1511:D3238,2,FALSE)</f>
        <v>1ST-358-1510</v>
      </c>
      <c r="C1027" s="14" t="s">
        <v>112</v>
      </c>
      <c r="D1027" s="18" t="s">
        <v>3903</v>
      </c>
      <c r="F1027" s="30" t="str">
        <f t="shared" si="42"/>
        <v>AV55080-S2 GYPSUM BOARD SCREW FOR STEEL 3.5mm*1-1/4"（32MM）</v>
      </c>
      <c r="I1027" s="31" t="str">
        <f>VLOOKUP(D1027,'[1]NEW PRICE LIST'!$C$4:$D$1917,2,FALSE)</f>
        <v>1000PCS*
10BOX/CTN</v>
      </c>
      <c r="J1027" s="13" t="s">
        <v>3620</v>
      </c>
      <c r="K1027" s="32">
        <f>VLOOKUP(D1027,'[1]NEW PRICE LIST'!$C$4:$H$1917,3,FALSE)</f>
        <v>0.42</v>
      </c>
      <c r="L1027" s="13">
        <v>100</v>
      </c>
      <c r="M1027" s="13">
        <v>0</v>
      </c>
      <c r="N1027" s="13">
        <v>0</v>
      </c>
    </row>
    <row r="1028" spans="1:16" ht="26.4" x14ac:dyDescent="0.25">
      <c r="A1028" s="14" t="str">
        <f t="shared" ref="A1028:A1091" si="43">"AVT"&amp;TEXT(RIGHT(A1027,LEN(A1027)-3)+1,"0000000")</f>
        <v>AVT0001027</v>
      </c>
      <c r="B1028" s="13" t="str">
        <f>VLOOKUP(D1028,'SUPPLIER_ITEMS (1st Tools)'!C1512:D3239,2,FALSE)</f>
        <v>1ST-358-1511</v>
      </c>
      <c r="C1028" s="14" t="s">
        <v>112</v>
      </c>
      <c r="D1028" s="18" t="s">
        <v>3904</v>
      </c>
      <c r="F1028" s="30" t="str">
        <f t="shared" si="42"/>
        <v>AV55080-S3 GYPSUM BOARD SCREW FOR STEEL 3.5mm*1-1/2"（40MM）</v>
      </c>
      <c r="I1028" s="31" t="str">
        <f>VLOOKUP(D1028,'[1]NEW PRICE LIST'!$C$4:$D$1917,2,FALSE)</f>
        <v>500PCS*
20BOX/CTN</v>
      </c>
      <c r="J1028" s="13" t="s">
        <v>3620</v>
      </c>
      <c r="K1028" s="32">
        <f>VLOOKUP(D1028,'[1]NEW PRICE LIST'!$C$4:$H$1917,3,FALSE)</f>
        <v>0.45</v>
      </c>
      <c r="L1028" s="13">
        <v>100</v>
      </c>
      <c r="M1028" s="13">
        <v>0</v>
      </c>
      <c r="N1028" s="13">
        <v>0</v>
      </c>
    </row>
    <row r="1029" spans="1:16" ht="26.4" x14ac:dyDescent="0.25">
      <c r="A1029" s="14" t="str">
        <f t="shared" si="43"/>
        <v>AVT0001028</v>
      </c>
      <c r="B1029" s="13" t="str">
        <f>VLOOKUP(D1029,'SUPPLIER_ITEMS (1st Tools)'!C1513:D3240,2,FALSE)</f>
        <v>1ST-358-1512</v>
      </c>
      <c r="C1029" s="14" t="s">
        <v>112</v>
      </c>
      <c r="D1029" s="18" t="s">
        <v>3905</v>
      </c>
      <c r="F1029" s="30" t="str">
        <f t="shared" si="42"/>
        <v>AV55080-S4 GYPSUM BOARD SCREW FOR STEEL 3.5mm*2"（50MM）</v>
      </c>
      <c r="I1029" s="31" t="str">
        <f>VLOOKUP(D1029,'[1]NEW PRICE LIST'!$C$4:$D$1917,2,FALSE)</f>
        <v>500PCS/BOX</v>
      </c>
      <c r="J1029" s="13" t="s">
        <v>3620</v>
      </c>
      <c r="K1029" s="32">
        <f>VLOOKUP(D1029,'[1]NEW PRICE LIST'!$C$4:$H$1917,3,FALSE)</f>
        <v>0.5</v>
      </c>
      <c r="L1029" s="13">
        <v>100</v>
      </c>
      <c r="M1029" s="13">
        <v>0</v>
      </c>
      <c r="N1029" s="13">
        <v>0</v>
      </c>
    </row>
    <row r="1030" spans="1:16" ht="26.4" x14ac:dyDescent="0.25">
      <c r="A1030" s="14" t="str">
        <f t="shared" si="43"/>
        <v>AVT0001029</v>
      </c>
      <c r="B1030" s="13" t="str">
        <f>VLOOKUP(D1030,'SUPPLIER_ITEMS (1st Tools)'!C1514:D3241,2,FALSE)</f>
        <v>1ST-358-1513</v>
      </c>
      <c r="C1030" s="14" t="s">
        <v>112</v>
      </c>
      <c r="D1030" s="18" t="s">
        <v>3906</v>
      </c>
      <c r="F1030" s="30" t="str">
        <f t="shared" si="42"/>
        <v>AV55080-S5 GYPSUM BOARD SCREW FOR STEEL 4.2mm*2-1/2"（63MM）</v>
      </c>
      <c r="I1030" s="31" t="str">
        <f>VLOOKUP(D1030,'[1]NEW PRICE LIST'!$C$4:$D$1917,2,FALSE)</f>
        <v>440PCS*
16BOX/CTN</v>
      </c>
      <c r="J1030" s="13" t="s">
        <v>3620</v>
      </c>
      <c r="K1030" s="32">
        <f>VLOOKUP(D1030,'[1]NEW PRICE LIST'!$C$4:$H$1917,3,FALSE)</f>
        <v>0.75</v>
      </c>
      <c r="L1030" s="13">
        <v>100</v>
      </c>
      <c r="M1030" s="13">
        <v>0</v>
      </c>
      <c r="N1030" s="13">
        <v>0</v>
      </c>
    </row>
    <row r="1031" spans="1:16" ht="26.4" x14ac:dyDescent="0.25">
      <c r="A1031" s="14" t="str">
        <f t="shared" si="43"/>
        <v>AVT0001030</v>
      </c>
      <c r="B1031" s="13" t="str">
        <f>VLOOKUP(D1031,'SUPPLIER_ITEMS (1st Tools)'!C1515:D3242,2,FALSE)</f>
        <v>1ST-358-1514</v>
      </c>
      <c r="C1031" s="14" t="s">
        <v>112</v>
      </c>
      <c r="D1031" s="18" t="s">
        <v>3907</v>
      </c>
      <c r="F1031" s="30" t="str">
        <f t="shared" si="42"/>
        <v>AV55080-S6 GYPSUM BOARD SCREW FOR STEEL 4.2mm*3"（75MM）</v>
      </c>
      <c r="I1031" s="31" t="str">
        <f>VLOOKUP(D1031,'[1]NEW PRICE LIST'!$C$4:$D$1917,2,FALSE)</f>
        <v>20BOX/CTN</v>
      </c>
      <c r="J1031" s="13" t="s">
        <v>3620</v>
      </c>
      <c r="K1031" s="32">
        <f>VLOOKUP(D1031,'[1]NEW PRICE LIST'!$C$4:$H$1917,3,FALSE)</f>
        <v>1</v>
      </c>
      <c r="L1031" s="13">
        <v>100</v>
      </c>
      <c r="M1031" s="13">
        <v>0</v>
      </c>
      <c r="N1031" s="13">
        <v>0</v>
      </c>
    </row>
    <row r="1032" spans="1:16" ht="26.4" x14ac:dyDescent="0.25">
      <c r="A1032" s="14" t="str">
        <f t="shared" si="43"/>
        <v>AVT0001031</v>
      </c>
      <c r="B1032" s="13" t="str">
        <f>VLOOKUP(D1032,'SUPPLIER_ITEMS (1st Tools)'!C1516:D3243,2,FALSE)</f>
        <v>1ST-358-1515</v>
      </c>
      <c r="C1032" s="14" t="s">
        <v>111</v>
      </c>
      <c r="D1032" s="18" t="s">
        <v>3908</v>
      </c>
      <c r="F1032" s="30" t="str">
        <f t="shared" si="42"/>
        <v>AV55080-W1 GYPSUM BOARD SCREW FOR WOOD 3.5mm*1"（25MM）</v>
      </c>
      <c r="I1032" s="31" t="str">
        <f>VLOOKUP(D1032,'[1]NEW PRICE LIST'!$C$4:$D$1917,2,FALSE)</f>
        <v>1000PCS*
20BOX/CTN</v>
      </c>
      <c r="J1032" s="13" t="s">
        <v>3620</v>
      </c>
      <c r="K1032" s="32">
        <f>VLOOKUP(D1032,'[1]NEW PRICE LIST'!$C$4:$H$1917,3,FALSE)</f>
        <v>0.28999999999999998</v>
      </c>
      <c r="L1032" s="13">
        <v>100</v>
      </c>
      <c r="M1032" s="13">
        <v>0</v>
      </c>
      <c r="N1032" s="13">
        <v>0</v>
      </c>
    </row>
    <row r="1033" spans="1:16" ht="26.4" x14ac:dyDescent="0.25">
      <c r="A1033" s="14" t="str">
        <f t="shared" si="43"/>
        <v>AVT0001032</v>
      </c>
      <c r="B1033" s="13" t="str">
        <f>VLOOKUP(D1033,'SUPPLIER_ITEMS (1st Tools)'!C1517:D3244,2,FALSE)</f>
        <v>1ST-358-1516</v>
      </c>
      <c r="C1033" s="14" t="s">
        <v>111</v>
      </c>
      <c r="D1033" s="18" t="s">
        <v>3909</v>
      </c>
      <c r="F1033" s="30" t="str">
        <f t="shared" si="42"/>
        <v>AV55080-W2 GYPSUM BOARD SCREW FOR WOOD 3.5mm*1-1/4"（32MM）</v>
      </c>
      <c r="I1033" s="31" t="str">
        <f>VLOOKUP(D1033,'[1]NEW PRICE LIST'!$C$4:$D$1917,2,FALSE)</f>
        <v>500PCS*
20BOX/CTN</v>
      </c>
      <c r="J1033" s="13" t="s">
        <v>3620</v>
      </c>
      <c r="K1033" s="32">
        <f>VLOOKUP(D1033,'[1]NEW PRICE LIST'!$C$4:$H$1917,3,FALSE)</f>
        <v>0.35</v>
      </c>
      <c r="L1033" s="13">
        <v>100</v>
      </c>
      <c r="M1033" s="13">
        <v>0</v>
      </c>
      <c r="N1033" s="13">
        <v>0</v>
      </c>
    </row>
    <row r="1034" spans="1:16" ht="26.4" x14ac:dyDescent="0.25">
      <c r="A1034" s="14" t="str">
        <f t="shared" si="43"/>
        <v>AVT0001033</v>
      </c>
      <c r="B1034" s="13" t="str">
        <f>VLOOKUP(D1034,'SUPPLIER_ITEMS (1st Tools)'!C1518:D3245,2,FALSE)</f>
        <v>1ST-358-1517</v>
      </c>
      <c r="C1034" s="14" t="s">
        <v>111</v>
      </c>
      <c r="D1034" s="18" t="s">
        <v>3910</v>
      </c>
      <c r="F1034" s="30" t="str">
        <f t="shared" si="42"/>
        <v>AV55080-W3 GYPSUM BOARD SCREW FOR WOOD 3.5mm*1-1/2"（40MM）</v>
      </c>
      <c r="I1034" s="31" t="str">
        <f>VLOOKUP(D1034,'[1]NEW PRICE LIST'!$C$4:$D$1917,2,FALSE)</f>
        <v>500PCS*
20BOX/CTN</v>
      </c>
      <c r="J1034" s="13" t="s">
        <v>3620</v>
      </c>
      <c r="K1034" s="32">
        <f>VLOOKUP(D1034,'[1]NEW PRICE LIST'!$C$4:$H$1917,3,FALSE)</f>
        <v>0.35</v>
      </c>
      <c r="L1034" s="13">
        <v>100</v>
      </c>
      <c r="M1034" s="13">
        <v>0</v>
      </c>
      <c r="N1034" s="13">
        <v>0</v>
      </c>
    </row>
    <row r="1035" spans="1:16" ht="26.4" x14ac:dyDescent="0.25">
      <c r="A1035" s="14" t="str">
        <f t="shared" si="43"/>
        <v>AVT0001034</v>
      </c>
      <c r="B1035" s="13" t="str">
        <f>VLOOKUP(D1035,'SUPPLIER_ITEMS (1st Tools)'!C1512:D3239,2,FALSE)</f>
        <v>1ST-358-1518</v>
      </c>
      <c r="C1035" s="14" t="s">
        <v>111</v>
      </c>
      <c r="D1035" s="18" t="s">
        <v>3967</v>
      </c>
      <c r="F1035" s="30" t="str">
        <f t="shared" si="42"/>
        <v>AV55080-W4 GYPSUM BOARD SCREW FOR WOOD 3.5mm*2" (50MM)</v>
      </c>
      <c r="I1035" s="31" t="str">
        <f>VLOOKUP(D1035,'[1]NEW PRICE LIST'!$C$4:$D$1917,2,FALSE)</f>
        <v>500PCS*
20BOX/CTN</v>
      </c>
      <c r="J1035" s="13" t="s">
        <v>3620</v>
      </c>
      <c r="K1035" s="32">
        <f>VLOOKUP(D1035,'[1]NEW PRICE LIST'!$C$4:$H$1917,3,FALSE)</f>
        <v>0.45</v>
      </c>
      <c r="L1035" s="13">
        <v>100</v>
      </c>
      <c r="M1035" s="13">
        <v>0</v>
      </c>
      <c r="N1035" s="13">
        <v>0</v>
      </c>
    </row>
    <row r="1036" spans="1:16" ht="26.4" x14ac:dyDescent="0.25">
      <c r="A1036" s="14" t="str">
        <f t="shared" si="43"/>
        <v>AVT0001035</v>
      </c>
      <c r="B1036" s="13" t="str">
        <f>VLOOKUP(D1036,'SUPPLIER_ITEMS (1st Tools)'!C1520:D3247,2,FALSE)</f>
        <v>1ST-358-1519</v>
      </c>
      <c r="C1036" s="14" t="s">
        <v>111</v>
      </c>
      <c r="D1036" s="18" t="s">
        <v>3911</v>
      </c>
      <c r="F1036" s="30" t="str">
        <f t="shared" si="42"/>
        <v>AV55080-W5 GYPSUM BOARD SCREW FOR WOOD 4.2mm*2-1/2"（63MM）</v>
      </c>
      <c r="I1036" s="31" t="str">
        <f>VLOOKUP(D1036,'[1]NEW PRICE LIST'!$C$4:$D$1917,2,FALSE)</f>
        <v>440PCS*
10BOX/CTN</v>
      </c>
      <c r="J1036" s="13" t="s">
        <v>3620</v>
      </c>
      <c r="K1036" s="32">
        <f>VLOOKUP(D1036,'[1]NEW PRICE LIST'!$C$4:$H$1917,3,FALSE)</f>
        <v>0.65</v>
      </c>
      <c r="L1036" s="13">
        <v>100</v>
      </c>
      <c r="M1036" s="13">
        <v>0</v>
      </c>
      <c r="N1036" s="13">
        <v>0</v>
      </c>
    </row>
    <row r="1037" spans="1:16" ht="26.4" x14ac:dyDescent="0.25">
      <c r="A1037" s="14" t="str">
        <f t="shared" si="43"/>
        <v>AVT0001036</v>
      </c>
      <c r="B1037" s="13" t="str">
        <f>VLOOKUP(D1037,'SUPPLIER_ITEMS (1st Tools)'!C1521:D3248,2,FALSE)</f>
        <v>1ST-358-1520</v>
      </c>
      <c r="C1037" s="14" t="s">
        <v>111</v>
      </c>
      <c r="D1037" s="18" t="s">
        <v>3968</v>
      </c>
      <c r="F1037" s="30" t="str">
        <f t="shared" si="42"/>
        <v>AV55080-W6 GYPSUM BOARD SCREW FOR WOOD 4.2mm*3" (75MM)</v>
      </c>
      <c r="I1037" s="31" t="str">
        <f>VLOOKUP(D1037,'[1]NEW PRICE LIST'!$C$4:$D$1917,2,FALSE)</f>
        <v>325PCS*
20BOX/CTN</v>
      </c>
      <c r="J1037" s="13" t="s">
        <v>3620</v>
      </c>
      <c r="K1037" s="32">
        <f>VLOOKUP(D1037,'[1]NEW PRICE LIST'!$C$4:$H$1917,3,FALSE)</f>
        <v>0.9</v>
      </c>
      <c r="L1037" s="13">
        <v>100</v>
      </c>
      <c r="M1037" s="13">
        <v>0</v>
      </c>
      <c r="N1037" s="13">
        <v>0</v>
      </c>
    </row>
    <row r="1038" spans="1:16" x14ac:dyDescent="0.25">
      <c r="A1038" s="14" t="str">
        <f t="shared" si="43"/>
        <v>AVT0001037</v>
      </c>
      <c r="B1038" s="13" t="str">
        <f>VLOOKUP(D1038,'SUPPLIER_ITEMS (1st Tools)'!C1522:D3249,2,FALSE)</f>
        <v>1ST-358-1521</v>
      </c>
      <c r="C1038" s="14" t="s">
        <v>110</v>
      </c>
      <c r="D1038" s="18" t="s">
        <v>3912</v>
      </c>
      <c r="F1038" s="30" t="str">
        <f t="shared" si="42"/>
        <v>AV55081-S1 TEK SCREW FOR METAL 4.4*25MM 1"</v>
      </c>
      <c r="I1038" s="31" t="str">
        <f>VLOOKUP(D1038,'[1]NEW PRICE LIST'!$C$4:$D$1917,2,FALSE)</f>
        <v>6500PCS/CTN</v>
      </c>
      <c r="J1038" s="13" t="s">
        <v>300</v>
      </c>
      <c r="K1038" s="32">
        <f>VLOOKUP(D1038,'[1]NEW PRICE LIST'!$C$4:$H$1917,3,FALSE)</f>
        <v>0.55000000000000004</v>
      </c>
      <c r="L1038" s="13">
        <v>100</v>
      </c>
      <c r="M1038" s="13">
        <v>0</v>
      </c>
      <c r="N1038" s="13">
        <v>15</v>
      </c>
      <c r="P1038" s="13" t="s">
        <v>3963</v>
      </c>
    </row>
    <row r="1039" spans="1:16" x14ac:dyDescent="0.25">
      <c r="A1039" s="14" t="str">
        <f t="shared" si="43"/>
        <v>AVT0001038</v>
      </c>
      <c r="B1039" s="13" t="str">
        <f>VLOOKUP(D1039,'SUPPLIER_ITEMS (1st Tools)'!C1523:D3250,2,FALSE)</f>
        <v>1ST-358-1522</v>
      </c>
      <c r="C1039" s="14" t="s">
        <v>110</v>
      </c>
      <c r="D1039" s="18" t="s">
        <v>3913</v>
      </c>
      <c r="F1039" s="30" t="str">
        <f t="shared" si="42"/>
        <v>AV55081-S2 TEK SCREW FOR METAL 4.4*35MM 1"-3/8</v>
      </c>
      <c r="I1039" s="31" t="str">
        <f>VLOOKUP(D1039,'[1]NEW PRICE LIST'!$C$4:$D$1917,2,FALSE)</f>
        <v>5000PCS/CTN</v>
      </c>
      <c r="J1039" s="13" t="s">
        <v>300</v>
      </c>
      <c r="K1039" s="32">
        <f>VLOOKUP(D1039,'[1]NEW PRICE LIST'!$C$4:$H$1917,3,FALSE)</f>
        <v>0.65</v>
      </c>
      <c r="L1039" s="13">
        <v>100</v>
      </c>
      <c r="M1039" s="13">
        <v>0</v>
      </c>
      <c r="N1039" s="13">
        <v>15</v>
      </c>
      <c r="P1039" s="13" t="s">
        <v>3963</v>
      </c>
    </row>
    <row r="1040" spans="1:16" x14ac:dyDescent="0.25">
      <c r="A1040" s="14" t="str">
        <f t="shared" si="43"/>
        <v>AVT0001039</v>
      </c>
      <c r="B1040" s="13" t="str">
        <f>VLOOKUP(D1040,'SUPPLIER_ITEMS (1st Tools)'!C1524:D3251,2,FALSE)</f>
        <v>1ST-358-1523</v>
      </c>
      <c r="C1040" s="14" t="s">
        <v>110</v>
      </c>
      <c r="D1040" s="18" t="s">
        <v>3914</v>
      </c>
      <c r="F1040" s="30" t="str">
        <f t="shared" si="42"/>
        <v>AV55081-S3 TEK SCREW FOR METAL 4.4*45MM 1"3/4</v>
      </c>
      <c r="I1040" s="31" t="str">
        <f>VLOOKUP(D1040,'[1]NEW PRICE LIST'!$C$4:$D$1917,2,FALSE)</f>
        <v>4000PCS/CTN</v>
      </c>
      <c r="J1040" s="13" t="s">
        <v>300</v>
      </c>
      <c r="K1040" s="32">
        <f>VLOOKUP(D1040,'[1]NEW PRICE LIST'!$C$4:$H$1917,3,FALSE)</f>
        <v>0.75</v>
      </c>
      <c r="L1040" s="13">
        <v>100</v>
      </c>
      <c r="M1040" s="13">
        <v>0</v>
      </c>
      <c r="N1040" s="13">
        <v>15</v>
      </c>
      <c r="P1040" s="13" t="s">
        <v>3963</v>
      </c>
    </row>
    <row r="1041" spans="1:16" x14ac:dyDescent="0.25">
      <c r="A1041" s="14" t="str">
        <f t="shared" si="43"/>
        <v>AVT0001040</v>
      </c>
      <c r="B1041" s="13" t="str">
        <f>VLOOKUP(D1041,'SUPPLIER_ITEMS (1st Tools)'!C1525:D3252,2,FALSE)</f>
        <v>1ST-358-1524</v>
      </c>
      <c r="C1041" s="14" t="s">
        <v>110</v>
      </c>
      <c r="D1041" s="18" t="s">
        <v>3915</v>
      </c>
      <c r="F1041" s="30" t="str">
        <f t="shared" si="42"/>
        <v>AV55081-S4 TEK SCREW FOR METAL 4.4*50MM 2"</v>
      </c>
      <c r="I1041" s="31" t="str">
        <f>VLOOKUP(D1041,'[1]NEW PRICE LIST'!$C$4:$D$1917,2,FALSE)</f>
        <v>3000PCS/CTN</v>
      </c>
      <c r="J1041" s="13" t="s">
        <v>300</v>
      </c>
      <c r="K1041" s="32">
        <f>VLOOKUP(D1041,'[1]NEW PRICE LIST'!$C$4:$H$1917,3,FALSE)</f>
        <v>0.85</v>
      </c>
      <c r="L1041" s="13">
        <v>100</v>
      </c>
      <c r="M1041" s="13">
        <v>0</v>
      </c>
      <c r="N1041" s="13">
        <v>15</v>
      </c>
      <c r="P1041" s="13" t="s">
        <v>3963</v>
      </c>
    </row>
    <row r="1042" spans="1:16" x14ac:dyDescent="0.25">
      <c r="A1042" s="14" t="str">
        <f t="shared" si="43"/>
        <v>AVT0001041</v>
      </c>
      <c r="B1042" s="13" t="str">
        <f>VLOOKUP(D1042,'SUPPLIER_ITEMS (1st Tools)'!C1526:D3253,2,FALSE)</f>
        <v>1ST-358-1525</v>
      </c>
      <c r="C1042" s="14" t="s">
        <v>110</v>
      </c>
      <c r="D1042" s="18" t="s">
        <v>3916</v>
      </c>
      <c r="F1042" s="30" t="str">
        <f t="shared" si="42"/>
        <v>AV55081-S5 TEK SCREW FOR METAL 4.5*55MM 2"1/4</v>
      </c>
      <c r="I1042" s="31" t="str">
        <f>VLOOKUP(D1042,'[1]NEW PRICE LIST'!$C$4:$D$1917,2,FALSE)</f>
        <v>3000PCS/CTN</v>
      </c>
      <c r="J1042" s="13" t="s">
        <v>300</v>
      </c>
      <c r="K1042" s="32">
        <f>VLOOKUP(D1042,'[1]NEW PRICE LIST'!$C$4:$H$1917,3,FALSE)</f>
        <v>0.95</v>
      </c>
      <c r="L1042" s="13">
        <v>100</v>
      </c>
      <c r="M1042" s="13">
        <v>0</v>
      </c>
      <c r="N1042" s="13">
        <v>15</v>
      </c>
      <c r="P1042" s="13" t="s">
        <v>3963</v>
      </c>
    </row>
    <row r="1043" spans="1:16" x14ac:dyDescent="0.25">
      <c r="A1043" s="14" t="str">
        <f t="shared" si="43"/>
        <v>AVT0001042</v>
      </c>
      <c r="B1043" s="13" t="str">
        <f>VLOOKUP(D1043,'SUPPLIER_ITEMS (1st Tools)'!C1527:D3254,2,FALSE)</f>
        <v>1ST-358-1526</v>
      </c>
      <c r="C1043" s="14" t="s">
        <v>110</v>
      </c>
      <c r="D1043" s="18" t="s">
        <v>3917</v>
      </c>
      <c r="F1043" s="30" t="str">
        <f t="shared" si="42"/>
        <v>AV55081-S6 TEK SCREW FOR METAL 4.5*65MM 2"1/2</v>
      </c>
      <c r="I1043" s="31" t="str">
        <f>VLOOKUP(D1043,'[1]NEW PRICE LIST'!$C$4:$D$1917,2,FALSE)</f>
        <v>2500PCS/CTN</v>
      </c>
      <c r="J1043" s="13" t="s">
        <v>300</v>
      </c>
      <c r="K1043" s="32">
        <f>VLOOKUP(D1043,'[1]NEW PRICE LIST'!$C$4:$H$1917,3,FALSE)</f>
        <v>0.95</v>
      </c>
      <c r="L1043" s="13">
        <v>100</v>
      </c>
      <c r="M1043" s="13">
        <v>0</v>
      </c>
      <c r="N1043" s="13">
        <v>15</v>
      </c>
      <c r="P1043" s="13" t="s">
        <v>3963</v>
      </c>
    </row>
    <row r="1044" spans="1:16" x14ac:dyDescent="0.25">
      <c r="A1044" s="14" t="str">
        <f t="shared" si="43"/>
        <v>AVT0001043</v>
      </c>
      <c r="B1044" s="13" t="str">
        <f>VLOOKUP(D1044,'SUPPLIER_ITEMS (1st Tools)'!C1528:D3255,2,FALSE)</f>
        <v>1ST-358-1527</v>
      </c>
      <c r="C1044" s="14" t="s">
        <v>110</v>
      </c>
      <c r="D1044" s="18" t="s">
        <v>3918</v>
      </c>
      <c r="F1044" s="30" t="str">
        <f t="shared" si="42"/>
        <v>AV55081-S7 TEK SCREW FOR METAL 4.5*75MM 3"</v>
      </c>
      <c r="I1044" s="31" t="str">
        <f>VLOOKUP(D1044,'[1]NEW PRICE LIST'!$C$4:$D$1917,2,FALSE)</f>
        <v>2500PCS/CTN</v>
      </c>
      <c r="J1044" s="13" t="s">
        <v>300</v>
      </c>
      <c r="K1044" s="32">
        <f>VLOOKUP(D1044,'[1]NEW PRICE LIST'!$C$4:$H$1917,3,FALSE)</f>
        <v>1.2</v>
      </c>
      <c r="L1044" s="13">
        <v>100</v>
      </c>
      <c r="M1044" s="13">
        <v>0</v>
      </c>
      <c r="N1044" s="13">
        <v>15</v>
      </c>
      <c r="P1044" s="13" t="s">
        <v>3963</v>
      </c>
    </row>
    <row r="1045" spans="1:16" x14ac:dyDescent="0.25">
      <c r="A1045" s="14" t="str">
        <f t="shared" si="43"/>
        <v>AVT0001044</v>
      </c>
      <c r="B1045" s="13" t="str">
        <f>VLOOKUP(D1045,'SUPPLIER_ITEMS (1st Tools)'!C1529:D3256,2,FALSE)</f>
        <v>1ST-358-1528</v>
      </c>
      <c r="C1045" s="14" t="s">
        <v>110</v>
      </c>
      <c r="D1045" s="18" t="s">
        <v>2900</v>
      </c>
      <c r="F1045" s="30" t="str">
        <f t="shared" si="42"/>
        <v>AV55081-S8 TEK SCREW FOR METAL 4.7*100MM 4"</v>
      </c>
      <c r="I1045" s="31" t="str">
        <f>VLOOKUP(D1045,'[1]NEW PRICE LIST'!$C$4:$D$1917,2,FALSE)</f>
        <v>1800PCS/CTN</v>
      </c>
      <c r="J1045" s="13" t="s">
        <v>300</v>
      </c>
      <c r="K1045" s="32">
        <f>VLOOKUP(D1045,'[1]NEW PRICE LIST'!$C$4:$H$1917,3,FALSE)</f>
        <v>1.65</v>
      </c>
      <c r="L1045" s="13">
        <v>100</v>
      </c>
      <c r="M1045" s="13">
        <v>0</v>
      </c>
      <c r="N1045" s="13">
        <v>15</v>
      </c>
      <c r="P1045" s="13" t="s">
        <v>3963</v>
      </c>
    </row>
    <row r="1046" spans="1:16" x14ac:dyDescent="0.25">
      <c r="A1046" s="14" t="str">
        <f t="shared" si="43"/>
        <v>AVT0001045</v>
      </c>
      <c r="B1046" s="13" t="str">
        <f>VLOOKUP(D1046,'SUPPLIER_ITEMS (1st Tools)'!C1530:D3257,2,FALSE)</f>
        <v>1ST-358-1529</v>
      </c>
      <c r="C1046" s="14" t="s">
        <v>109</v>
      </c>
      <c r="D1046" s="18" t="s">
        <v>3919</v>
      </c>
      <c r="F1046" s="30" t="str">
        <f t="shared" si="42"/>
        <v>AV55081-W1 TEK SCREW FOR WOOD 4.4*25MM 1"</v>
      </c>
      <c r="I1046" s="31" t="str">
        <f>VLOOKUP(D1046,'[1]NEW PRICE LIST'!$C$4:$D$1917,2,FALSE)</f>
        <v>6500PCS/CTN</v>
      </c>
      <c r="J1046" s="13" t="s">
        <v>300</v>
      </c>
      <c r="K1046" s="32">
        <f>VLOOKUP(D1046,'[1]NEW PRICE LIST'!$C$4:$H$1917,3,FALSE)</f>
        <v>0.55000000000000004</v>
      </c>
      <c r="L1046" s="13">
        <v>100</v>
      </c>
      <c r="M1046" s="13">
        <v>0</v>
      </c>
      <c r="N1046" s="13">
        <v>15</v>
      </c>
      <c r="P1046" s="13" t="s">
        <v>3963</v>
      </c>
    </row>
    <row r="1047" spans="1:16" x14ac:dyDescent="0.25">
      <c r="A1047" s="14" t="str">
        <f t="shared" si="43"/>
        <v>AVT0001046</v>
      </c>
      <c r="B1047" s="13" t="str">
        <f>VLOOKUP(D1047,'SUPPLIER_ITEMS (1st Tools)'!C1531:D3258,2,FALSE)</f>
        <v>1ST-358-1530</v>
      </c>
      <c r="C1047" s="14" t="s">
        <v>109</v>
      </c>
      <c r="D1047" s="18" t="s">
        <v>3920</v>
      </c>
      <c r="F1047" s="30" t="str">
        <f t="shared" si="42"/>
        <v>AV55081-W2 TEK SCREW FOR WOOD 4.4*35MM 1"- 3/8</v>
      </c>
      <c r="I1047" s="31" t="str">
        <f>VLOOKUP(D1047,'[1]NEW PRICE LIST'!$C$4:$D$1917,2,FALSE)</f>
        <v>5000PCS/CTN</v>
      </c>
      <c r="J1047" s="13" t="s">
        <v>300</v>
      </c>
      <c r="K1047" s="32">
        <f>VLOOKUP(D1047,'[1]NEW PRICE LIST'!$C$4:$H$1917,3,FALSE)</f>
        <v>0.65</v>
      </c>
      <c r="L1047" s="13">
        <v>100</v>
      </c>
      <c r="M1047" s="13">
        <v>0</v>
      </c>
      <c r="N1047" s="13">
        <v>15</v>
      </c>
      <c r="P1047" s="13" t="s">
        <v>3963</v>
      </c>
    </row>
    <row r="1048" spans="1:16" x14ac:dyDescent="0.25">
      <c r="A1048" s="14" t="str">
        <f t="shared" si="43"/>
        <v>AVT0001047</v>
      </c>
      <c r="B1048" s="13" t="str">
        <f>VLOOKUP(D1048,'SUPPLIER_ITEMS (1st Tools)'!C1532:D3259,2,FALSE)</f>
        <v>1ST-358-1531</v>
      </c>
      <c r="C1048" s="14" t="s">
        <v>109</v>
      </c>
      <c r="D1048" s="18" t="s">
        <v>3921</v>
      </c>
      <c r="F1048" s="30" t="str">
        <f t="shared" si="42"/>
        <v>AV55081-W3 TEK SCREW FOR WOOD 4.4*45MM 1"3/4</v>
      </c>
      <c r="I1048" s="31" t="str">
        <f>VLOOKUP(D1048,'[1]NEW PRICE LIST'!$C$4:$D$1917,2,FALSE)</f>
        <v>4000PCS/CTN</v>
      </c>
      <c r="J1048" s="13" t="s">
        <v>300</v>
      </c>
      <c r="K1048" s="32">
        <f>VLOOKUP(D1048,'[1]NEW PRICE LIST'!$C$4:$H$1917,3,FALSE)</f>
        <v>0.75</v>
      </c>
      <c r="L1048" s="13">
        <v>100</v>
      </c>
      <c r="M1048" s="13">
        <v>0</v>
      </c>
      <c r="N1048" s="13">
        <v>15</v>
      </c>
      <c r="P1048" s="13" t="s">
        <v>3963</v>
      </c>
    </row>
    <row r="1049" spans="1:16" x14ac:dyDescent="0.25">
      <c r="A1049" s="14" t="str">
        <f t="shared" si="43"/>
        <v>AVT0001048</v>
      </c>
      <c r="B1049" s="13" t="str">
        <f>VLOOKUP(D1049,'SUPPLIER_ITEMS (1st Tools)'!C1533:D3260,2,FALSE)</f>
        <v>1ST-358-1532</v>
      </c>
      <c r="C1049" s="14" t="s">
        <v>109</v>
      </c>
      <c r="D1049" s="19" t="s">
        <v>2901</v>
      </c>
      <c r="F1049" s="30" t="str">
        <f t="shared" si="42"/>
        <v>AV55081-W4 TEK SCREW FOR WOOD 50MM 2"</v>
      </c>
      <c r="I1049" s="31" t="str">
        <f>VLOOKUP(D1049,'[1]NEW PRICE LIST'!$C$4:$D$1917,2,FALSE)</f>
        <v>3000PCS/CTN</v>
      </c>
      <c r="J1049" s="13" t="s">
        <v>300</v>
      </c>
      <c r="K1049" s="32">
        <f>VLOOKUP(D1049,'[1]NEW PRICE LIST'!$C$4:$H$1917,3,FALSE)</f>
        <v>0.85</v>
      </c>
      <c r="L1049" s="13">
        <v>100</v>
      </c>
      <c r="M1049" s="13">
        <v>0</v>
      </c>
      <c r="N1049" s="13">
        <v>15</v>
      </c>
      <c r="P1049" s="13" t="s">
        <v>3963</v>
      </c>
    </row>
    <row r="1050" spans="1:16" x14ac:dyDescent="0.25">
      <c r="A1050" s="14" t="str">
        <f t="shared" si="43"/>
        <v>AVT0001049</v>
      </c>
      <c r="B1050" s="13" t="str">
        <f>VLOOKUP(D1050,'SUPPLIER_ITEMS (1st Tools)'!C1534:D3261,2,FALSE)</f>
        <v>1ST-358-1533</v>
      </c>
      <c r="C1050" s="14" t="s">
        <v>109</v>
      </c>
      <c r="D1050" s="18" t="s">
        <v>3922</v>
      </c>
      <c r="F1050" s="30" t="str">
        <f t="shared" si="42"/>
        <v>AV55081-W5 TEK SCREW FOR WOOD 4.5*55MM 2"1/4</v>
      </c>
      <c r="I1050" s="31" t="str">
        <f>VLOOKUP(D1050,'[1]NEW PRICE LIST'!$C$4:$D$1917,2,FALSE)</f>
        <v>3000PCS/CTN</v>
      </c>
      <c r="J1050" s="13" t="s">
        <v>300</v>
      </c>
      <c r="K1050" s="32">
        <f>VLOOKUP(D1050,'[1]NEW PRICE LIST'!$C$4:$H$1917,3,FALSE)</f>
        <v>0.85</v>
      </c>
      <c r="L1050" s="13">
        <v>100</v>
      </c>
      <c r="M1050" s="13">
        <v>0</v>
      </c>
      <c r="N1050" s="13">
        <v>15</v>
      </c>
      <c r="P1050" s="13" t="s">
        <v>3963</v>
      </c>
    </row>
    <row r="1051" spans="1:16" x14ac:dyDescent="0.25">
      <c r="A1051" s="14" t="str">
        <f t="shared" si="43"/>
        <v>AVT0001050</v>
      </c>
      <c r="B1051" s="13" t="str">
        <f>VLOOKUP(D1051,'SUPPLIER_ITEMS (1st Tools)'!C1535:D3262,2,FALSE)</f>
        <v>1ST-358-1534</v>
      </c>
      <c r="C1051" s="14" t="s">
        <v>109</v>
      </c>
      <c r="D1051" s="18" t="s">
        <v>2902</v>
      </c>
      <c r="F1051" s="30" t="str">
        <f t="shared" si="42"/>
        <v>AV55081-W6 TEK SCREW FOR WOOD 65MM 2"1/2</v>
      </c>
      <c r="I1051" s="31" t="str">
        <f>VLOOKUP(D1051,'[1]NEW PRICE LIST'!$C$4:$D$1917,2,FALSE)</f>
        <v>2500PCS/CTN</v>
      </c>
      <c r="J1051" s="13" t="s">
        <v>300</v>
      </c>
      <c r="K1051" s="32">
        <f>VLOOKUP(D1051,'[1]NEW PRICE LIST'!$C$4:$H$1917,3,FALSE)</f>
        <v>0.95</v>
      </c>
      <c r="L1051" s="13">
        <v>100</v>
      </c>
      <c r="M1051" s="13">
        <v>0</v>
      </c>
      <c r="N1051" s="13">
        <v>15</v>
      </c>
      <c r="P1051" s="13" t="s">
        <v>3963</v>
      </c>
    </row>
    <row r="1052" spans="1:16" x14ac:dyDescent="0.25">
      <c r="A1052" s="14" t="str">
        <f t="shared" si="43"/>
        <v>AVT0001051</v>
      </c>
      <c r="B1052" s="13" t="str">
        <f>VLOOKUP(D1052,'SUPPLIER_ITEMS (1st Tools)'!C1536:D3263,2,FALSE)</f>
        <v>1ST-358-1535</v>
      </c>
      <c r="C1052" s="14" t="s">
        <v>109</v>
      </c>
      <c r="D1052" s="19" t="s">
        <v>2903</v>
      </c>
      <c r="F1052" s="30" t="str">
        <f t="shared" si="42"/>
        <v>AV55081-W7 TEK SCREW FOR WOOD 75MM 3"</v>
      </c>
      <c r="I1052" s="31" t="str">
        <f>VLOOKUP(D1052,'[1]NEW PRICE LIST'!$C$4:$D$1917,2,FALSE)</f>
        <v>2500PCS/CTN</v>
      </c>
      <c r="J1052" s="13" t="s">
        <v>300</v>
      </c>
      <c r="K1052" s="32">
        <f>VLOOKUP(D1052,'[1]NEW PRICE LIST'!$C$4:$H$1917,3,FALSE)</f>
        <v>1.2</v>
      </c>
      <c r="L1052" s="13">
        <v>100</v>
      </c>
      <c r="M1052" s="13">
        <v>0</v>
      </c>
      <c r="N1052" s="13">
        <v>15</v>
      </c>
      <c r="P1052" s="13" t="s">
        <v>3963</v>
      </c>
    </row>
    <row r="1053" spans="1:16" x14ac:dyDescent="0.25">
      <c r="A1053" s="14" t="str">
        <f t="shared" si="43"/>
        <v>AVT0001052</v>
      </c>
      <c r="B1053" s="13" t="str">
        <f>VLOOKUP(D1053,'SUPPLIER_ITEMS (1st Tools)'!C1537:D3264,2,FALSE)</f>
        <v>1ST-358-1536</v>
      </c>
      <c r="C1053" s="14" t="s">
        <v>109</v>
      </c>
      <c r="D1053" s="19" t="s">
        <v>2904</v>
      </c>
      <c r="F1053" s="30" t="str">
        <f t="shared" si="42"/>
        <v>AV55081-W8 TEK SCREW FOR WOOD 4.7*100MM 4"</v>
      </c>
      <c r="I1053" s="31" t="str">
        <f>VLOOKUP(D1053,'[1]NEW PRICE LIST'!$C$4:$D$1917,2,FALSE)</f>
        <v>1800PCS/CTN</v>
      </c>
      <c r="J1053" s="13" t="s">
        <v>300</v>
      </c>
      <c r="K1053" s="32">
        <f>VLOOKUP(D1053,'[1]NEW PRICE LIST'!$C$4:$H$1917,3,FALSE)</f>
        <v>1.65</v>
      </c>
      <c r="L1053" s="13">
        <v>100</v>
      </c>
      <c r="M1053" s="13">
        <v>0</v>
      </c>
      <c r="N1053" s="13">
        <v>15</v>
      </c>
      <c r="P1053" s="13" t="s">
        <v>3963</v>
      </c>
    </row>
    <row r="1054" spans="1:16" x14ac:dyDescent="0.25">
      <c r="A1054" s="14" t="str">
        <f t="shared" si="43"/>
        <v>AVT0001053</v>
      </c>
      <c r="B1054" s="13" t="str">
        <f>VLOOKUP(D1054,'SUPPLIER_ITEMS (1st Tools)'!C1548:D3275,2,FALSE)</f>
        <v>1ST-358-1547</v>
      </c>
      <c r="C1054" s="14" t="s">
        <v>106</v>
      </c>
      <c r="D1054" s="18" t="s">
        <v>2520</v>
      </c>
      <c r="F1054" s="30" t="str">
        <f t="shared" ref="F1054:F1103" si="44">"AV"&amp;RIGHT(D1054,LEN(D1054)-2)</f>
        <v>AV55082-00 (LT55020-1) LAGSCREW 1/4" x 1"</v>
      </c>
      <c r="I1054" s="31" t="str">
        <f>VLOOKUP(D1054,'[1]NEW PRICE LIST'!$C$4:$D$1917,2,FALSE)</f>
        <v>16BOX/CTN</v>
      </c>
      <c r="J1054" s="13" t="s">
        <v>3620</v>
      </c>
      <c r="K1054" s="32">
        <f>VLOOKUP(D1054,'[1]NEW PRICE LIST'!$C$4:$H$1917,3,FALSE)</f>
        <v>190</v>
      </c>
      <c r="L1054" s="13">
        <v>100</v>
      </c>
      <c r="M1054" s="13">
        <v>0</v>
      </c>
      <c r="N1054" s="13">
        <v>0</v>
      </c>
    </row>
    <row r="1055" spans="1:16" x14ac:dyDescent="0.25">
      <c r="A1055" s="14" t="str">
        <f t="shared" si="43"/>
        <v>AVT0001054</v>
      </c>
      <c r="B1055" s="13" t="str">
        <f>VLOOKUP(D1055,'SUPPLIER_ITEMS (1st Tools)'!C1549:D3276,2,FALSE)</f>
        <v>1ST-358-1548</v>
      </c>
      <c r="C1055" s="14" t="s">
        <v>106</v>
      </c>
      <c r="D1055" s="18" t="s">
        <v>3923</v>
      </c>
      <c r="F1055" s="30" t="str">
        <f t="shared" si="44"/>
        <v>AV55082-01 (LT55020-2) LAGSCREW 1/4" x 1-1/2"</v>
      </c>
      <c r="I1055" s="31" t="str">
        <f>VLOOKUP(D1055,'[1]NEW PRICE LIST'!$C$4:$D$1917,2,FALSE)</f>
        <v>200PCS/BOX @1.75KLS</v>
      </c>
      <c r="J1055" s="13" t="s">
        <v>3620</v>
      </c>
      <c r="K1055" s="32">
        <f>VLOOKUP(D1055,'[1]NEW PRICE LIST'!$C$4:$H$1917,3,FALSE)</f>
        <v>250</v>
      </c>
      <c r="L1055" s="13">
        <v>100</v>
      </c>
      <c r="M1055" s="13">
        <v>0</v>
      </c>
      <c r="N1055" s="13">
        <v>0</v>
      </c>
    </row>
    <row r="1056" spans="1:16" x14ac:dyDescent="0.25">
      <c r="A1056" s="14" t="str">
        <f t="shared" si="43"/>
        <v>AVT0001055</v>
      </c>
      <c r="B1056" s="13" t="str">
        <f>VLOOKUP(D1056,'SUPPLIER_ITEMS (1st Tools)'!C1550:D3277,2,FALSE)</f>
        <v>1ST-358-1549</v>
      </c>
      <c r="C1056" s="14" t="s">
        <v>106</v>
      </c>
      <c r="D1056" s="18" t="s">
        <v>2523</v>
      </c>
      <c r="F1056" s="30" t="str">
        <f t="shared" si="44"/>
        <v>AV55082-02 (LT55020-3) LAGSCREW 1/4" x 2"</v>
      </c>
      <c r="I1056" s="31" t="str">
        <f>VLOOKUP(D1056,'[1]NEW PRICE LIST'!$C$4:$D$1917,2,FALSE)</f>
        <v>200PCS/BOX @2.25KLS</v>
      </c>
      <c r="J1056" s="13" t="s">
        <v>3620</v>
      </c>
      <c r="K1056" s="32">
        <f>VLOOKUP(D1056,'[1]NEW PRICE LIST'!$C$4:$H$1917,3,FALSE)</f>
        <v>325</v>
      </c>
      <c r="L1056" s="13">
        <v>100</v>
      </c>
      <c r="M1056" s="13">
        <v>0</v>
      </c>
      <c r="N1056" s="13">
        <v>0</v>
      </c>
    </row>
    <row r="1057" spans="1:14" x14ac:dyDescent="0.25">
      <c r="A1057" s="14" t="str">
        <f t="shared" si="43"/>
        <v>AVT0001056</v>
      </c>
      <c r="B1057" s="13" t="str">
        <f>VLOOKUP(D1057,'SUPPLIER_ITEMS (1st Tools)'!C1551:D3278,2,FALSE)</f>
        <v>1ST-358-1550</v>
      </c>
      <c r="C1057" s="14" t="s">
        <v>106</v>
      </c>
      <c r="D1057" s="18" t="s">
        <v>3924</v>
      </c>
      <c r="F1057" s="30" t="str">
        <f t="shared" si="44"/>
        <v>AV55082-03 (LT55020-4) LAGSCREW 1/4" x 2-1/2"</v>
      </c>
      <c r="I1057" s="31" t="str">
        <f>VLOOKUP(D1057,'[1]NEW PRICE LIST'!$C$4:$D$1917,2,FALSE)</f>
        <v>200PCS/BOX @2.75KLS</v>
      </c>
      <c r="J1057" s="13" t="s">
        <v>3620</v>
      </c>
      <c r="K1057" s="32">
        <f>VLOOKUP(D1057,'[1]NEW PRICE LIST'!$C$4:$H$1917,3,FALSE)</f>
        <v>400</v>
      </c>
      <c r="L1057" s="13">
        <v>100</v>
      </c>
      <c r="M1057" s="13">
        <v>0</v>
      </c>
      <c r="N1057" s="13">
        <v>0</v>
      </c>
    </row>
    <row r="1058" spans="1:14" x14ac:dyDescent="0.25">
      <c r="A1058" s="14" t="str">
        <f t="shared" si="43"/>
        <v>AVT0001057</v>
      </c>
      <c r="B1058" s="13" t="str">
        <f>VLOOKUP(D1058,'SUPPLIER_ITEMS (1st Tools)'!C1552:D3279,2,FALSE)</f>
        <v>1ST-358-1551</v>
      </c>
      <c r="C1058" s="14" t="s">
        <v>106</v>
      </c>
      <c r="D1058" s="18" t="s">
        <v>2526</v>
      </c>
      <c r="F1058" s="30" t="str">
        <f t="shared" si="44"/>
        <v>AV55082-04 (LT55020-5) LAGSCREW 1/4" x 3"</v>
      </c>
      <c r="I1058" s="31" t="str">
        <f>VLOOKUP(D1058,'[1]NEW PRICE LIST'!$C$4:$D$1917,2,FALSE)</f>
        <v>200PCS/BOX @3.75KLS</v>
      </c>
      <c r="J1058" s="13" t="s">
        <v>3620</v>
      </c>
      <c r="K1058" s="32">
        <f>VLOOKUP(D1058,'[1]NEW PRICE LIST'!$C$4:$H$1917,3,FALSE)</f>
        <v>440</v>
      </c>
      <c r="L1058" s="13">
        <v>100</v>
      </c>
      <c r="M1058" s="13">
        <v>0</v>
      </c>
      <c r="N1058" s="13">
        <v>0</v>
      </c>
    </row>
    <row r="1059" spans="1:14" x14ac:dyDescent="0.25">
      <c r="A1059" s="14" t="str">
        <f t="shared" si="43"/>
        <v>AVT0001058</v>
      </c>
      <c r="B1059" s="13" t="str">
        <f>VLOOKUP(D1059,'SUPPLIER_ITEMS (1st Tools)'!C1553:D3280,2,FALSE)</f>
        <v>1ST-358-1552</v>
      </c>
      <c r="C1059" s="14" t="s">
        <v>106</v>
      </c>
      <c r="D1059" s="18" t="s">
        <v>2528</v>
      </c>
      <c r="F1059" s="30" t="str">
        <f t="shared" si="44"/>
        <v>AV55082-05 (LT55020-6) LAGSCREW 1/4" x 3-1/2"</v>
      </c>
      <c r="I1059" s="31" t="str">
        <f>VLOOKUP(D1059,'[1]NEW PRICE LIST'!$C$4:$D$1917,2,FALSE)</f>
        <v>6BOX/CTN</v>
      </c>
      <c r="J1059" s="13" t="s">
        <v>3620</v>
      </c>
      <c r="K1059" s="32">
        <f>VLOOKUP(D1059,'[1]NEW PRICE LIST'!$C$4:$H$1917,3,FALSE)</f>
        <v>430</v>
      </c>
      <c r="L1059" s="13">
        <v>100</v>
      </c>
      <c r="M1059" s="13">
        <v>0</v>
      </c>
      <c r="N1059" s="13">
        <v>0</v>
      </c>
    </row>
    <row r="1060" spans="1:14" x14ac:dyDescent="0.25">
      <c r="A1060" s="14" t="str">
        <f t="shared" si="43"/>
        <v>AVT0001059</v>
      </c>
      <c r="B1060" s="13" t="str">
        <f>VLOOKUP(D1060,'SUPPLIER_ITEMS (1st Tools)'!C1554:D3281,2,FALSE)</f>
        <v>1ST-358-1553</v>
      </c>
      <c r="C1060" s="14" t="s">
        <v>106</v>
      </c>
      <c r="D1060" s="18" t="s">
        <v>2530</v>
      </c>
      <c r="F1060" s="30" t="str">
        <f t="shared" si="44"/>
        <v>AV55082-06 (LT55020-7) LAGSCREW 1/4" x 4"</v>
      </c>
      <c r="I1060" s="31" t="str">
        <f>VLOOKUP(D1060,'[1]NEW PRICE LIST'!$C$4:$D$1917,2,FALSE)</f>
        <v>200PCS/BOX @4KLS</v>
      </c>
      <c r="J1060" s="13" t="s">
        <v>3620</v>
      </c>
      <c r="K1060" s="32">
        <f>VLOOKUP(D1060,'[1]NEW PRICE LIST'!$C$4:$H$1917,3,FALSE)</f>
        <v>594</v>
      </c>
      <c r="L1060" s="13">
        <v>100</v>
      </c>
      <c r="M1060" s="13">
        <v>0</v>
      </c>
      <c r="N1060" s="13">
        <v>0</v>
      </c>
    </row>
    <row r="1061" spans="1:14" x14ac:dyDescent="0.25">
      <c r="A1061" s="14" t="str">
        <f t="shared" si="43"/>
        <v>AVT0001060</v>
      </c>
      <c r="B1061" s="13" t="str">
        <f>VLOOKUP(D1061,'SUPPLIER_ITEMS (1st Tools)'!C1555:D3282,2,FALSE)</f>
        <v>1ST-358-1554</v>
      </c>
      <c r="C1061" s="14" t="s">
        <v>106</v>
      </c>
      <c r="D1061" s="18" t="s">
        <v>2532</v>
      </c>
      <c r="F1061" s="30" t="str">
        <f t="shared" si="44"/>
        <v>AV55082-07 (LT55020-8) LAGSCREW 5/16" x 1"</v>
      </c>
      <c r="I1061" s="31" t="str">
        <f>VLOOKUP(D1061,'[1]NEW PRICE LIST'!$C$4:$D$1917,2,FALSE)</f>
        <v>10BOX/CTN</v>
      </c>
      <c r="J1061" s="13" t="s">
        <v>3620</v>
      </c>
      <c r="K1061" s="32">
        <f>VLOOKUP(D1061,'[1]NEW PRICE LIST'!$C$4:$H$1917,3,FALSE)</f>
        <v>297</v>
      </c>
      <c r="L1061" s="13">
        <v>100</v>
      </c>
      <c r="M1061" s="13">
        <v>0</v>
      </c>
      <c r="N1061" s="13">
        <v>0</v>
      </c>
    </row>
    <row r="1062" spans="1:14" x14ac:dyDescent="0.25">
      <c r="A1062" s="14" t="str">
        <f t="shared" si="43"/>
        <v>AVT0001061</v>
      </c>
      <c r="B1062" s="13" t="str">
        <f>VLOOKUP(D1062,'SUPPLIER_ITEMS (1st Tools)'!C1556:D3283,2,FALSE)</f>
        <v>1ST-358-1555</v>
      </c>
      <c r="C1062" s="14" t="s">
        <v>106</v>
      </c>
      <c r="D1062" s="18" t="s">
        <v>3925</v>
      </c>
      <c r="F1062" s="35" t="str">
        <f t="shared" si="44"/>
        <v>AV55082-08 (LT55020-9) LAGSCREW 5/16" x 1-1/2"</v>
      </c>
      <c r="I1062" s="36" t="str">
        <f>VLOOKUP(D1062,'[1]NEW PRICE LIST'!$C$4:$D$1917,2,FALSE)</f>
        <v>200PCS/BOX @2.75KLS</v>
      </c>
      <c r="J1062" s="13" t="s">
        <v>3620</v>
      </c>
      <c r="K1062" s="32">
        <f>VLOOKUP(D1062,'[1]NEW PRICE LIST'!$C$4:$H$1917,3,FALSE)</f>
        <v>396</v>
      </c>
      <c r="L1062" s="13">
        <v>100</v>
      </c>
      <c r="M1062" s="13">
        <v>0</v>
      </c>
      <c r="N1062" s="13">
        <v>0</v>
      </c>
    </row>
    <row r="1063" spans="1:14" x14ac:dyDescent="0.25">
      <c r="A1063" s="14" t="str">
        <f t="shared" si="43"/>
        <v>AVT0001062</v>
      </c>
      <c r="B1063" s="13" t="str">
        <f>VLOOKUP(D1063,'SUPPLIER_ITEMS (1st Tools)'!C1557:D3284,2,FALSE)</f>
        <v>1ST-358-1556</v>
      </c>
      <c r="C1063" s="14" t="s">
        <v>106</v>
      </c>
      <c r="D1063" s="18" t="s">
        <v>2533</v>
      </c>
      <c r="F1063" s="30" t="str">
        <f t="shared" si="44"/>
        <v>AV55082-09 (LT55020-10) LAGSCREW 5/16" x 2"</v>
      </c>
      <c r="I1063" s="31" t="str">
        <f>VLOOKUP(D1063,'[1]NEW PRICE LIST'!$C$4:$D$1917,2,FALSE)</f>
        <v>200PCS/BOX @3.5KLS</v>
      </c>
      <c r="J1063" s="13" t="s">
        <v>3620</v>
      </c>
      <c r="K1063" s="32">
        <f>VLOOKUP(D1063,'[1]NEW PRICE LIST'!$C$4:$H$1917,3,FALSE)</f>
        <v>504</v>
      </c>
      <c r="L1063" s="13">
        <v>100</v>
      </c>
      <c r="M1063" s="13">
        <v>0</v>
      </c>
      <c r="N1063" s="13">
        <v>0</v>
      </c>
    </row>
    <row r="1064" spans="1:14" x14ac:dyDescent="0.25">
      <c r="A1064" s="14" t="str">
        <f t="shared" si="43"/>
        <v>AVT0001063</v>
      </c>
      <c r="B1064" s="13" t="str">
        <f>VLOOKUP(D1064,'SUPPLIER_ITEMS (1st Tools)'!C1558:D3285,2,FALSE)</f>
        <v>1ST-358-1557</v>
      </c>
      <c r="C1064" s="14" t="s">
        <v>106</v>
      </c>
      <c r="D1064" s="18" t="s">
        <v>3926</v>
      </c>
      <c r="F1064" s="30" t="str">
        <f t="shared" si="44"/>
        <v>AV55082-10 (LT55020-11) LAGSCREW 5/16" x 2- 1/2"</v>
      </c>
      <c r="I1064" s="31" t="str">
        <f>VLOOKUP(D1064,'[1]NEW PRICE LIST'!$C$4:$D$1917,2,FALSE)</f>
        <v>200PCS/BOX @4.25KLS</v>
      </c>
      <c r="J1064" s="13" t="s">
        <v>3620</v>
      </c>
      <c r="K1064" s="32">
        <f>VLOOKUP(D1064,'[1]NEW PRICE LIST'!$C$4:$H$1917,3,FALSE)</f>
        <v>594</v>
      </c>
      <c r="L1064" s="13">
        <v>100</v>
      </c>
      <c r="M1064" s="13">
        <v>0</v>
      </c>
      <c r="N1064" s="13">
        <v>0</v>
      </c>
    </row>
    <row r="1065" spans="1:14" x14ac:dyDescent="0.25">
      <c r="A1065" s="14" t="str">
        <f t="shared" si="43"/>
        <v>AVT0001064</v>
      </c>
      <c r="B1065" s="13" t="str">
        <f>VLOOKUP(D1065,'SUPPLIER_ITEMS (1st Tools)'!C1559:D3286,2,FALSE)</f>
        <v>1ST-358-1558</v>
      </c>
      <c r="C1065" s="14" t="s">
        <v>106</v>
      </c>
      <c r="D1065" s="18" t="s">
        <v>3927</v>
      </c>
      <c r="F1065" s="30" t="str">
        <f t="shared" si="44"/>
        <v>AV55082-11 (LT55020-12) LAGSCREW 5/16" x 3"</v>
      </c>
      <c r="I1065" s="31" t="str">
        <f>VLOOKUP(D1065,'[1]NEW PRICE LIST'!$C$4:$D$1917,2,FALSE)</f>
        <v>200PCS/BOX @4.75KLS</v>
      </c>
      <c r="J1065" s="13" t="s">
        <v>3620</v>
      </c>
      <c r="K1065" s="32">
        <f>VLOOKUP(D1065,'[1]NEW PRICE LIST'!$C$4:$H$1917,3,FALSE)</f>
        <v>711</v>
      </c>
      <c r="L1065" s="13">
        <v>100</v>
      </c>
      <c r="M1065" s="13">
        <v>0</v>
      </c>
      <c r="N1065" s="13">
        <v>0</v>
      </c>
    </row>
    <row r="1066" spans="1:14" x14ac:dyDescent="0.25">
      <c r="A1066" s="14" t="str">
        <f t="shared" si="43"/>
        <v>AVT0001065</v>
      </c>
      <c r="B1066" s="13" t="str">
        <f>VLOOKUP(D1066,'SUPPLIER_ITEMS (1st Tools)'!C1560:D3287,2,FALSE)</f>
        <v>1ST-358-1559</v>
      </c>
      <c r="C1066" s="14" t="s">
        <v>106</v>
      </c>
      <c r="D1066" s="18" t="s">
        <v>3928</v>
      </c>
      <c r="F1066" s="30" t="str">
        <f t="shared" si="44"/>
        <v>AV55082-12 (LT55020-13) LAGSCREW 5/16" x 3- 1/2"</v>
      </c>
      <c r="I1066" s="31" t="str">
        <f>VLOOKUP(D1066,'[1]NEW PRICE LIST'!$C$4:$D$1917,2,FALSE)</f>
        <v>200PCS/BOX @5.25KLS</v>
      </c>
      <c r="J1066" s="13" t="s">
        <v>3620</v>
      </c>
      <c r="K1066" s="32">
        <f>VLOOKUP(D1066,'[1]NEW PRICE LIST'!$C$4:$H$1917,3,FALSE)</f>
        <v>810</v>
      </c>
      <c r="L1066" s="13">
        <v>100</v>
      </c>
      <c r="M1066" s="13">
        <v>0</v>
      </c>
      <c r="N1066" s="13">
        <v>0</v>
      </c>
    </row>
    <row r="1067" spans="1:14" x14ac:dyDescent="0.25">
      <c r="A1067" s="14" t="str">
        <f t="shared" si="43"/>
        <v>AVT0001066</v>
      </c>
      <c r="B1067" s="13" t="str">
        <f>VLOOKUP(D1067,'SUPPLIER_ITEMS (1st Tools)'!C1561:D3288,2,FALSE)</f>
        <v>1ST-358-1560</v>
      </c>
      <c r="C1067" s="14" t="s">
        <v>106</v>
      </c>
      <c r="D1067" s="19" t="s">
        <v>3929</v>
      </c>
      <c r="F1067" s="30" t="str">
        <f t="shared" si="44"/>
        <v>AV55082-13 (LT55020-14) LAGSCREW 5/16" x 4"</v>
      </c>
      <c r="I1067" s="31" t="str">
        <f>VLOOKUP(D1067,'[1]NEW PRICE LIST'!$C$4:$D$1917,2,FALSE)</f>
        <v>3B0X/CTN</v>
      </c>
      <c r="J1067" s="13" t="s">
        <v>3620</v>
      </c>
      <c r="K1067" s="32">
        <f>VLOOKUP(D1067,'[1]NEW PRICE LIST'!$C$4:$H$1917,3,FALSE)</f>
        <v>918</v>
      </c>
      <c r="L1067" s="13">
        <v>100</v>
      </c>
      <c r="M1067" s="13">
        <v>0</v>
      </c>
      <c r="N1067" s="13">
        <v>0</v>
      </c>
    </row>
    <row r="1068" spans="1:14" x14ac:dyDescent="0.25">
      <c r="A1068" s="14" t="str">
        <f t="shared" si="43"/>
        <v>AVT0001067</v>
      </c>
      <c r="B1068" s="13" t="str">
        <f>VLOOKUP(D1068,'SUPPLIER_ITEMS (1st Tools)'!C1562:D3289,2,FALSE)</f>
        <v>1ST-358-1561</v>
      </c>
      <c r="C1068" s="14" t="s">
        <v>106</v>
      </c>
      <c r="D1068" s="19" t="s">
        <v>3930</v>
      </c>
      <c r="F1068" s="30" t="str">
        <f t="shared" si="44"/>
        <v>AV55082-14 (LT55020-15) LAGSCREW 3/8" x 1"</v>
      </c>
      <c r="I1068" s="31" t="str">
        <f>VLOOKUP(D1068,'[1]NEW PRICE LIST'!$C$4:$D$1917,2,FALSE)</f>
        <v>12BOX/CTN</v>
      </c>
      <c r="J1068" s="13" t="s">
        <v>3620</v>
      </c>
      <c r="K1068" s="32">
        <f>VLOOKUP(D1068,'[1]NEW PRICE LIST'!$C$4:$H$1917,3,FALSE)</f>
        <v>216</v>
      </c>
      <c r="L1068" s="13">
        <v>100</v>
      </c>
      <c r="M1068" s="13">
        <v>0</v>
      </c>
      <c r="N1068" s="13">
        <v>0</v>
      </c>
    </row>
    <row r="1069" spans="1:14" x14ac:dyDescent="0.25">
      <c r="A1069" s="14" t="str">
        <f t="shared" si="43"/>
        <v>AVT0001068</v>
      </c>
      <c r="B1069" s="13" t="str">
        <f>VLOOKUP(D1069,'SUPPLIER_ITEMS (1st Tools)'!C1563:D3290,2,FALSE)</f>
        <v>1ST-358-1562</v>
      </c>
      <c r="C1069" s="14" t="s">
        <v>106</v>
      </c>
      <c r="D1069" s="19" t="s">
        <v>2539</v>
      </c>
      <c r="F1069" s="35" t="str">
        <f t="shared" si="44"/>
        <v>AV55082-15 (LT55020-16) LAGSCREW 3/8" x 1-1/2"</v>
      </c>
      <c r="I1069" s="36" t="str">
        <f>VLOOKUP(D1069,'[1]NEW PRICE LIST'!$C$4:$D$1917,2,FALSE)</f>
        <v>10BOX/CTN</v>
      </c>
      <c r="J1069" s="13" t="s">
        <v>3620</v>
      </c>
      <c r="K1069" s="32">
        <f>VLOOKUP(D1069,'[1]NEW PRICE LIST'!$C$4:$H$1917,3,FALSE)</f>
        <v>288</v>
      </c>
      <c r="L1069" s="13">
        <v>100</v>
      </c>
      <c r="M1069" s="13">
        <v>0</v>
      </c>
      <c r="N1069" s="13">
        <v>0</v>
      </c>
    </row>
    <row r="1070" spans="1:14" x14ac:dyDescent="0.25">
      <c r="A1070" s="14" t="str">
        <f t="shared" si="43"/>
        <v>AVT0001069</v>
      </c>
      <c r="B1070" s="13" t="str">
        <f>VLOOKUP(D1070,'SUPPLIER_ITEMS (1st Tools)'!C1564:D3291,2,FALSE)</f>
        <v>1ST-358-1563</v>
      </c>
      <c r="C1070" s="14" t="s">
        <v>106</v>
      </c>
      <c r="D1070" s="19" t="s">
        <v>3931</v>
      </c>
      <c r="F1070" s="30" t="str">
        <f t="shared" si="44"/>
        <v>AV55082-16 (LT55020-17) LAGSCREW 3/8" x 2"</v>
      </c>
      <c r="I1070" s="31" t="str">
        <f>VLOOKUP(D1070,'[1]NEW PRICE LIST'!$C$4:$D$1917,2,FALSE)</f>
        <v>100PCS/BOX @2.5KLS</v>
      </c>
      <c r="J1070" s="13" t="s">
        <v>3620</v>
      </c>
      <c r="K1070" s="32">
        <f>VLOOKUP(D1070,'[1]NEW PRICE LIST'!$C$4:$H$1917,3,FALSE)</f>
        <v>369</v>
      </c>
      <c r="L1070" s="13">
        <v>100</v>
      </c>
      <c r="M1070" s="13">
        <v>0</v>
      </c>
      <c r="N1070" s="13">
        <v>0</v>
      </c>
    </row>
    <row r="1071" spans="1:14" x14ac:dyDescent="0.25">
      <c r="A1071" s="14" t="str">
        <f t="shared" si="43"/>
        <v>AVT0001070</v>
      </c>
      <c r="B1071" s="13" t="str">
        <f>VLOOKUP(D1071,'SUPPLIER_ITEMS (1st Tools)'!C1565:D3292,2,FALSE)</f>
        <v>1ST-358-1564</v>
      </c>
      <c r="C1071" s="14" t="s">
        <v>106</v>
      </c>
      <c r="D1071" s="19" t="s">
        <v>3932</v>
      </c>
      <c r="F1071" s="35" t="str">
        <f t="shared" si="44"/>
        <v>AV55082-17 (LT55020-18) LAGSCREW 3/8" x 2-1/2"</v>
      </c>
      <c r="I1071" s="36" t="str">
        <f>VLOOKUP(D1071,'[1]NEW PRICE LIST'!$C$4:$D$1917,2,FALSE)</f>
        <v>6BOX/CTN</v>
      </c>
      <c r="J1071" s="13" t="s">
        <v>3620</v>
      </c>
      <c r="K1071" s="32">
        <f>VLOOKUP(D1071,'[1]NEW PRICE LIST'!$C$4:$H$1917,3,FALSE)</f>
        <v>450</v>
      </c>
      <c r="L1071" s="13">
        <v>100</v>
      </c>
      <c r="M1071" s="13">
        <v>0</v>
      </c>
      <c r="N1071" s="13">
        <v>0</v>
      </c>
    </row>
    <row r="1072" spans="1:14" x14ac:dyDescent="0.25">
      <c r="A1072" s="14" t="str">
        <f t="shared" si="43"/>
        <v>AVT0001071</v>
      </c>
      <c r="B1072" s="13" t="str">
        <f>VLOOKUP(D1072,'SUPPLIER_ITEMS (1st Tools)'!C1566:D3293,2,FALSE)</f>
        <v>1ST-358-1565</v>
      </c>
      <c r="C1072" s="14" t="s">
        <v>106</v>
      </c>
      <c r="D1072" s="19" t="s">
        <v>2543</v>
      </c>
      <c r="F1072" s="30" t="str">
        <f t="shared" si="44"/>
        <v>AV55082-18 (LT55020-19) LAGSCREW 3/8" x 3"</v>
      </c>
      <c r="I1072" s="31" t="str">
        <f>VLOOKUP(D1072,'[1]NEW PRICE LIST'!$C$4:$D$1917,2,FALSE)</f>
        <v>100PCS/BOX @3.5KLS</v>
      </c>
      <c r="J1072" s="13" t="s">
        <v>3620</v>
      </c>
      <c r="K1072" s="32">
        <f>VLOOKUP(D1072,'[1]NEW PRICE LIST'!$C$4:$H$1917,3,FALSE)</f>
        <v>522</v>
      </c>
      <c r="L1072" s="13">
        <v>100</v>
      </c>
      <c r="M1072" s="13">
        <v>0</v>
      </c>
      <c r="N1072" s="13">
        <v>0</v>
      </c>
    </row>
    <row r="1073" spans="1:14" x14ac:dyDescent="0.25">
      <c r="A1073" s="14" t="str">
        <f t="shared" si="43"/>
        <v>AVT0001072</v>
      </c>
      <c r="B1073" s="13" t="str">
        <f>VLOOKUP(D1073,'SUPPLIER_ITEMS (1st Tools)'!C1567:D3294,2,FALSE)</f>
        <v>1ST-358-1566</v>
      </c>
      <c r="C1073" s="14" t="s">
        <v>106</v>
      </c>
      <c r="D1073" s="19" t="s">
        <v>2545</v>
      </c>
      <c r="F1073" s="35" t="str">
        <f t="shared" si="44"/>
        <v>AV55082-19 (LT55020-20) LAGSCREW 3/8" x 3-1/2"</v>
      </c>
      <c r="I1073" s="36" t="str">
        <f>VLOOKUP(D1073,'[1]NEW PRICE LIST'!$C$4:$D$1917,2,FALSE)</f>
        <v>100PCS/BOX @4KLS</v>
      </c>
      <c r="J1073" s="13" t="s">
        <v>3620</v>
      </c>
      <c r="K1073" s="32">
        <f>VLOOKUP(D1073,'[1]NEW PRICE LIST'!$C$4:$H$1917,3,FALSE)</f>
        <v>603</v>
      </c>
      <c r="L1073" s="13">
        <v>100</v>
      </c>
      <c r="M1073" s="13">
        <v>0</v>
      </c>
      <c r="N1073" s="13">
        <v>0</v>
      </c>
    </row>
    <row r="1074" spans="1:14" x14ac:dyDescent="0.25">
      <c r="A1074" s="14" t="str">
        <f t="shared" si="43"/>
        <v>AVT0001073</v>
      </c>
      <c r="B1074" s="13" t="str">
        <f>VLOOKUP(D1074,'SUPPLIER_ITEMS (1st Tools)'!C1568:D3295,2,FALSE)</f>
        <v>1ST-358-1567</v>
      </c>
      <c r="C1074" s="14" t="s">
        <v>106</v>
      </c>
      <c r="D1074" s="19" t="s">
        <v>2547</v>
      </c>
      <c r="F1074" s="30" t="str">
        <f t="shared" si="44"/>
        <v>AV55082-20 (LT55020-21) LAGSCREW 3/8" x 4"</v>
      </c>
      <c r="I1074" s="31" t="str">
        <f>VLOOKUP(D1074,'[1]NEW PRICE LIST'!$C$4:$D$1917,2,FALSE)</f>
        <v>5BOX/CTN</v>
      </c>
      <c r="J1074" s="13" t="s">
        <v>3620</v>
      </c>
      <c r="K1074" s="32">
        <f>VLOOKUP(D1074,'[1]NEW PRICE LIST'!$C$4:$H$1917,3,FALSE)</f>
        <v>666</v>
      </c>
      <c r="L1074" s="13">
        <v>100</v>
      </c>
      <c r="M1074" s="13">
        <v>0</v>
      </c>
      <c r="N1074" s="13">
        <v>0</v>
      </c>
    </row>
    <row r="1075" spans="1:14" x14ac:dyDescent="0.25">
      <c r="A1075" s="14" t="str">
        <f t="shared" si="43"/>
        <v>AVT0001074</v>
      </c>
      <c r="B1075" s="13" t="str">
        <f>VLOOKUP(D1075,'SUPPLIER_ITEMS (1st Tools)'!C1569:D3296,2,FALSE)</f>
        <v>1ST-358-1568</v>
      </c>
      <c r="C1075" s="14" t="s">
        <v>106</v>
      </c>
      <c r="D1075" s="19" t="s">
        <v>3933</v>
      </c>
      <c r="F1075" s="35" t="str">
        <f t="shared" si="44"/>
        <v>AV55082-22 (LT55020-23) LAGSCREW 1/2" x 1-1/2"</v>
      </c>
      <c r="I1075" s="36" t="str">
        <f>VLOOKUP(D1075,'[1]NEW PRICE LIST'!$C$4:$D$1917,2,FALSE)</f>
        <v>10BOX/CTN</v>
      </c>
      <c r="J1075" s="13" t="s">
        <v>3620</v>
      </c>
      <c r="K1075" s="32">
        <f>VLOOKUP(D1075,'[1]NEW PRICE LIST'!$C$4:$H$1917,3,FALSE)</f>
        <v>297</v>
      </c>
      <c r="L1075" s="13">
        <v>100</v>
      </c>
      <c r="M1075" s="13">
        <v>0</v>
      </c>
      <c r="N1075" s="13">
        <v>0</v>
      </c>
    </row>
    <row r="1076" spans="1:14" x14ac:dyDescent="0.25">
      <c r="A1076" s="14" t="str">
        <f t="shared" si="43"/>
        <v>AVT0001075</v>
      </c>
      <c r="B1076" s="13" t="str">
        <f>VLOOKUP(D1076,'SUPPLIER_ITEMS (1st Tools)'!C1570:D3297,2,FALSE)</f>
        <v>1ST-358-1569</v>
      </c>
      <c r="C1076" s="14" t="s">
        <v>106</v>
      </c>
      <c r="D1076" s="19" t="s">
        <v>2549</v>
      </c>
      <c r="F1076" s="30" t="str">
        <f t="shared" si="44"/>
        <v>AV55082-23 (LT55020-24) LAGSCREW 1/2" x 2"</v>
      </c>
      <c r="I1076" s="31" t="str">
        <f>VLOOKUP(D1076,'[1]NEW PRICE LIST'!$C$4:$D$1917,2,FALSE)</f>
        <v>8BOX/CTN</v>
      </c>
      <c r="J1076" s="13" t="s">
        <v>3620</v>
      </c>
      <c r="K1076" s="32">
        <f>VLOOKUP(D1076,'[1]NEW PRICE LIST'!$C$4:$H$1917,3,FALSE)</f>
        <v>378</v>
      </c>
      <c r="L1076" s="13">
        <v>100</v>
      </c>
      <c r="M1076" s="13">
        <v>0</v>
      </c>
      <c r="N1076" s="13">
        <v>0</v>
      </c>
    </row>
    <row r="1077" spans="1:14" x14ac:dyDescent="0.25">
      <c r="A1077" s="14" t="str">
        <f t="shared" si="43"/>
        <v>AVT0001076</v>
      </c>
      <c r="B1077" s="13" t="str">
        <f>VLOOKUP(D1077,'SUPPLIER_ITEMS (1st Tools)'!C1571:D3298,2,FALSE)</f>
        <v>1ST-358-1570</v>
      </c>
      <c r="C1077" s="14" t="s">
        <v>106</v>
      </c>
      <c r="D1077" s="19" t="s">
        <v>3934</v>
      </c>
      <c r="F1077" s="35" t="str">
        <f t="shared" si="44"/>
        <v>AV55082-24 (LT55020-25) LAGSCREW 1/2" x 2-1/2"</v>
      </c>
      <c r="I1077" s="36" t="str">
        <f>VLOOKUP(D1077,'[1]NEW PRICE LIST'!$C$4:$D$1917,2,FALSE)</f>
        <v>6BOX/CTN</v>
      </c>
      <c r="J1077" s="13" t="s">
        <v>3620</v>
      </c>
      <c r="K1077" s="32">
        <f>VLOOKUP(D1077,'[1]NEW PRICE LIST'!$C$4:$H$1917,3,FALSE)</f>
        <v>450</v>
      </c>
      <c r="L1077" s="13">
        <v>100</v>
      </c>
      <c r="M1077" s="13">
        <v>0</v>
      </c>
      <c r="N1077" s="13">
        <v>0</v>
      </c>
    </row>
    <row r="1078" spans="1:14" x14ac:dyDescent="0.25">
      <c r="A1078" s="14" t="str">
        <f t="shared" si="43"/>
        <v>AVT0001077</v>
      </c>
      <c r="B1078" s="13" t="str">
        <f>VLOOKUP(D1078,'SUPPLIER_ITEMS (1st Tools)'!C1572:D3299,2,FALSE)</f>
        <v>1ST-358-1571</v>
      </c>
      <c r="C1078" s="14" t="s">
        <v>106</v>
      </c>
      <c r="D1078" s="19" t="s">
        <v>3935</v>
      </c>
      <c r="F1078" s="30" t="str">
        <f t="shared" si="44"/>
        <v>AV55082-25 (LT55020-26) LAGSCREW 1/2" x 3"</v>
      </c>
      <c r="I1078" s="31" t="str">
        <f>VLOOKUP(D1078,'[1]NEW PRICE LIST'!$C$4:$D$1917,2,FALSE)</f>
        <v>6BOX/CTN</v>
      </c>
      <c r="J1078" s="13" t="s">
        <v>3620</v>
      </c>
      <c r="K1078" s="32">
        <f>VLOOKUP(D1078,'[1]NEW PRICE LIST'!$C$4:$H$1917,3,FALSE)</f>
        <v>522</v>
      </c>
      <c r="L1078" s="13">
        <v>100</v>
      </c>
      <c r="M1078" s="13">
        <v>0</v>
      </c>
      <c r="N1078" s="13">
        <v>0</v>
      </c>
    </row>
    <row r="1079" spans="1:14" x14ac:dyDescent="0.25">
      <c r="A1079" s="14" t="str">
        <f t="shared" si="43"/>
        <v>AVT0001078</v>
      </c>
      <c r="B1079" s="13" t="str">
        <f>VLOOKUP(D1079,'SUPPLIER_ITEMS (1st Tools)'!C1573:D3300,2,FALSE)</f>
        <v>1ST-358-1572</v>
      </c>
      <c r="C1079" s="14" t="s">
        <v>106</v>
      </c>
      <c r="D1079" s="19" t="s">
        <v>3936</v>
      </c>
      <c r="F1079" s="35" t="str">
        <f t="shared" si="44"/>
        <v>AV55082-26 (LT55020-27) LAGSCREW 1/2" x 3-1/2"</v>
      </c>
      <c r="I1079" s="36" t="str">
        <f>VLOOKUP(D1079,'[1]NEW PRICE LIST'!$C$4:$D$1917,2,FALSE)</f>
        <v>6BOX/CTN</v>
      </c>
      <c r="J1079" s="13" t="s">
        <v>3620</v>
      </c>
      <c r="K1079" s="32">
        <f>VLOOKUP(D1079,'[1]NEW PRICE LIST'!$C$4:$H$1917,3,FALSE)</f>
        <v>576</v>
      </c>
      <c r="L1079" s="13">
        <v>100</v>
      </c>
      <c r="M1079" s="13">
        <v>0</v>
      </c>
      <c r="N1079" s="13">
        <v>0</v>
      </c>
    </row>
    <row r="1080" spans="1:14" x14ac:dyDescent="0.25">
      <c r="A1080" s="14" t="str">
        <f t="shared" si="43"/>
        <v>AVT0001079</v>
      </c>
      <c r="B1080" s="13" t="str">
        <f>VLOOKUP(D1080,'SUPPLIER_ITEMS (1st Tools)'!C1574:D3301,2,FALSE)</f>
        <v>1ST-358-1573</v>
      </c>
      <c r="C1080" s="14" t="s">
        <v>106</v>
      </c>
      <c r="D1080" s="19" t="s">
        <v>2552</v>
      </c>
      <c r="F1080" s="30" t="str">
        <f t="shared" si="44"/>
        <v>AV55082-27 (LT55020-28) LAGSCREW 1/2" x 4"</v>
      </c>
      <c r="I1080" s="31" t="str">
        <f>VLOOKUP(D1080,'[1]NEW PRICE LIST'!$C$4:$D$1917,2,FALSE)</f>
        <v>5BOX/CTN</v>
      </c>
      <c r="J1080" s="13" t="s">
        <v>3620</v>
      </c>
      <c r="K1080" s="32">
        <f>VLOOKUP(D1080,'[1]NEW PRICE LIST'!$C$4:$H$1917,3,FALSE)</f>
        <v>648</v>
      </c>
      <c r="L1080" s="13">
        <v>100</v>
      </c>
      <c r="M1080" s="13">
        <v>0</v>
      </c>
      <c r="N1080" s="13">
        <v>0</v>
      </c>
    </row>
    <row r="1081" spans="1:14" ht="26.4" x14ac:dyDescent="0.25">
      <c r="A1081" s="14" t="str">
        <f t="shared" si="43"/>
        <v>AVT0001080</v>
      </c>
      <c r="B1081" s="13" t="str">
        <f>VLOOKUP(D1081,'SUPPLIER_ITEMS (1st Tools)'!C1580:D3307,2,FALSE)</f>
        <v>1ST-358-1579</v>
      </c>
      <c r="C1081" s="14" t="s">
        <v>103</v>
      </c>
      <c r="D1081" s="14" t="s">
        <v>2035</v>
      </c>
      <c r="F1081" s="30" t="str">
        <f t="shared" si="44"/>
        <v>AV55084-01 1/2" PAN HEAD SCREW</v>
      </c>
      <c r="I1081" s="31" t="str">
        <f>VLOOKUP(D1081,'[1]NEW PRICE LIST'!$C$4:$D$1917,2,FALSE)</f>
        <v>1000PCS/ BOX*16BOXES/C TN</v>
      </c>
      <c r="J1081" s="13" t="s">
        <v>3620</v>
      </c>
      <c r="K1081" s="32">
        <f>VLOOKUP(D1081,'[1]NEW PRICE LIST'!$C$4:$H$1917,3,FALSE)</f>
        <v>1.1000000000000001</v>
      </c>
      <c r="L1081" s="13">
        <v>100</v>
      </c>
      <c r="M1081" s="13">
        <v>0</v>
      </c>
      <c r="N1081" s="13">
        <v>0</v>
      </c>
    </row>
    <row r="1082" spans="1:14" x14ac:dyDescent="0.25">
      <c r="A1082" s="14" t="str">
        <f t="shared" si="43"/>
        <v>AVT0001081</v>
      </c>
      <c r="B1082" s="13" t="str">
        <f>VLOOKUP(D1082,'SUPPLIER_ITEMS (1st Tools)'!C1581:D3308,2,FALSE)</f>
        <v>1ST-358-1580</v>
      </c>
      <c r="C1082" s="14" t="s">
        <v>102</v>
      </c>
      <c r="D1082" s="19" t="s">
        <v>2921</v>
      </c>
      <c r="F1082" s="30" t="str">
        <f t="shared" si="44"/>
        <v>AV55110-1 CONCRETE NAIL 1"</v>
      </c>
      <c r="I1082" s="31" t="str">
        <f>VLOOKUP(D1082,'[1]NEW PRICE LIST'!$C$4:$D$1917,2,FALSE)</f>
        <v>21KG/1CTN</v>
      </c>
      <c r="J1082" s="13" t="s">
        <v>3982</v>
      </c>
      <c r="K1082" s="32">
        <f>VLOOKUP(D1082,'[1]NEW PRICE LIST'!$C$4:$H$1917,3,FALSE)</f>
        <v>1675</v>
      </c>
      <c r="L1082" s="13">
        <v>100</v>
      </c>
      <c r="M1082" s="13">
        <v>0</v>
      </c>
      <c r="N1082" s="13">
        <v>0</v>
      </c>
    </row>
    <row r="1083" spans="1:14" x14ac:dyDescent="0.25">
      <c r="A1083" s="14" t="str">
        <f t="shared" si="43"/>
        <v>AVT0001082</v>
      </c>
      <c r="B1083" s="13" t="str">
        <f>VLOOKUP(D1083,'SUPPLIER_ITEMS (1st Tools)'!C1582:D3309,2,FALSE)</f>
        <v>1ST-358-1581</v>
      </c>
      <c r="C1083" s="14" t="s">
        <v>102</v>
      </c>
      <c r="D1083" s="18" t="s">
        <v>2922</v>
      </c>
      <c r="F1083" s="30" t="str">
        <f t="shared" si="44"/>
        <v>AV55110-2 CONCRETE NAIL 1.5" ( 1" 1/2 )</v>
      </c>
      <c r="I1083" s="31" t="str">
        <f>VLOOKUP(D1083,'[1]NEW PRICE LIST'!$C$4:$D$1917,2,FALSE)</f>
        <v>21KG/1CTN</v>
      </c>
      <c r="J1083" s="13" t="s">
        <v>3982</v>
      </c>
      <c r="K1083" s="32">
        <f>VLOOKUP(D1083,'[1]NEW PRICE LIST'!$C$4:$H$1917,3,FALSE)</f>
        <v>1675</v>
      </c>
      <c r="L1083" s="13">
        <v>100</v>
      </c>
      <c r="M1083" s="13">
        <v>0</v>
      </c>
      <c r="N1083" s="13">
        <v>0</v>
      </c>
    </row>
    <row r="1084" spans="1:14" x14ac:dyDescent="0.25">
      <c r="A1084" s="14" t="str">
        <f t="shared" si="43"/>
        <v>AVT0001083</v>
      </c>
      <c r="B1084" s="13" t="str">
        <f>VLOOKUP(D1084,'SUPPLIER_ITEMS (1st Tools)'!C1583:D3310,2,FALSE)</f>
        <v>1ST-358-1582</v>
      </c>
      <c r="C1084" s="14" t="s">
        <v>102</v>
      </c>
      <c r="D1084" s="18" t="s">
        <v>2923</v>
      </c>
      <c r="F1084" s="30" t="str">
        <f t="shared" si="44"/>
        <v>AV55110-3 CONCRETE NAIL 2"</v>
      </c>
      <c r="I1084" s="31" t="str">
        <f>VLOOKUP(D1084,'[1]NEW PRICE LIST'!$C$4:$D$1917,2,FALSE)</f>
        <v>21KG/1CTN</v>
      </c>
      <c r="J1084" s="13" t="s">
        <v>3982</v>
      </c>
      <c r="K1084" s="32">
        <f>VLOOKUP(D1084,'[1]NEW PRICE LIST'!$C$4:$H$1917,3,FALSE)</f>
        <v>1675</v>
      </c>
      <c r="L1084" s="13">
        <v>100</v>
      </c>
      <c r="M1084" s="13">
        <v>0</v>
      </c>
      <c r="N1084" s="13">
        <v>0</v>
      </c>
    </row>
    <row r="1085" spans="1:14" x14ac:dyDescent="0.25">
      <c r="A1085" s="14" t="str">
        <f t="shared" si="43"/>
        <v>AVT0001084</v>
      </c>
      <c r="B1085" s="13" t="str">
        <f>VLOOKUP(D1085,'SUPPLIER_ITEMS (1st Tools)'!C1584:D3311,2,FALSE)</f>
        <v>1ST-358-1583</v>
      </c>
      <c r="C1085" s="14" t="s">
        <v>102</v>
      </c>
      <c r="D1085" s="18" t="s">
        <v>2924</v>
      </c>
      <c r="F1085" s="30" t="str">
        <f t="shared" si="44"/>
        <v>AV55110-4 CONCRETE NAIL 2.5" ( 2" 1/2)</v>
      </c>
      <c r="I1085" s="31" t="str">
        <f>VLOOKUP(D1085,'[1]NEW PRICE LIST'!$C$4:$D$1917,2,FALSE)</f>
        <v>21KG/1CTN</v>
      </c>
      <c r="J1085" s="13" t="s">
        <v>3982</v>
      </c>
      <c r="K1085" s="32">
        <f>VLOOKUP(D1085,'[1]NEW PRICE LIST'!$C$4:$H$1917,3,FALSE)</f>
        <v>1675</v>
      </c>
      <c r="L1085" s="13">
        <v>100</v>
      </c>
      <c r="M1085" s="13">
        <v>0</v>
      </c>
      <c r="N1085" s="13">
        <v>0</v>
      </c>
    </row>
    <row r="1086" spans="1:14" x14ac:dyDescent="0.25">
      <c r="A1086" s="14" t="str">
        <f t="shared" si="43"/>
        <v>AVT0001085</v>
      </c>
      <c r="B1086" s="13" t="str">
        <f>VLOOKUP(D1086,'SUPPLIER_ITEMS (1st Tools)'!C1585:D3312,2,FALSE)</f>
        <v>1ST-358-1584</v>
      </c>
      <c r="C1086" s="14" t="s">
        <v>102</v>
      </c>
      <c r="D1086" s="19" t="s">
        <v>2925</v>
      </c>
      <c r="F1086" s="30" t="str">
        <f t="shared" si="44"/>
        <v>AV55110-5 CONCRETE NAIL 3"</v>
      </c>
      <c r="I1086" s="31" t="str">
        <f>VLOOKUP(D1086,'[1]NEW PRICE LIST'!$C$4:$D$1917,2,FALSE)</f>
        <v>21KG/1CTN</v>
      </c>
      <c r="J1086" s="13" t="s">
        <v>3982</v>
      </c>
      <c r="K1086" s="32">
        <f>VLOOKUP(D1086,'[1]NEW PRICE LIST'!$C$4:$H$1917,3,FALSE)</f>
        <v>1675</v>
      </c>
      <c r="L1086" s="13">
        <v>100</v>
      </c>
      <c r="M1086" s="13">
        <v>0</v>
      </c>
      <c r="N1086" s="13">
        <v>0</v>
      </c>
    </row>
    <row r="1087" spans="1:14" x14ac:dyDescent="0.25">
      <c r="A1087" s="14" t="str">
        <f t="shared" si="43"/>
        <v>AVT0001086</v>
      </c>
      <c r="B1087" s="13" t="str">
        <f>VLOOKUP(D1087,'SUPPLIER_ITEMS (1st Tools)'!C1586:D3313,2,FALSE)</f>
        <v>1ST-358-1585</v>
      </c>
      <c r="C1087" s="14" t="s">
        <v>102</v>
      </c>
      <c r="D1087" s="18" t="s">
        <v>2926</v>
      </c>
      <c r="F1087" s="30" t="str">
        <f t="shared" si="44"/>
        <v>AV55110-6 CONCRETE NAIL 4"</v>
      </c>
      <c r="I1087" s="31" t="str">
        <f>VLOOKUP(D1087,'[1]NEW PRICE LIST'!$C$4:$D$1917,2,FALSE)</f>
        <v>21KG/1CTN</v>
      </c>
      <c r="J1087" s="13" t="s">
        <v>3982</v>
      </c>
      <c r="K1087" s="32">
        <f>VLOOKUP(D1087,'[1]NEW PRICE LIST'!$C$4:$H$1917,3,FALSE)</f>
        <v>1675</v>
      </c>
      <c r="L1087" s="13">
        <v>100</v>
      </c>
      <c r="M1087" s="13">
        <v>0</v>
      </c>
      <c r="N1087" s="13">
        <v>0</v>
      </c>
    </row>
    <row r="1088" spans="1:14" x14ac:dyDescent="0.25">
      <c r="A1088" s="14" t="str">
        <f t="shared" si="43"/>
        <v>AVT0001087</v>
      </c>
      <c r="B1088" s="13" t="str">
        <f>VLOOKUP(D1088,'SUPPLIER_ITEMS (1st Tools)'!C1587:D3314,2,FALSE)</f>
        <v>1ST-358-1586</v>
      </c>
      <c r="C1088" s="14" t="s">
        <v>101</v>
      </c>
      <c r="D1088" s="18" t="s">
        <v>2927</v>
      </c>
      <c r="F1088" s="30" t="str">
        <f t="shared" si="44"/>
        <v>AV55111-1 CONCRETE SLIM NAIL 1"</v>
      </c>
      <c r="I1088" s="31" t="str">
        <f>VLOOKUP(D1088,'[1]NEW PRICE LIST'!$C$4:$D$1917,2,FALSE)</f>
        <v>20BOX/CTN</v>
      </c>
      <c r="J1088" s="13" t="s">
        <v>3620</v>
      </c>
      <c r="K1088" s="32">
        <f>VLOOKUP(D1088,'[1]NEW PRICE LIST'!$C$4:$H$1917,3,FALSE)</f>
        <v>150</v>
      </c>
      <c r="L1088" s="13">
        <v>100</v>
      </c>
      <c r="M1088" s="13">
        <v>0</v>
      </c>
      <c r="N1088" s="13">
        <v>0</v>
      </c>
    </row>
    <row r="1089" spans="1:16" x14ac:dyDescent="0.25">
      <c r="A1089" s="14" t="str">
        <f t="shared" si="43"/>
        <v>AVT0001088</v>
      </c>
      <c r="B1089" s="13" t="str">
        <f>VLOOKUP(D1089,'SUPPLIER_ITEMS (1st Tools)'!C1588:D3315,2,FALSE)</f>
        <v>1ST-358-1587</v>
      </c>
      <c r="C1089" s="14" t="s">
        <v>101</v>
      </c>
      <c r="D1089" s="18" t="s">
        <v>2928</v>
      </c>
      <c r="F1089" s="30" t="str">
        <f t="shared" si="44"/>
        <v>AV55111-2 CONCRETE SLIM NAIL 1"1/2</v>
      </c>
      <c r="I1089" s="31" t="str">
        <f>VLOOKUP(D1089,'[1]NEW PRICE LIST'!$C$4:$D$1917,2,FALSE)</f>
        <v>20BOX/CTN</v>
      </c>
      <c r="J1089" s="13" t="s">
        <v>3620</v>
      </c>
      <c r="K1089" s="32">
        <f>VLOOKUP(D1089,'[1]NEW PRICE LIST'!$C$4:$H$1917,3,FALSE)</f>
        <v>150</v>
      </c>
      <c r="L1089" s="13">
        <v>100</v>
      </c>
      <c r="M1089" s="13">
        <v>0</v>
      </c>
      <c r="N1089" s="13">
        <v>0</v>
      </c>
    </row>
    <row r="1090" spans="1:16" x14ac:dyDescent="0.25">
      <c r="A1090" s="14" t="str">
        <f t="shared" si="43"/>
        <v>AVT0001089</v>
      </c>
      <c r="B1090" s="13" t="str">
        <f>VLOOKUP(D1090,'SUPPLIER_ITEMS (1st Tools)'!C1589:D3316,2,FALSE)</f>
        <v>1ST-358-1588</v>
      </c>
      <c r="C1090" s="14" t="s">
        <v>101</v>
      </c>
      <c r="D1090" s="18" t="s">
        <v>2929</v>
      </c>
      <c r="F1090" s="30" t="str">
        <f t="shared" si="44"/>
        <v>AV55111-3 CONCRETE SLIM NAIL 2"</v>
      </c>
      <c r="I1090" s="31" t="str">
        <f>VLOOKUP(D1090,'[1]NEW PRICE LIST'!$C$4:$D$1917,2,FALSE)</f>
        <v>20BOX/CTN</v>
      </c>
      <c r="J1090" s="13" t="s">
        <v>3620</v>
      </c>
      <c r="K1090" s="32">
        <f>VLOOKUP(D1090,'[1]NEW PRICE LIST'!$C$4:$H$1917,3,FALSE)</f>
        <v>150</v>
      </c>
      <c r="L1090" s="13">
        <v>100</v>
      </c>
      <c r="M1090" s="13">
        <v>0</v>
      </c>
      <c r="N1090" s="13">
        <v>0</v>
      </c>
    </row>
    <row r="1091" spans="1:16" x14ac:dyDescent="0.25">
      <c r="A1091" s="14" t="str">
        <f t="shared" si="43"/>
        <v>AVT0001090</v>
      </c>
      <c r="B1091" s="13" t="str">
        <f>VLOOKUP(D1091,'SUPPLIER_ITEMS (1st Tools)'!C1590:D3317,2,FALSE)</f>
        <v>1ST-358-1589</v>
      </c>
      <c r="C1091" s="14" t="s">
        <v>100</v>
      </c>
      <c r="D1091" s="18" t="s">
        <v>2566</v>
      </c>
      <c r="F1091" s="30" t="str">
        <f t="shared" si="44"/>
        <v>AV55160-1 1/2"*20MM POLONET PVC CLAMP BLUE</v>
      </c>
      <c r="I1091" s="31" t="str">
        <f>VLOOKUP(D1091,'[1]NEW PRICE LIST'!$C$4:$D$1917,2,FALSE)</f>
        <v>50PACKS/CTN</v>
      </c>
      <c r="J1091" s="13" t="s">
        <v>3983</v>
      </c>
      <c r="K1091" s="32">
        <f>VLOOKUP(D1091,'[1]NEW PRICE LIST'!$C$4:$H$1917,3,FALSE)</f>
        <v>110</v>
      </c>
      <c r="L1091" s="13">
        <v>100</v>
      </c>
      <c r="M1091" s="13">
        <v>0</v>
      </c>
      <c r="N1091" s="13">
        <v>0</v>
      </c>
    </row>
    <row r="1092" spans="1:16" x14ac:dyDescent="0.25">
      <c r="A1092" s="14" t="str">
        <f t="shared" ref="A1092:A1155" si="45">"AVT"&amp;TEXT(RIGHT(A1091,LEN(A1091)-3)+1,"0000000")</f>
        <v>AVT0001091</v>
      </c>
      <c r="B1092" s="13" t="str">
        <f>VLOOKUP(D1092,'SUPPLIER_ITEMS (1st Tools)'!C1591:D3318,2,FALSE)</f>
        <v>1ST-358-1590</v>
      </c>
      <c r="C1092" s="14" t="s">
        <v>100</v>
      </c>
      <c r="D1092" s="18" t="s">
        <v>2568</v>
      </c>
      <c r="F1092" s="30" t="str">
        <f t="shared" si="44"/>
        <v>AV55160-2 3/4"*25MM POLONET PVC CLAMP BLUE</v>
      </c>
      <c r="I1092" s="31" t="str">
        <f>VLOOKUP(D1092,'[1]NEW PRICE LIST'!$C$4:$D$1917,2,FALSE)</f>
        <v>50PACKS/CTN</v>
      </c>
      <c r="J1092" s="13" t="s">
        <v>3983</v>
      </c>
      <c r="K1092" s="32">
        <f>VLOOKUP(D1092,'[1]NEW PRICE LIST'!$C$4:$H$1917,3,FALSE)</f>
        <v>135</v>
      </c>
      <c r="L1092" s="13">
        <v>100</v>
      </c>
      <c r="M1092" s="13">
        <v>0</v>
      </c>
      <c r="N1092" s="13">
        <v>0</v>
      </c>
    </row>
    <row r="1093" spans="1:16" x14ac:dyDescent="0.25">
      <c r="A1093" s="14" t="str">
        <f t="shared" si="45"/>
        <v>AVT0001092</v>
      </c>
      <c r="B1093" s="13" t="str">
        <f>VLOOKUP(D1093,'SUPPLIER_ITEMS (1st Tools)'!C1592:D3319,2,FALSE)</f>
        <v>1ST-358-1591</v>
      </c>
      <c r="C1093" s="14" t="s">
        <v>100</v>
      </c>
      <c r="D1093" s="18" t="s">
        <v>2570</v>
      </c>
      <c r="F1093" s="30" t="str">
        <f t="shared" si="44"/>
        <v>AV55160-3 1"*32MM POLONET PVC CLAMP BLUE</v>
      </c>
      <c r="I1093" s="31" t="str">
        <f>VLOOKUP(D1093,'[1]NEW PRICE LIST'!$C$4:$D$1917,2,FALSE)</f>
        <v>50PACKS/CTN</v>
      </c>
      <c r="J1093" s="13" t="s">
        <v>3983</v>
      </c>
      <c r="K1093" s="32">
        <f>VLOOKUP(D1093,'[1]NEW PRICE LIST'!$C$4:$H$1917,3,FALSE)</f>
        <v>140</v>
      </c>
      <c r="L1093" s="13">
        <v>100</v>
      </c>
      <c r="M1093" s="13">
        <v>0</v>
      </c>
      <c r="N1093" s="13">
        <v>0</v>
      </c>
    </row>
    <row r="1094" spans="1:16" x14ac:dyDescent="0.25">
      <c r="A1094" s="14" t="str">
        <f t="shared" si="45"/>
        <v>AVT0001093</v>
      </c>
      <c r="B1094" s="13" t="str">
        <f>VLOOKUP(D1094,'SUPPLIER_ITEMS (1st Tools)'!C1593:D3320,2,FALSE)</f>
        <v>1ST-358-1592</v>
      </c>
      <c r="C1094" s="14" t="s">
        <v>100</v>
      </c>
      <c r="D1094" s="18" t="s">
        <v>3937</v>
      </c>
      <c r="F1094" s="30" t="str">
        <f t="shared" si="44"/>
        <v>AV55160-4 1/2"*20MM POLONET PVC CLAMP ORANGE</v>
      </c>
      <c r="I1094" s="31" t="str">
        <f>VLOOKUP(D1094,'[1]NEW PRICE LIST'!$C$4:$D$1917,2,FALSE)</f>
        <v>50PACKS/CTN</v>
      </c>
      <c r="J1094" s="13" t="s">
        <v>3983</v>
      </c>
      <c r="K1094" s="32">
        <f>VLOOKUP(D1094,'[1]NEW PRICE LIST'!$C$4:$H$1917,3,FALSE)</f>
        <v>110</v>
      </c>
      <c r="L1094" s="13">
        <v>100</v>
      </c>
      <c r="M1094" s="13">
        <v>0</v>
      </c>
      <c r="N1094" s="13">
        <v>0</v>
      </c>
    </row>
    <row r="1095" spans="1:16" x14ac:dyDescent="0.25">
      <c r="A1095" s="14" t="str">
        <f t="shared" si="45"/>
        <v>AVT0001094</v>
      </c>
      <c r="B1095" s="13" t="str">
        <f>VLOOKUP(D1095,'SUPPLIER_ITEMS (1st Tools)'!C1594:D3321,2,FALSE)</f>
        <v>1ST-358-1593</v>
      </c>
      <c r="C1095" s="14" t="s">
        <v>100</v>
      </c>
      <c r="D1095" s="18" t="s">
        <v>2571</v>
      </c>
      <c r="F1095" s="30" t="str">
        <f t="shared" si="44"/>
        <v>AV55160-5 3/4"*25MM POLONET PVC CLAMP ORANGE</v>
      </c>
      <c r="I1095" s="31" t="str">
        <f>VLOOKUP(D1095,'[1]NEW PRICE LIST'!$C$4:$D$1917,2,FALSE)</f>
        <v>50PACKS/CTN</v>
      </c>
      <c r="J1095" s="13" t="s">
        <v>3983</v>
      </c>
      <c r="K1095" s="32">
        <f>VLOOKUP(D1095,'[1]NEW PRICE LIST'!$C$4:$H$1917,3,FALSE)</f>
        <v>135</v>
      </c>
      <c r="L1095" s="13">
        <v>100</v>
      </c>
      <c r="M1095" s="13">
        <v>0</v>
      </c>
      <c r="N1095" s="13">
        <v>0</v>
      </c>
    </row>
    <row r="1096" spans="1:16" x14ac:dyDescent="0.25">
      <c r="A1096" s="14" t="str">
        <f t="shared" si="45"/>
        <v>AVT0001095</v>
      </c>
      <c r="B1096" s="13" t="str">
        <f>VLOOKUP(D1096,'SUPPLIER_ITEMS (1st Tools)'!C1595:D3322,2,FALSE)</f>
        <v>1ST-358-1594</v>
      </c>
      <c r="C1096" s="14" t="s">
        <v>100</v>
      </c>
      <c r="D1096" s="18" t="s">
        <v>2572</v>
      </c>
      <c r="F1096" s="30" t="str">
        <f t="shared" si="44"/>
        <v>AV55160-6 1"*32MM POLONET PVC CLAMP ORANGE</v>
      </c>
      <c r="I1096" s="31" t="str">
        <f>VLOOKUP(D1096,'[1]NEW PRICE LIST'!$C$4:$D$1917,2,FALSE)</f>
        <v>50PACKS/CTN</v>
      </c>
      <c r="J1096" s="13" t="s">
        <v>3983</v>
      </c>
      <c r="K1096" s="32">
        <f>VLOOKUP(D1096,'[1]NEW PRICE LIST'!$C$4:$H$1917,3,FALSE)</f>
        <v>140</v>
      </c>
      <c r="L1096" s="13">
        <v>100</v>
      </c>
      <c r="M1096" s="13">
        <v>0</v>
      </c>
      <c r="N1096" s="13">
        <v>0</v>
      </c>
    </row>
    <row r="1097" spans="1:16" ht="26.4" x14ac:dyDescent="0.25">
      <c r="A1097" s="14" t="str">
        <f t="shared" si="45"/>
        <v>AVT0001096</v>
      </c>
      <c r="B1097" s="13" t="str">
        <f>VLOOKUP(D1097,'SUPPLIER_ITEMS (1st Tools)'!C1596:D3323,2,FALSE)</f>
        <v>1ST-358-1595</v>
      </c>
      <c r="C1097" s="14" t="s">
        <v>99</v>
      </c>
      <c r="D1097" s="18" t="s">
        <v>2573</v>
      </c>
      <c r="F1097" s="30" t="str">
        <f t="shared" si="44"/>
        <v>AV550200-1 (LT55002-123) WELDED WIRE(GALVANIZED) BWG16*1/2"*3'*22M(N.W31.2)</v>
      </c>
      <c r="I1097" s="31" t="str">
        <f>VLOOKUP(D1097,'[1]NEW PRICE LIST'!$C$4:$D$1917,2,FALSE)</f>
        <v>1 ROLL</v>
      </c>
      <c r="J1097" s="13" t="s">
        <v>299</v>
      </c>
      <c r="K1097" s="32">
        <f>VLOOKUP(D1097,'[1]NEW PRICE LIST'!$C$4:$H$1917,3,FALSE)</f>
        <v>5000</v>
      </c>
      <c r="L1097" s="13">
        <v>100</v>
      </c>
      <c r="M1097" s="13">
        <v>0</v>
      </c>
      <c r="N1097" s="13">
        <v>20</v>
      </c>
      <c r="P1097" s="13" t="s">
        <v>3629</v>
      </c>
    </row>
    <row r="1098" spans="1:16" ht="26.4" x14ac:dyDescent="0.25">
      <c r="A1098" s="14" t="str">
        <f t="shared" si="45"/>
        <v>AVT0001097</v>
      </c>
      <c r="B1098" s="13" t="str">
        <f>VLOOKUP(D1098,'SUPPLIER_ITEMS (1st Tools)'!C1597:D3324,2,FALSE)</f>
        <v>1ST-358-1596</v>
      </c>
      <c r="C1098" s="14" t="s">
        <v>99</v>
      </c>
      <c r="D1098" s="18" t="s">
        <v>2574</v>
      </c>
      <c r="F1098" s="30" t="str">
        <f t="shared" si="44"/>
        <v>AV550200-2 (LT55002-124) WELDED WIRE GALVANIZED BWG16*1/2"*4'*22M(N.W41.8)</v>
      </c>
      <c r="I1098" s="31" t="str">
        <f>VLOOKUP(D1098,'[1]NEW PRICE LIST'!$C$4:$D$1917,2,FALSE)</f>
        <v>1 ROLL</v>
      </c>
      <c r="J1098" s="13" t="s">
        <v>299</v>
      </c>
      <c r="K1098" s="32">
        <f>VLOOKUP(D1098,'[1]NEW PRICE LIST'!$C$4:$H$1917,3,FALSE)</f>
        <v>6500</v>
      </c>
      <c r="L1098" s="13">
        <v>100</v>
      </c>
      <c r="M1098" s="13">
        <v>0</v>
      </c>
      <c r="N1098" s="13">
        <v>20</v>
      </c>
      <c r="P1098" s="13" t="s">
        <v>3629</v>
      </c>
    </row>
    <row r="1099" spans="1:16" ht="26.4" x14ac:dyDescent="0.25">
      <c r="A1099" s="14" t="str">
        <f t="shared" si="45"/>
        <v>AVT0001098</v>
      </c>
      <c r="B1099" s="13" t="str">
        <f>VLOOKUP(D1099,'SUPPLIER_ITEMS (1st Tools)'!C1598:D3325,2,FALSE)</f>
        <v>1ST-358-1597</v>
      </c>
      <c r="C1099" s="14" t="s">
        <v>99</v>
      </c>
      <c r="D1099" s="18" t="s">
        <v>3398</v>
      </c>
      <c r="F1099" s="30" t="str">
        <f t="shared" si="44"/>
        <v>AV550200-3 (LT55002-13) WELDED WIRE(GALVANIZED） BWG16*1"*3'*22M(N.W19.8)</v>
      </c>
      <c r="I1099" s="31" t="str">
        <f>VLOOKUP(D1099,'[1]NEW PRICE LIST'!$C$4:$D$1917,2,FALSE)</f>
        <v>1 ROLL</v>
      </c>
      <c r="J1099" s="13" t="s">
        <v>299</v>
      </c>
      <c r="K1099" s="32">
        <f>VLOOKUP(D1099,'[1]NEW PRICE LIST'!$C$4:$H$1917,3,FALSE)</f>
        <v>3000</v>
      </c>
      <c r="L1099" s="13">
        <v>100</v>
      </c>
      <c r="M1099" s="13">
        <v>0</v>
      </c>
      <c r="N1099" s="13">
        <v>20</v>
      </c>
      <c r="P1099" s="13" t="s">
        <v>3629</v>
      </c>
    </row>
    <row r="1100" spans="1:16" ht="26.4" x14ac:dyDescent="0.25">
      <c r="A1100" s="14" t="str">
        <f t="shared" si="45"/>
        <v>AVT0001099</v>
      </c>
      <c r="B1100" s="13" t="str">
        <f>VLOOKUP(D1100,'SUPPLIER_ITEMS (1st Tools)'!C1599:D3326,2,FALSE)</f>
        <v>1ST-358-1598</v>
      </c>
      <c r="C1100" s="14" t="s">
        <v>99</v>
      </c>
      <c r="D1100" s="18" t="s">
        <v>3399</v>
      </c>
      <c r="F1100" s="30" t="str">
        <f t="shared" si="44"/>
        <v>AV550200-4 WELDED WIRE(GALVANIZED） BWG16*1"*4'*22M(N.W26.4)</v>
      </c>
      <c r="I1100" s="31" t="str">
        <f>VLOOKUP(D1100,'[1]NEW PRICE LIST'!$C$4:$D$1917,2,FALSE)</f>
        <v>1ROLL</v>
      </c>
      <c r="J1100" s="13" t="s">
        <v>299</v>
      </c>
      <c r="K1100" s="32">
        <f>VLOOKUP(D1100,'[1]NEW PRICE LIST'!$C$4:$H$1917,3,FALSE)</f>
        <v>3800</v>
      </c>
      <c r="L1100" s="13">
        <v>100</v>
      </c>
      <c r="M1100" s="13">
        <v>0</v>
      </c>
      <c r="N1100" s="13">
        <v>20</v>
      </c>
      <c r="P1100" s="13" t="s">
        <v>3629</v>
      </c>
    </row>
    <row r="1101" spans="1:16" ht="26.4" x14ac:dyDescent="0.25">
      <c r="A1101" s="14" t="str">
        <f t="shared" si="45"/>
        <v>AVT0001100</v>
      </c>
      <c r="B1101" s="13" t="str">
        <f>VLOOKUP(D1101,'SUPPLIER_ITEMS (1st Tools)'!C1600:D3327,2,FALSE)</f>
        <v>1ST-358-1599</v>
      </c>
      <c r="C1101" s="14" t="s">
        <v>98</v>
      </c>
      <c r="D1101" s="18" t="s">
        <v>2936</v>
      </c>
      <c r="F1101" s="30" t="str">
        <f t="shared" si="44"/>
        <v>AV550201-1 GALVANIZED WELDED WIRE BWG21(0.69MM)*1/2"*3’*22m (N.W9.6)</v>
      </c>
      <c r="I1101" s="31" t="str">
        <f>VLOOKUP(D1101,'[1]NEW PRICE LIST'!$C$4:$D$1917,2,FALSE)</f>
        <v>1 ROLL</v>
      </c>
      <c r="J1101" s="13" t="s">
        <v>299</v>
      </c>
      <c r="K1101" s="32">
        <f>VLOOKUP(D1101,'[1]NEW PRICE LIST'!$C$4:$H$1917,3,FALSE)</f>
        <v>1400</v>
      </c>
      <c r="L1101" s="13">
        <v>100</v>
      </c>
      <c r="M1101" s="13">
        <v>0</v>
      </c>
      <c r="N1101" s="13">
        <v>25</v>
      </c>
      <c r="P1101" s="13" t="s">
        <v>3960</v>
      </c>
    </row>
    <row r="1102" spans="1:16" ht="26.4" x14ac:dyDescent="0.25">
      <c r="A1102" s="14" t="str">
        <f t="shared" si="45"/>
        <v>AVT0001101</v>
      </c>
      <c r="B1102" s="13" t="str">
        <f>VLOOKUP(D1102,'SUPPLIER_ITEMS (1st Tools)'!C1601:D3328,2,FALSE)</f>
        <v>1ST-358-1600</v>
      </c>
      <c r="C1102" s="14" t="s">
        <v>98</v>
      </c>
      <c r="D1102" s="18" t="s">
        <v>2937</v>
      </c>
      <c r="F1102" s="30" t="str">
        <f t="shared" si="44"/>
        <v>AV550201-2 GALVANIZED WELDED WIRE BWG21(0.69MM)*1/2"*4’*22m (N.W12.8)</v>
      </c>
      <c r="I1102" s="31" t="str">
        <f>VLOOKUP(D1102,'[1]NEW PRICE LIST'!$C$4:$D$1917,2,FALSE)</f>
        <v>1 ROLL</v>
      </c>
      <c r="J1102" s="13" t="s">
        <v>299</v>
      </c>
      <c r="K1102" s="32">
        <f>VLOOKUP(D1102,'[1]NEW PRICE LIST'!$C$4:$H$1917,3,FALSE)</f>
        <v>1900</v>
      </c>
      <c r="L1102" s="13">
        <v>100</v>
      </c>
      <c r="M1102" s="13">
        <v>0</v>
      </c>
      <c r="N1102" s="13">
        <v>25</v>
      </c>
      <c r="P1102" s="13" t="s">
        <v>3960</v>
      </c>
    </row>
    <row r="1103" spans="1:16" ht="26.4" x14ac:dyDescent="0.25">
      <c r="A1103" s="14" t="str">
        <f t="shared" si="45"/>
        <v>AVT0001102</v>
      </c>
      <c r="B1103" s="13" t="str">
        <f>VLOOKUP(D1103,'SUPPLIER_ITEMS (1st Tools)'!C1602:D3329,2,FALSE)</f>
        <v>1ST-358-1601</v>
      </c>
      <c r="C1103" s="14" t="s">
        <v>98</v>
      </c>
      <c r="D1103" s="18" t="s">
        <v>2938</v>
      </c>
      <c r="F1103" s="30" t="str">
        <f t="shared" si="44"/>
        <v>AV550201-3 GALVANIZED WELDED WIRE BWG19(0.93MM)*1"*3’*22m(N.W8.8)</v>
      </c>
      <c r="I1103" s="31" t="str">
        <f>VLOOKUP(D1103,'[1]NEW PRICE LIST'!$C$4:$D$1917,2,FALSE)</f>
        <v>1 ROLL</v>
      </c>
      <c r="J1103" s="13" t="s">
        <v>299</v>
      </c>
      <c r="K1103" s="32">
        <f>VLOOKUP(D1103,'[1]NEW PRICE LIST'!$C$4:$H$1917,3,FALSE)</f>
        <v>1400</v>
      </c>
      <c r="L1103" s="13">
        <v>100</v>
      </c>
      <c r="M1103" s="13">
        <v>0</v>
      </c>
      <c r="N1103" s="13">
        <v>25</v>
      </c>
      <c r="P1103" s="13" t="s">
        <v>3960</v>
      </c>
    </row>
    <row r="1104" spans="1:16" ht="26.4" x14ac:dyDescent="0.25">
      <c r="A1104" s="14" t="str">
        <f t="shared" si="45"/>
        <v>AVT0001103</v>
      </c>
      <c r="B1104" s="13" t="str">
        <f>VLOOKUP(D1104,'SUPPLIER_ITEMS (1st Tools)'!C1603:D3330,2,FALSE)</f>
        <v>1ST-358-1602</v>
      </c>
      <c r="C1104" s="14" t="s">
        <v>98</v>
      </c>
      <c r="D1104" s="18" t="s">
        <v>2939</v>
      </c>
      <c r="F1104" s="30" t="str">
        <f t="shared" ref="F1104:F1159" si="46">"AV"&amp;RIGHT(D1104,LEN(D1104)-2)</f>
        <v>AV550201-4 GALVANIZED WELDED WIRE BWG19(0.93MM)*1"*4’*22m (N.W11.9)</v>
      </c>
      <c r="I1104" s="31" t="str">
        <f>VLOOKUP(D1104,'[1]NEW PRICE LIST'!$C$4:$D$1917,2,FALSE)</f>
        <v>1 ROLL</v>
      </c>
      <c r="J1104" s="13" t="s">
        <v>299</v>
      </c>
      <c r="K1104" s="32">
        <f>VLOOKUP(D1104,'[1]NEW PRICE LIST'!$C$4:$H$1917,3,FALSE)</f>
        <v>1900</v>
      </c>
      <c r="L1104" s="13">
        <v>100</v>
      </c>
      <c r="M1104" s="13">
        <v>0</v>
      </c>
      <c r="N1104" s="13">
        <v>25</v>
      </c>
      <c r="P1104" s="13" t="s">
        <v>3960</v>
      </c>
    </row>
    <row r="1105" spans="1:16" ht="26.4" x14ac:dyDescent="0.25">
      <c r="A1105" s="14" t="str">
        <f t="shared" si="45"/>
        <v>AVT0001104</v>
      </c>
      <c r="B1105" s="13" t="str">
        <f>VLOOKUP(D1105,'SUPPLIER_ITEMS (1st Tools)'!C1604:D3331,2,FALSE)</f>
        <v>1ST-358-1603</v>
      </c>
      <c r="C1105" s="14" t="s">
        <v>97</v>
      </c>
      <c r="D1105" s="18" t="s">
        <v>2579</v>
      </c>
      <c r="F1105" s="30" t="str">
        <f t="shared" si="46"/>
        <v>AV550202-1 COATED WELDED WIRE BWG19**1/2"*3'*22M (N.W11.5)</v>
      </c>
      <c r="I1105" s="31" t="str">
        <f>VLOOKUP(D1105,'[1]NEW PRICE LIST'!$C$4:$D$1917,2,FALSE)</f>
        <v>1 ROLL</v>
      </c>
      <c r="J1105" s="13" t="s">
        <v>299</v>
      </c>
      <c r="K1105" s="32">
        <f>VLOOKUP(D1105,'[1]NEW PRICE LIST'!$C$4:$H$1917,3,FALSE)</f>
        <v>2250</v>
      </c>
      <c r="L1105" s="13">
        <v>100</v>
      </c>
      <c r="M1105" s="13">
        <v>0</v>
      </c>
      <c r="N1105" s="13">
        <v>25</v>
      </c>
      <c r="P1105" s="13" t="s">
        <v>3960</v>
      </c>
    </row>
    <row r="1106" spans="1:16" ht="26.4" x14ac:dyDescent="0.25">
      <c r="A1106" s="14" t="str">
        <f t="shared" si="45"/>
        <v>AVT0001105</v>
      </c>
      <c r="B1106" s="13" t="str">
        <f>VLOOKUP(D1106,'SUPPLIER_ITEMS (1st Tools)'!C1605:D3332,2,FALSE)</f>
        <v>1ST-358-1604</v>
      </c>
      <c r="C1106" s="14" t="s">
        <v>97</v>
      </c>
      <c r="D1106" s="18" t="s">
        <v>2581</v>
      </c>
      <c r="F1106" s="30" t="str">
        <f t="shared" si="46"/>
        <v>AV550202-2 COATED WELDED WIRE BWG19**1/2"*4'*22M(N.W15.4)</v>
      </c>
      <c r="I1106" s="31" t="str">
        <f>VLOOKUP(D1106,'[1]NEW PRICE LIST'!$C$4:$D$1917,2,FALSE)</f>
        <v>1 ROLL</v>
      </c>
      <c r="J1106" s="13" t="s">
        <v>299</v>
      </c>
      <c r="K1106" s="32">
        <f>VLOOKUP(D1106,'[1]NEW PRICE LIST'!$C$4:$H$1917,3,FALSE)</f>
        <v>3300</v>
      </c>
      <c r="L1106" s="13">
        <v>100</v>
      </c>
      <c r="M1106" s="13">
        <v>0</v>
      </c>
      <c r="N1106" s="13">
        <v>25</v>
      </c>
      <c r="P1106" s="13" t="s">
        <v>3960</v>
      </c>
    </row>
    <row r="1107" spans="1:16" x14ac:dyDescent="0.25">
      <c r="A1107" s="14" t="str">
        <f t="shared" si="45"/>
        <v>AVT0001106</v>
      </c>
      <c r="B1107" s="13" t="str">
        <f>VLOOKUP(D1107,'SUPPLIER_ITEMS (1st Tools)'!C1606:D3333,2,FALSE)</f>
        <v>1ST-358-1605</v>
      </c>
      <c r="C1107" s="14" t="s">
        <v>97</v>
      </c>
      <c r="D1107" s="19" t="s">
        <v>2583</v>
      </c>
      <c r="F1107" s="30" t="str">
        <f t="shared" si="46"/>
        <v>AV550202-3 COATED WELDED WIRE 1*3(N.W5.8)</v>
      </c>
      <c r="I1107" s="31" t="str">
        <f>VLOOKUP(D1107,'[1]NEW PRICE LIST'!$C$4:$D$1917,2,FALSE)</f>
        <v>1 ROLL</v>
      </c>
      <c r="J1107" s="13" t="s">
        <v>299</v>
      </c>
      <c r="K1107" s="32">
        <f>VLOOKUP(D1107,'[1]NEW PRICE LIST'!$C$4:$H$1917,3,FALSE)</f>
        <v>2500</v>
      </c>
      <c r="L1107" s="13">
        <v>100</v>
      </c>
      <c r="M1107" s="13">
        <v>0</v>
      </c>
      <c r="N1107" s="13">
        <v>25</v>
      </c>
      <c r="P1107" s="13" t="s">
        <v>3960</v>
      </c>
    </row>
    <row r="1108" spans="1:16" ht="26.4" x14ac:dyDescent="0.25">
      <c r="A1108" s="14" t="str">
        <f t="shared" si="45"/>
        <v>AVT0001107</v>
      </c>
      <c r="B1108" s="13" t="str">
        <f>VLOOKUP(D1108,'SUPPLIER_ITEMS (1st Tools)'!C1607:D3334,2,FALSE)</f>
        <v>1ST-358-1606</v>
      </c>
      <c r="C1108" s="14" t="s">
        <v>97</v>
      </c>
      <c r="D1108" s="18" t="s">
        <v>2585</v>
      </c>
      <c r="F1108" s="30" t="str">
        <f t="shared" si="46"/>
        <v>AV550202-4 COATED WELDED WIRE BWG21**1"*4'*22M(N.W7.7)</v>
      </c>
      <c r="I1108" s="31" t="str">
        <f>VLOOKUP(D1108,'[1]NEW PRICE LIST'!$C$4:$D$1917,2,FALSE)</f>
        <v>1 ROLL</v>
      </c>
      <c r="J1108" s="13" t="s">
        <v>299</v>
      </c>
      <c r="K1108" s="32">
        <f>VLOOKUP(D1108,'[1]NEW PRICE LIST'!$C$4:$H$1917,3,FALSE)</f>
        <v>2700</v>
      </c>
      <c r="L1108" s="13">
        <v>100</v>
      </c>
      <c r="M1108" s="13">
        <v>0</v>
      </c>
      <c r="N1108" s="13">
        <v>25</v>
      </c>
      <c r="P1108" s="13" t="s">
        <v>3960</v>
      </c>
    </row>
    <row r="1109" spans="1:16" x14ac:dyDescent="0.25">
      <c r="A1109" s="14" t="str">
        <f t="shared" si="45"/>
        <v>AVT0001108</v>
      </c>
      <c r="B1109" s="13" t="str">
        <f>VLOOKUP(D1109,'SUPPLIER_ITEMS (1st Tools)'!C1608:D3335,2,FALSE)</f>
        <v>1ST-358-1607</v>
      </c>
      <c r="C1109" s="14" t="s">
        <v>96</v>
      </c>
      <c r="D1109" s="19" t="s">
        <v>3938</v>
      </c>
      <c r="F1109" s="30" t="str">
        <f t="shared" si="46"/>
        <v>AV550203-1 (LT55015-1) POLONET BARBED WIRE #15 (N.W10)</v>
      </c>
      <c r="I1109" s="31" t="str">
        <f>VLOOKUP(D1109,'[1]NEW PRICE LIST'!$C$4:$D$1917,2,FALSE)</f>
        <v>1ROLL</v>
      </c>
      <c r="J1109" s="13" t="s">
        <v>299</v>
      </c>
      <c r="K1109" s="32">
        <f>VLOOKUP(D1109,'[1]NEW PRICE LIST'!$C$4:$H$1917,3,FALSE)</f>
        <v>870</v>
      </c>
      <c r="L1109" s="13">
        <v>100</v>
      </c>
      <c r="M1109" s="13">
        <v>0</v>
      </c>
      <c r="N1109" s="13">
        <v>0</v>
      </c>
    </row>
    <row r="1110" spans="1:16" x14ac:dyDescent="0.25">
      <c r="A1110" s="14" t="str">
        <f t="shared" si="45"/>
        <v>AVT0001109</v>
      </c>
      <c r="B1110" s="13" t="str">
        <f>VLOOKUP(D1110,'SUPPLIER_ITEMS (1st Tools)'!C1609:D3336,2,FALSE)</f>
        <v>1ST-358-1608</v>
      </c>
      <c r="C1110" s="14" t="s">
        <v>96</v>
      </c>
      <c r="D1110" s="19" t="s">
        <v>2940</v>
      </c>
      <c r="F1110" s="30" t="str">
        <f t="shared" si="46"/>
        <v>AV550203-2 (LT55015-2) POLONET BARBED WIRE #20(N.W15)</v>
      </c>
      <c r="I1110" s="31" t="str">
        <f>VLOOKUP(D1110,'[1]NEW PRICE LIST'!$C$4:$D$1917,2,FALSE)</f>
        <v>1ROLL</v>
      </c>
      <c r="J1110" s="13" t="s">
        <v>299</v>
      </c>
      <c r="K1110" s="32">
        <f>VLOOKUP(D1110,'[1]NEW PRICE LIST'!$C$4:$H$1917,3,FALSE)</f>
        <v>1160</v>
      </c>
      <c r="L1110" s="13">
        <v>100</v>
      </c>
      <c r="M1110" s="13">
        <v>0</v>
      </c>
      <c r="N1110" s="13">
        <v>0</v>
      </c>
    </row>
    <row r="1111" spans="1:16" x14ac:dyDescent="0.25">
      <c r="A1111" s="14" t="str">
        <f t="shared" si="45"/>
        <v>AVT0001110</v>
      </c>
      <c r="B1111" s="13" t="str">
        <f>VLOOKUP(D1111,'SUPPLIER_ITEMS (1st Tools)'!C1610:D3337,2,FALSE)</f>
        <v>1ST-358-1609</v>
      </c>
      <c r="C1111" s="14" t="s">
        <v>96</v>
      </c>
      <c r="D1111" s="19" t="s">
        <v>2941</v>
      </c>
      <c r="F1111" s="30" t="str">
        <f t="shared" si="46"/>
        <v>AV550203-3 (LT55015-3) POLONET BARBED WIRE #25(N.W20)</v>
      </c>
      <c r="I1111" s="31" t="str">
        <f>VLOOKUP(D1111,'[1]NEW PRICE LIST'!$C$4:$D$1917,2,FALSE)</f>
        <v>1ROLL</v>
      </c>
      <c r="J1111" s="13" t="s">
        <v>299</v>
      </c>
      <c r="K1111" s="32">
        <f>VLOOKUP(D1111,'[1]NEW PRICE LIST'!$C$4:$H$1917,3,FALSE)</f>
        <v>1450</v>
      </c>
      <c r="L1111" s="13">
        <v>100</v>
      </c>
      <c r="M1111" s="13">
        <v>0</v>
      </c>
      <c r="N1111" s="13">
        <v>0</v>
      </c>
    </row>
    <row r="1112" spans="1:16" x14ac:dyDescent="0.25">
      <c r="A1112" s="14" t="str">
        <f t="shared" si="45"/>
        <v>AVT0001111</v>
      </c>
      <c r="B1112" s="13" t="str">
        <f>VLOOKUP(D1112,'SUPPLIER_ITEMS (1st Tools)'!C1611:D3338,2,FALSE)</f>
        <v>1ST-358-1610</v>
      </c>
      <c r="C1112" s="14" t="s">
        <v>96</v>
      </c>
      <c r="D1112" s="19" t="s">
        <v>2942</v>
      </c>
      <c r="F1112" s="30" t="str">
        <f t="shared" si="46"/>
        <v>AV550203-4 (LT55015-4) POLONET BARBED WIRE #30(N.W25)</v>
      </c>
      <c r="I1112" s="31" t="str">
        <f>VLOOKUP(D1112,'[1]NEW PRICE LIST'!$C$4:$D$1917,2,FALSE)</f>
        <v>1ROLL</v>
      </c>
      <c r="J1112" s="13" t="s">
        <v>299</v>
      </c>
      <c r="K1112" s="32">
        <f>VLOOKUP(D1112,'[1]NEW PRICE LIST'!$C$4:$H$1917,3,FALSE)</f>
        <v>1740</v>
      </c>
      <c r="L1112" s="13">
        <v>100</v>
      </c>
      <c r="M1112" s="13">
        <v>0</v>
      </c>
      <c r="N1112" s="13">
        <v>0</v>
      </c>
    </row>
    <row r="1113" spans="1:16" ht="26.4" x14ac:dyDescent="0.25">
      <c r="A1113" s="14" t="str">
        <f t="shared" si="45"/>
        <v>AVT0001112</v>
      </c>
      <c r="B1113" s="13" t="str">
        <f>VLOOKUP(D1113,'SUPPLIER_ITEMS (1st Tools)'!C1612:D3339,2,FALSE)</f>
        <v>1ST-358-1611</v>
      </c>
      <c r="C1113" s="14" t="s">
        <v>95</v>
      </c>
      <c r="D1113" s="18" t="s">
        <v>2943</v>
      </c>
      <c r="F1113" s="30" t="str">
        <f t="shared" si="46"/>
        <v>AV550204-1 GALV. CYCLONE WIRE 1.9mm*2"*2"*3'*4M(N.W14.06)</v>
      </c>
      <c r="I1113" s="31" t="str">
        <f>VLOOKUP(D1113,'[1]NEW PRICE LIST'!$C$4:$D$1917,2,FALSE)</f>
        <v>5ROLL/bundle</v>
      </c>
      <c r="J1113" s="13" t="s">
        <v>3984</v>
      </c>
      <c r="K1113" s="32">
        <f>VLOOKUP(D1113,'[1]NEW PRICE LIST'!$C$4:$H$1917,3,FALSE)</f>
        <v>255</v>
      </c>
      <c r="L1113" s="13">
        <v>100</v>
      </c>
      <c r="M1113" s="13">
        <v>0</v>
      </c>
      <c r="N1113" s="13">
        <v>0</v>
      </c>
    </row>
    <row r="1114" spans="1:16" ht="26.4" x14ac:dyDescent="0.25">
      <c r="A1114" s="14" t="str">
        <f t="shared" si="45"/>
        <v>AVT0001113</v>
      </c>
      <c r="B1114" s="13" t="str">
        <f>VLOOKUP(D1114,'SUPPLIER_ITEMS (1st Tools)'!C1613:D3340,2,FALSE)</f>
        <v>1ST-358-1612</v>
      </c>
      <c r="C1114" s="14" t="s">
        <v>95</v>
      </c>
      <c r="D1114" s="18" t="s">
        <v>2944</v>
      </c>
      <c r="F1114" s="30" t="str">
        <f t="shared" si="46"/>
        <v>AV550204-2 GALV. CYCLONE WIRE 1.9mm*2"*2"*4'*4M(N.W18.46)</v>
      </c>
      <c r="I1114" s="31" t="str">
        <f>VLOOKUP(D1114,'[1]NEW PRICE LIST'!$C$4:$D$1917,2,FALSE)</f>
        <v>5ROLL/bundle</v>
      </c>
      <c r="J1114" s="13" t="s">
        <v>3984</v>
      </c>
      <c r="K1114" s="32">
        <f>VLOOKUP(D1114,'[1]NEW PRICE LIST'!$C$4:$H$1917,3,FALSE)</f>
        <v>340</v>
      </c>
      <c r="L1114" s="13">
        <v>100</v>
      </c>
      <c r="M1114" s="13">
        <v>0</v>
      </c>
      <c r="N1114" s="13">
        <v>0</v>
      </c>
    </row>
    <row r="1115" spans="1:16" ht="26.4" x14ac:dyDescent="0.25">
      <c r="A1115" s="14" t="str">
        <f t="shared" si="45"/>
        <v>AVT0001114</v>
      </c>
      <c r="B1115" s="13" t="str">
        <f>VLOOKUP(D1115,'SUPPLIER_ITEMS (1st Tools)'!C1614:D3341,2,FALSE)</f>
        <v>1ST-358-1613</v>
      </c>
      <c r="C1115" s="14" t="s">
        <v>95</v>
      </c>
      <c r="D1115" s="18" t="s">
        <v>2945</v>
      </c>
      <c r="F1115" s="30" t="str">
        <f t="shared" si="46"/>
        <v>AV550204-3 GALV. CYCLONE WIRE 1.9mm*2"*2"*5'*4M (N.W23.28)</v>
      </c>
      <c r="I1115" s="31" t="str">
        <f>VLOOKUP(D1115,'[1]NEW PRICE LIST'!$C$4:$D$1917,2,FALSE)</f>
        <v>5ROLL/bundle</v>
      </c>
      <c r="J1115" s="13" t="s">
        <v>3984</v>
      </c>
      <c r="K1115" s="32">
        <f>VLOOKUP(D1115,'[1]NEW PRICE LIST'!$C$4:$H$1917,3,FALSE)</f>
        <v>425</v>
      </c>
      <c r="L1115" s="13">
        <v>100</v>
      </c>
      <c r="M1115" s="13">
        <v>0</v>
      </c>
      <c r="N1115" s="13">
        <v>0</v>
      </c>
    </row>
    <row r="1116" spans="1:16" ht="26.4" x14ac:dyDescent="0.25">
      <c r="A1116" s="14" t="str">
        <f t="shared" si="45"/>
        <v>AVT0001115</v>
      </c>
      <c r="B1116" s="13" t="str">
        <f>VLOOKUP(D1116,'SUPPLIER_ITEMS (1st Tools)'!C1615:D3342,2,FALSE)</f>
        <v>1ST-358-1614</v>
      </c>
      <c r="C1116" s="14" t="s">
        <v>95</v>
      </c>
      <c r="D1116" s="18" t="s">
        <v>2946</v>
      </c>
      <c r="F1116" s="30" t="str">
        <f t="shared" si="46"/>
        <v>AV550204-4 GALV. CYCLONE WIRE 1.9mm*2"*2"*6'*4M (N.W27.48)</v>
      </c>
      <c r="I1116" s="31" t="str">
        <f>VLOOKUP(D1116,'[1]NEW PRICE LIST'!$C$4:$D$1917,2,FALSE)</f>
        <v>5ROLL/bundle</v>
      </c>
      <c r="J1116" s="13" t="s">
        <v>3984</v>
      </c>
      <c r="K1116" s="32">
        <f>VLOOKUP(D1116,'[1]NEW PRICE LIST'!$C$4:$H$1917,3,FALSE)</f>
        <v>510</v>
      </c>
      <c r="L1116" s="13">
        <v>100</v>
      </c>
      <c r="M1116" s="13">
        <v>0</v>
      </c>
      <c r="N1116" s="13">
        <v>0</v>
      </c>
    </row>
    <row r="1117" spans="1:16" ht="26.4" x14ac:dyDescent="0.25">
      <c r="A1117" s="14" t="str">
        <f t="shared" si="45"/>
        <v>AVT0001116</v>
      </c>
      <c r="B1117" s="13" t="str">
        <f>VLOOKUP(D1117,'SUPPLIER_ITEMS (1st Tools)'!C1616:D3343,2,FALSE)</f>
        <v>1ST-358-1615</v>
      </c>
      <c r="C1117" s="14" t="s">
        <v>95</v>
      </c>
      <c r="D1117" s="18" t="s">
        <v>2947</v>
      </c>
      <c r="F1117" s="30" t="str">
        <f t="shared" si="46"/>
        <v>AV550204-5 GALV. CYCLONE WIRE 2.0mm*4"*4"*3'*4M (N.W8.18)</v>
      </c>
      <c r="I1117" s="31" t="str">
        <f>VLOOKUP(D1117,'[1]NEW PRICE LIST'!$C$4:$D$1917,2,FALSE)</f>
        <v>5ROLL/bundle</v>
      </c>
      <c r="J1117" s="13" t="s">
        <v>3984</v>
      </c>
      <c r="K1117" s="32">
        <f>VLOOKUP(D1117,'[1]NEW PRICE LIST'!$C$4:$H$1917,3,FALSE)</f>
        <v>165</v>
      </c>
      <c r="L1117" s="13">
        <v>100</v>
      </c>
      <c r="M1117" s="13">
        <v>0</v>
      </c>
      <c r="N1117" s="13">
        <v>0</v>
      </c>
    </row>
    <row r="1118" spans="1:16" x14ac:dyDescent="0.25">
      <c r="A1118" s="14" t="str">
        <f t="shared" si="45"/>
        <v>AVT0001117</v>
      </c>
      <c r="B1118" s="13" t="str">
        <f>VLOOKUP(D1118,'SUPPLIER_ITEMS (1st Tools)'!C1617:D3344,2,FALSE)</f>
        <v>1ST-358-1616</v>
      </c>
      <c r="C1118" s="14" t="s">
        <v>95</v>
      </c>
      <c r="D1118" s="18" t="s">
        <v>2948</v>
      </c>
      <c r="F1118" s="30" t="str">
        <f t="shared" si="46"/>
        <v>AV550204-6 GALV. CYCLONE WIRE 2.0mm*4"*4"*4'*4M (N.W11)</v>
      </c>
      <c r="I1118" s="31" t="str">
        <f>VLOOKUP(D1118,'[1]NEW PRICE LIST'!$C$4:$D$1917,2,FALSE)</f>
        <v>5ROLL/bundle</v>
      </c>
      <c r="J1118" s="13" t="s">
        <v>3984</v>
      </c>
      <c r="K1118" s="32">
        <f>VLOOKUP(D1118,'[1]NEW PRICE LIST'!$C$4:$H$1917,3,FALSE)</f>
        <v>220</v>
      </c>
      <c r="L1118" s="13">
        <v>100</v>
      </c>
      <c r="M1118" s="13">
        <v>0</v>
      </c>
      <c r="N1118" s="13">
        <v>0</v>
      </c>
    </row>
    <row r="1119" spans="1:16" ht="26.4" x14ac:dyDescent="0.25">
      <c r="A1119" s="14" t="str">
        <f t="shared" si="45"/>
        <v>AVT0001118</v>
      </c>
      <c r="B1119" s="13" t="str">
        <f>VLOOKUP(D1119,'SUPPLIER_ITEMS (1st Tools)'!C1618:D3345,2,FALSE)</f>
        <v>1ST-358-1617</v>
      </c>
      <c r="C1119" s="14" t="s">
        <v>95</v>
      </c>
      <c r="D1119" s="18" t="s">
        <v>2949</v>
      </c>
      <c r="F1119" s="30" t="str">
        <f t="shared" si="46"/>
        <v>AV550204-7 GALV. CYCLONE WIRE 2.0mm*4"*4"*5'*4m (N.W13.38)</v>
      </c>
      <c r="I1119" s="31" t="str">
        <f>VLOOKUP(D1119,'[1]NEW PRICE LIST'!$C$4:$D$1917,2,FALSE)</f>
        <v>5ROLL/bundle</v>
      </c>
      <c r="J1119" s="13" t="s">
        <v>3984</v>
      </c>
      <c r="K1119" s="32">
        <f>VLOOKUP(D1119,'[1]NEW PRICE LIST'!$C$4:$H$1917,3,FALSE)</f>
        <v>275</v>
      </c>
      <c r="L1119" s="13">
        <v>100</v>
      </c>
      <c r="M1119" s="13">
        <v>0</v>
      </c>
      <c r="N1119" s="13">
        <v>0</v>
      </c>
    </row>
    <row r="1120" spans="1:16" ht="26.4" x14ac:dyDescent="0.25">
      <c r="A1120" s="14" t="str">
        <f t="shared" si="45"/>
        <v>AVT0001119</v>
      </c>
      <c r="B1120" s="13" t="str">
        <f>VLOOKUP(D1120,'SUPPLIER_ITEMS (1st Tools)'!C1619:D3346,2,FALSE)</f>
        <v>1ST-358-1618</v>
      </c>
      <c r="C1120" s="14" t="s">
        <v>95</v>
      </c>
      <c r="D1120" s="18" t="s">
        <v>2950</v>
      </c>
      <c r="F1120" s="30" t="str">
        <f t="shared" si="46"/>
        <v>AV550204-8 GALV. CYCLONE WIRE 2.0mm*4"*4"*6'*4m (N.W15.56)</v>
      </c>
      <c r="I1120" s="31" t="str">
        <f>VLOOKUP(D1120,'[1]NEW PRICE LIST'!$C$4:$D$1917,2,FALSE)</f>
        <v>5ROLL/bundle</v>
      </c>
      <c r="J1120" s="13" t="s">
        <v>3984</v>
      </c>
      <c r="K1120" s="32">
        <f>VLOOKUP(D1120,'[1]NEW PRICE LIST'!$C$4:$H$1917,3,FALSE)</f>
        <v>330</v>
      </c>
      <c r="L1120" s="13">
        <v>100</v>
      </c>
      <c r="M1120" s="13">
        <v>0</v>
      </c>
      <c r="N1120" s="13">
        <v>0</v>
      </c>
    </row>
    <row r="1121" spans="1:16" ht="26.4" x14ac:dyDescent="0.25">
      <c r="A1121" s="14" t="str">
        <f t="shared" si="45"/>
        <v>AVT0001120</v>
      </c>
      <c r="B1121" s="13" t="str">
        <f>VLOOKUP(D1121,'SUPPLIER_ITEMS (1st Tools)'!C1620:D3347,2,FALSE)</f>
        <v>1ST-358-1619</v>
      </c>
      <c r="C1121" s="14" t="s">
        <v>94</v>
      </c>
      <c r="D1121" s="18" t="s">
        <v>3939</v>
      </c>
      <c r="F1121" s="30" t="str">
        <f t="shared" si="46"/>
        <v>AV550204-11 POLONET HOT DIPPED CYCLONE WIRE 2.75MM 2"*2"*3"*10M</v>
      </c>
      <c r="I1121" s="31" t="str">
        <f>VLOOKUP(D1121,'[1]NEW PRICE LIST'!$C$4:$D$1917,2,FALSE)</f>
        <v>1ROLL</v>
      </c>
      <c r="J1121" s="13" t="s">
        <v>299</v>
      </c>
      <c r="K1121" s="32">
        <v>1470</v>
      </c>
      <c r="L1121" s="13">
        <v>100</v>
      </c>
      <c r="M1121" s="13">
        <v>0</v>
      </c>
      <c r="N1121" s="13">
        <v>0</v>
      </c>
    </row>
    <row r="1122" spans="1:16" ht="26.4" x14ac:dyDescent="0.25">
      <c r="A1122" s="14" t="str">
        <f t="shared" si="45"/>
        <v>AVT0001121</v>
      </c>
      <c r="B1122" s="13" t="str">
        <f>VLOOKUP(D1122,'SUPPLIER_ITEMS (1st Tools)'!C1621:D3348,2,FALSE)</f>
        <v>1ST-358-1620</v>
      </c>
      <c r="C1122" s="14" t="s">
        <v>94</v>
      </c>
      <c r="D1122" s="18" t="s">
        <v>3940</v>
      </c>
      <c r="F1122" s="30" t="str">
        <f t="shared" si="46"/>
        <v>AV550204-12 POLONET HOT DIPPED CYCLONE WIRE 2.75MM 2"*2"*4"*10M</v>
      </c>
      <c r="I1122" s="31" t="str">
        <f>VLOOKUP(D1122,'[1]NEW PRICE LIST'!$C$4:$D$1917,2,FALSE)</f>
        <v>1ROLL</v>
      </c>
      <c r="J1122" s="13" t="s">
        <v>299</v>
      </c>
      <c r="K1122" s="32">
        <v>1960</v>
      </c>
      <c r="L1122" s="13">
        <v>100</v>
      </c>
      <c r="M1122" s="13">
        <v>0</v>
      </c>
      <c r="N1122" s="13">
        <v>0</v>
      </c>
    </row>
    <row r="1123" spans="1:16" ht="26.4" x14ac:dyDescent="0.25">
      <c r="A1123" s="14" t="str">
        <f t="shared" si="45"/>
        <v>AVT0001122</v>
      </c>
      <c r="B1123" s="13" t="str">
        <f>VLOOKUP(D1123,'SUPPLIER_ITEMS (1st Tools)'!C1622:D3349,2,FALSE)</f>
        <v>1ST-358-1621</v>
      </c>
      <c r="C1123" s="14" t="s">
        <v>94</v>
      </c>
      <c r="D1123" s="18" t="s">
        <v>3941</v>
      </c>
      <c r="F1123" s="30" t="str">
        <f t="shared" si="46"/>
        <v>AV550204-13 POLONET HOT DIPPED CYCLONE WIRE 2.75MM 2"*2"*5"10M</v>
      </c>
      <c r="I1123" s="31" t="str">
        <f>VLOOKUP(D1123,'[1]NEW PRICE LIST'!$C$4:$D$1917,2,FALSE)</f>
        <v>1ROLL</v>
      </c>
      <c r="J1123" s="13" t="s">
        <v>299</v>
      </c>
      <c r="K1123" s="32">
        <v>2450</v>
      </c>
      <c r="L1123" s="13">
        <v>100</v>
      </c>
      <c r="M1123" s="13">
        <v>0</v>
      </c>
      <c r="N1123" s="13">
        <v>0</v>
      </c>
    </row>
    <row r="1124" spans="1:16" ht="26.4" x14ac:dyDescent="0.25">
      <c r="A1124" s="14" t="str">
        <f t="shared" si="45"/>
        <v>AVT0001123</v>
      </c>
      <c r="B1124" s="13" t="str">
        <f>VLOOKUP(D1124,'SUPPLIER_ITEMS (1st Tools)'!C1623:D3350,2,FALSE)</f>
        <v>1ST-358-1622</v>
      </c>
      <c r="C1124" s="14" t="s">
        <v>94</v>
      </c>
      <c r="D1124" s="18" t="s">
        <v>3942</v>
      </c>
      <c r="F1124" s="30" t="str">
        <f t="shared" si="46"/>
        <v>AV550204-14 POLONET HOT DIPPED CYCLONE WIRE 2.75MM 2"*2"*6"10M</v>
      </c>
      <c r="I1124" s="31" t="str">
        <f>VLOOKUP(D1124,'[1]NEW PRICE LIST'!$C$4:$D$1917,2,FALSE)</f>
        <v>1ROLL</v>
      </c>
      <c r="J1124" s="13" t="s">
        <v>299</v>
      </c>
      <c r="K1124" s="32">
        <v>2940</v>
      </c>
      <c r="L1124" s="13">
        <v>100</v>
      </c>
      <c r="M1124" s="13">
        <v>0</v>
      </c>
      <c r="N1124" s="13">
        <v>0</v>
      </c>
    </row>
    <row r="1125" spans="1:16" x14ac:dyDescent="0.25">
      <c r="A1125" s="14" t="str">
        <f t="shared" si="45"/>
        <v>AVT0001124</v>
      </c>
      <c r="B1125" s="13" t="str">
        <f>VLOOKUP(D1125,'SUPPLIER_ITEMS (1st Tools)'!C1624:D3351,2,FALSE)</f>
        <v>1ST-358-1623</v>
      </c>
      <c r="C1125" s="14" t="s">
        <v>2040</v>
      </c>
      <c r="D1125" s="18" t="s">
        <v>2955</v>
      </c>
      <c r="F1125" s="30" t="str">
        <f t="shared" si="46"/>
        <v>AV550205-1 HOG WIRE 1M*25M*7MESH 7hole (N.W9.16)</v>
      </c>
      <c r="I1125" s="31" t="str">
        <f>VLOOKUP(D1125,'[1]NEW PRICE LIST'!$C$4:$D$1917,2,FALSE)</f>
        <v>1ROLL</v>
      </c>
      <c r="J1125" s="13" t="s">
        <v>299</v>
      </c>
      <c r="K1125" s="32">
        <f>VLOOKUP(D1125,'[1]NEW PRICE LIST'!$C$4:$H$1917,3,FALSE)</f>
        <v>880</v>
      </c>
      <c r="L1125" s="13">
        <v>100</v>
      </c>
      <c r="M1125" s="13">
        <v>0</v>
      </c>
      <c r="N1125" s="13">
        <v>0</v>
      </c>
    </row>
    <row r="1126" spans="1:16" x14ac:dyDescent="0.25">
      <c r="A1126" s="14" t="str">
        <f t="shared" si="45"/>
        <v>AVT0001125</v>
      </c>
      <c r="B1126" s="13" t="str">
        <f>VLOOKUP(D1126,'SUPPLIER_ITEMS (1st Tools)'!C1625:D3352,2,FALSE)</f>
        <v>1ST-358-1624</v>
      </c>
      <c r="C1126" s="14" t="s">
        <v>2040</v>
      </c>
      <c r="D1126" s="18" t="s">
        <v>2957</v>
      </c>
      <c r="F1126" s="30" t="str">
        <f t="shared" si="46"/>
        <v>AV550205-2 HOG WIRE 1.1M*25M*8MESH 8hole (N.W10.2)</v>
      </c>
      <c r="I1126" s="31" t="str">
        <f>VLOOKUP(D1126,'[1]NEW PRICE LIST'!$C$4:$D$1917,2,FALSE)</f>
        <v>1ROLL</v>
      </c>
      <c r="J1126" s="13" t="s">
        <v>299</v>
      </c>
      <c r="K1126" s="32">
        <f>VLOOKUP(D1126,'[1]NEW PRICE LIST'!$C$4:$H$1917,3,FALSE)</f>
        <v>950</v>
      </c>
      <c r="L1126" s="13">
        <v>100</v>
      </c>
      <c r="M1126" s="13">
        <v>0</v>
      </c>
      <c r="N1126" s="13">
        <v>0</v>
      </c>
    </row>
    <row r="1127" spans="1:16" x14ac:dyDescent="0.25">
      <c r="A1127" s="14" t="str">
        <f t="shared" si="45"/>
        <v>AVT0001126</v>
      </c>
      <c r="B1127" s="13" t="str">
        <f>VLOOKUP(D1127,'SUPPLIER_ITEMS (1st Tools)'!C1626:D3353,2,FALSE)</f>
        <v>1ST-358-1625</v>
      </c>
      <c r="C1127" s="14" t="s">
        <v>2040</v>
      </c>
      <c r="D1127" s="18" t="s">
        <v>2959</v>
      </c>
      <c r="F1127" s="30" t="str">
        <f t="shared" si="46"/>
        <v>AV550205-3 HOG WIRE 1.2M*25M*9MESH 9hole (N.W11.2)</v>
      </c>
      <c r="I1127" s="31" t="str">
        <f>VLOOKUP(D1127,'[1]NEW PRICE LIST'!$C$4:$D$1917,2,FALSE)</f>
        <v>1ROLL</v>
      </c>
      <c r="J1127" s="13" t="s">
        <v>299</v>
      </c>
      <c r="K1127" s="32">
        <f>VLOOKUP(D1127,'[1]NEW PRICE LIST'!$C$4:$H$1917,3,FALSE)</f>
        <v>1050</v>
      </c>
      <c r="L1127" s="13">
        <v>100</v>
      </c>
      <c r="M1127" s="13">
        <v>0</v>
      </c>
      <c r="N1127" s="13">
        <v>0</v>
      </c>
    </row>
    <row r="1128" spans="1:16" x14ac:dyDescent="0.25">
      <c r="A1128" s="14" t="str">
        <f t="shared" si="45"/>
        <v>AVT0001127</v>
      </c>
      <c r="B1128" s="13" t="str">
        <f>VLOOKUP(D1128,'SUPPLIER_ITEMS (1st Tools)'!C1627:D3354,2,FALSE)</f>
        <v>1ST-358-1626</v>
      </c>
      <c r="C1128" s="14" t="s">
        <v>2040</v>
      </c>
      <c r="D1128" s="18" t="s">
        <v>2961</v>
      </c>
      <c r="F1128" s="30" t="str">
        <f t="shared" si="46"/>
        <v>AV550205-4 HOG WIRE 1.4M*25M*10MESH 10hole (N.W12.7)</v>
      </c>
      <c r="I1128" s="31" t="str">
        <f>VLOOKUP(D1128,'[1]NEW PRICE LIST'!$C$4:$D$1917,2,FALSE)</f>
        <v>1ROLL</v>
      </c>
      <c r="J1128" s="13" t="s">
        <v>299</v>
      </c>
      <c r="K1128" s="32">
        <f>VLOOKUP(D1128,'[1]NEW PRICE LIST'!$C$4:$H$1917,3,FALSE)</f>
        <v>1250</v>
      </c>
      <c r="L1128" s="13">
        <v>100</v>
      </c>
      <c r="M1128" s="13">
        <v>0</v>
      </c>
      <c r="N1128" s="13">
        <v>0</v>
      </c>
    </row>
    <row r="1129" spans="1:16" x14ac:dyDescent="0.25">
      <c r="A1129" s="14" t="str">
        <f t="shared" si="45"/>
        <v>AVT0001128</v>
      </c>
      <c r="B1129" s="13" t="str">
        <f>VLOOKUP(D1129,'SUPPLIER_ITEMS (1st Tools)'!C1628:D3355,2,FALSE)</f>
        <v>1ST-358-1627</v>
      </c>
      <c r="C1129" s="14" t="s">
        <v>3415</v>
      </c>
      <c r="D1129" s="18" t="s">
        <v>3943</v>
      </c>
      <c r="F1129" s="30" t="str">
        <f t="shared" si="46"/>
        <v>AV550206-1 HARDWARE CLOTH 1/8"*8目*8目*3'*9m</v>
      </c>
      <c r="I1129" s="31" t="str">
        <f>VLOOKUP(D1129,'[1]NEW PRICE LIST'!$C$4:$D$1917,2,FALSE)</f>
        <v>1ROLL</v>
      </c>
      <c r="J1129" s="13" t="s">
        <v>299</v>
      </c>
      <c r="K1129" s="32">
        <f>VLOOKUP(D1129,'[1]NEW PRICE LIST'!$C$4:$H$1917,3,FALSE)</f>
        <v>550</v>
      </c>
      <c r="L1129" s="13">
        <v>100</v>
      </c>
      <c r="M1129" s="13">
        <v>0</v>
      </c>
      <c r="N1129" s="13">
        <v>0</v>
      </c>
    </row>
    <row r="1130" spans="1:16" ht="26.4" x14ac:dyDescent="0.25">
      <c r="A1130" s="14" t="str">
        <f t="shared" si="45"/>
        <v>AVT0001129</v>
      </c>
      <c r="B1130" s="13" t="str">
        <f>VLOOKUP(D1130,'SUPPLIER_ITEMS (1st Tools)'!C1630:D3357,2,FALSE)</f>
        <v>1ST-358-1629</v>
      </c>
      <c r="C1130" s="14" t="s">
        <v>93</v>
      </c>
      <c r="D1130" s="18" t="s">
        <v>3945</v>
      </c>
      <c r="F1130" s="30" t="str">
        <f t="shared" si="46"/>
        <v>AV550207-1 (LT55022-1) ROUND BAND RING BTO-22 COMBAT WIRE W/CLIP</v>
      </c>
      <c r="I1130" s="31" t="str">
        <f>VLOOKUP(D1130,'[1]NEW PRICE LIST'!$C$4:$D$1917,2,FALSE)</f>
        <v>1 ROLL</v>
      </c>
      <c r="J1130" s="13" t="s">
        <v>299</v>
      </c>
      <c r="K1130" s="32">
        <f>VLOOKUP(D1130,'[1]NEW PRICE LIST'!$C$4:$H$1917,3,FALSE)</f>
        <v>480</v>
      </c>
      <c r="L1130" s="13">
        <v>100</v>
      </c>
      <c r="M1130" s="13">
        <v>0</v>
      </c>
      <c r="N1130" s="13">
        <v>0</v>
      </c>
    </row>
    <row r="1131" spans="1:16" ht="26.4" x14ac:dyDescent="0.25">
      <c r="A1131" s="14" t="str">
        <f t="shared" si="45"/>
        <v>AVT0001130</v>
      </c>
      <c r="B1131" s="13" t="str">
        <f>VLOOKUP(D1131,'SUPPLIER_ITEMS (1st Tools)'!C1631:D3358,2,FALSE)</f>
        <v>1ST-358-1630</v>
      </c>
      <c r="C1131" s="14" t="s">
        <v>93</v>
      </c>
      <c r="D1131" s="18" t="s">
        <v>3538</v>
      </c>
      <c r="F1131" s="30" t="str">
        <f t="shared" si="46"/>
        <v>AV550207-2 (LT55022-2) HALF ROUND WITHOUT RING BTO-22 COMBAT WIRE W/O CLIP</v>
      </c>
      <c r="I1131" s="31" t="str">
        <f>VLOOKUP(D1131,'[1]NEW PRICE LIST'!$C$4:$D$1917,2,FALSE)</f>
        <v>1 ROLL</v>
      </c>
      <c r="J1131" s="13" t="s">
        <v>299</v>
      </c>
      <c r="K1131" s="32">
        <f>VLOOKUP(D1131,'[1]NEW PRICE LIST'!$C$4:$H$1917,3,FALSE)</f>
        <v>520</v>
      </c>
      <c r="L1131" s="13">
        <v>100</v>
      </c>
      <c r="M1131" s="13">
        <v>0</v>
      </c>
      <c r="N1131" s="13">
        <v>0</v>
      </c>
    </row>
    <row r="1132" spans="1:16" x14ac:dyDescent="0.25">
      <c r="A1132" s="14" t="str">
        <f t="shared" si="45"/>
        <v>AVT0001131</v>
      </c>
      <c r="B1132" s="13" t="str">
        <f>VLOOKUP(D1132,'SUPPLIER_ITEMS (1st Tools)'!C1632:D3359,2,FALSE)</f>
        <v>1ST-358-1631</v>
      </c>
      <c r="C1132" s="14" t="s">
        <v>92</v>
      </c>
      <c r="D1132" s="19" t="s">
        <v>3539</v>
      </c>
      <c r="F1132" s="30" t="str">
        <f t="shared" si="46"/>
        <v>AV550208-1 POLOLOCK EXPANDED WIRE 3FT (N.W5.7)</v>
      </c>
      <c r="I1132" s="31" t="str">
        <f>VLOOKUP(D1132,'[1]NEW PRICE LIST'!$C$4:$D$1917,2,FALSE)</f>
        <v>1ROLL</v>
      </c>
      <c r="J1132" s="13" t="s">
        <v>299</v>
      </c>
      <c r="K1132" s="32">
        <f>VLOOKUP(D1132,'[1]NEW PRICE LIST'!$C$4:$H$1917,3,FALSE)</f>
        <v>2440</v>
      </c>
      <c r="L1132" s="13">
        <v>100</v>
      </c>
      <c r="M1132" s="13">
        <v>0</v>
      </c>
      <c r="N1132" s="13">
        <v>0</v>
      </c>
    </row>
    <row r="1133" spans="1:16" x14ac:dyDescent="0.25">
      <c r="A1133" s="14" t="str">
        <f t="shared" si="45"/>
        <v>AVT0001132</v>
      </c>
      <c r="B1133" s="13" t="str">
        <f>VLOOKUP(D1133,'SUPPLIER_ITEMS (1st Tools)'!C1633:D3360,2,FALSE)</f>
        <v>1ST-358-1632</v>
      </c>
      <c r="C1133" s="14" t="s">
        <v>92</v>
      </c>
      <c r="D1133" s="19" t="s">
        <v>3541</v>
      </c>
      <c r="F1133" s="30" t="str">
        <f t="shared" si="46"/>
        <v>AV550208-2 POLOLOCK EXPANDED WIRE 4FT (N.W7.6)</v>
      </c>
      <c r="I1133" s="31" t="str">
        <f>VLOOKUP(D1133,'[1]NEW PRICE LIST'!$C$4:$D$1917,2,FALSE)</f>
        <v>1 ROLL</v>
      </c>
      <c r="J1133" s="13" t="s">
        <v>299</v>
      </c>
      <c r="K1133" s="32">
        <f>VLOOKUP(D1133,'[1]NEW PRICE LIST'!$C$4:$H$1917,3,FALSE)</f>
        <v>2880</v>
      </c>
      <c r="L1133" s="13">
        <v>100</v>
      </c>
      <c r="M1133" s="13">
        <v>0</v>
      </c>
      <c r="N1133" s="13">
        <v>0</v>
      </c>
    </row>
    <row r="1134" spans="1:16" x14ac:dyDescent="0.25">
      <c r="A1134" s="14" t="str">
        <f t="shared" si="45"/>
        <v>AVT0001133</v>
      </c>
      <c r="B1134" s="13" t="str">
        <f>VLOOKUP(D1134,'SUPPLIER_ITEMS (1st Tools)'!C1634:D3361,2,FALSE)</f>
        <v>1ST-358-1633</v>
      </c>
      <c r="C1134" s="14" t="s">
        <v>91</v>
      </c>
      <c r="D1134" s="18" t="s">
        <v>3946</v>
      </c>
      <c r="F1134" s="30" t="str">
        <f t="shared" si="46"/>
        <v>AV550209-1 ALUMINUM SCREEN 3FT</v>
      </c>
      <c r="I1134" s="31" t="str">
        <f>VLOOKUP(D1134,'[1]NEW PRICE LIST'!$C$4:$D$1917,2,FALSE)</f>
        <v>1ROLL</v>
      </c>
      <c r="J1134" s="13" t="s">
        <v>299</v>
      </c>
      <c r="K1134" s="32">
        <f>VLOOKUP(D1134,'[1]NEW PRICE LIST'!$C$4:$H$1917,3,FALSE)</f>
        <v>3000</v>
      </c>
      <c r="L1134" s="13">
        <v>100</v>
      </c>
      <c r="M1134" s="13">
        <v>0</v>
      </c>
      <c r="N1134" s="13">
        <v>15</v>
      </c>
      <c r="P1134" s="13" t="s">
        <v>3963</v>
      </c>
    </row>
    <row r="1135" spans="1:16" x14ac:dyDescent="0.25">
      <c r="A1135" s="14" t="str">
        <f t="shared" si="45"/>
        <v>AVT0001134</v>
      </c>
      <c r="B1135" s="13" t="str">
        <f>VLOOKUP(D1135,'SUPPLIER_ITEMS (1st Tools)'!C1635:D3362,2,FALSE)</f>
        <v>1ST-358-1634</v>
      </c>
      <c r="C1135" s="14" t="s">
        <v>91</v>
      </c>
      <c r="D1135" s="18" t="s">
        <v>3947</v>
      </c>
      <c r="F1135" s="30" t="str">
        <f t="shared" si="46"/>
        <v>AV550209-2 ALUMINUM SCREEN 4FT</v>
      </c>
      <c r="I1135" s="31" t="str">
        <f>VLOOKUP(D1135,'[1]NEW PRICE LIST'!$C$4:$D$1917,2,FALSE)</f>
        <v>1 ROLL</v>
      </c>
      <c r="J1135" s="13" t="s">
        <v>299</v>
      </c>
      <c r="K1135" s="32">
        <f>VLOOKUP(D1135,'[1]NEW PRICE LIST'!$C$4:$H$1917,3,FALSE)</f>
        <v>4000</v>
      </c>
      <c r="L1135" s="13">
        <v>100</v>
      </c>
      <c r="M1135" s="13">
        <v>0</v>
      </c>
      <c r="N1135" s="13">
        <v>15</v>
      </c>
      <c r="P1135" s="13" t="s">
        <v>3963</v>
      </c>
    </row>
    <row r="1136" spans="1:16" x14ac:dyDescent="0.25">
      <c r="A1136" s="14" t="str">
        <f t="shared" si="45"/>
        <v>AVT0001135</v>
      </c>
      <c r="B1136" s="13" t="str">
        <f>VLOOKUP(D1136,'SUPPLIER_ITEMS (1st Tools)'!C1641:D3368,2,FALSE)</f>
        <v>1ST-358-1640</v>
      </c>
      <c r="C1136" s="14" t="s">
        <v>88</v>
      </c>
      <c r="D1136" s="19" t="s">
        <v>3441</v>
      </c>
      <c r="F1136" s="30" t="str">
        <f t="shared" si="46"/>
        <v>AVASTECH-1 POLOLOCK THYLENE SCREEN 1/8X3</v>
      </c>
      <c r="I1136" s="31" t="str">
        <f>VLOOKUP(D1136,'[1]NEW PRICE LIST'!$C$4:$D$1917,2,FALSE)</f>
        <v>1 ROLL</v>
      </c>
      <c r="J1136" s="13" t="s">
        <v>299</v>
      </c>
      <c r="K1136" s="32">
        <f>VLOOKUP(D1136,'[1]NEW PRICE LIST'!$C$4:$H$1917,3,FALSE)</f>
        <v>2260</v>
      </c>
      <c r="L1136" s="13">
        <v>100</v>
      </c>
      <c r="M1136" s="13">
        <v>0</v>
      </c>
      <c r="N1136" s="13">
        <v>35</v>
      </c>
      <c r="P1136" s="13" t="s">
        <v>3964</v>
      </c>
    </row>
    <row r="1137" spans="1:16" x14ac:dyDescent="0.25">
      <c r="A1137" s="14" t="str">
        <f t="shared" si="45"/>
        <v>AVT0001136</v>
      </c>
      <c r="B1137" s="13" t="str">
        <f>VLOOKUP(D1137,'SUPPLIER_ITEMS (1st Tools)'!C1642:D3369,2,FALSE)</f>
        <v>1ST-358-1641</v>
      </c>
      <c r="C1137" s="14" t="s">
        <v>88</v>
      </c>
      <c r="D1137" s="19" t="s">
        <v>3443</v>
      </c>
      <c r="F1137" s="30" t="str">
        <f t="shared" si="46"/>
        <v>AVASTECH-2 POLOLOCK THYLENE SCREEN 1/8X4</v>
      </c>
      <c r="I1137" s="31" t="str">
        <f>VLOOKUP(D1137,'[1]NEW PRICE LIST'!$C$4:$D$1917,2,FALSE)</f>
        <v>1 ROLL</v>
      </c>
      <c r="J1137" s="13" t="s">
        <v>299</v>
      </c>
      <c r="K1137" s="32">
        <f>VLOOKUP(D1137,'[1]NEW PRICE LIST'!$C$4:$H$1917,3,FALSE)</f>
        <v>3160</v>
      </c>
      <c r="L1137" s="13">
        <v>100</v>
      </c>
      <c r="M1137" s="13">
        <v>0</v>
      </c>
      <c r="N1137" s="13">
        <v>35</v>
      </c>
      <c r="P1137" s="13" t="s">
        <v>3964</v>
      </c>
    </row>
    <row r="1138" spans="1:16" x14ac:dyDescent="0.25">
      <c r="A1138" s="14" t="str">
        <f t="shared" si="45"/>
        <v>AVT0001137</v>
      </c>
      <c r="B1138" s="13" t="str">
        <f>VLOOKUP(D1138,'SUPPLIER_ITEMS (1st Tools)'!C1643:D3370,2,FALSE)</f>
        <v>1ST-358-1642</v>
      </c>
      <c r="C1138" s="14" t="s">
        <v>88</v>
      </c>
      <c r="D1138" s="19" t="s">
        <v>3445</v>
      </c>
      <c r="F1138" s="30" t="str">
        <f t="shared" si="46"/>
        <v>AVASTECH-3 POLOLOCK THYLENE SCREEN 1/4X3</v>
      </c>
      <c r="I1138" s="31" t="str">
        <f>VLOOKUP(D1138,'[1]NEW PRICE LIST'!$C$4:$D$1917,2,FALSE)</f>
        <v>1 ROLL</v>
      </c>
      <c r="J1138" s="13" t="s">
        <v>299</v>
      </c>
      <c r="K1138" s="32">
        <f>VLOOKUP(D1138,'[1]NEW PRICE LIST'!$C$4:$H$1917,3,FALSE)</f>
        <v>2170</v>
      </c>
      <c r="L1138" s="13">
        <v>100</v>
      </c>
      <c r="M1138" s="13">
        <v>0</v>
      </c>
      <c r="N1138" s="13">
        <v>35</v>
      </c>
      <c r="P1138" s="13" t="s">
        <v>3964</v>
      </c>
    </row>
    <row r="1139" spans="1:16" x14ac:dyDescent="0.25">
      <c r="A1139" s="14" t="str">
        <f t="shared" si="45"/>
        <v>AVT0001138</v>
      </c>
      <c r="B1139" s="13" t="str">
        <f>VLOOKUP(D1139,'SUPPLIER_ITEMS (1st Tools)'!C1644:D3371,2,FALSE)</f>
        <v>1ST-358-1643</v>
      </c>
      <c r="C1139" s="14" t="s">
        <v>88</v>
      </c>
      <c r="D1139" s="19" t="s">
        <v>3446</v>
      </c>
      <c r="F1139" s="30" t="str">
        <f t="shared" si="46"/>
        <v>AVASTECH-4 POLOLOCK THYLENE SCREEN 1/4X4</v>
      </c>
      <c r="I1139" s="31" t="str">
        <f>VLOOKUP(D1139,'[1]NEW PRICE LIST'!$C$4:$D$1917,2,FALSE)</f>
        <v>1 ROLL</v>
      </c>
      <c r="J1139" s="13" t="s">
        <v>299</v>
      </c>
      <c r="K1139" s="32">
        <f>VLOOKUP(D1139,'[1]NEW PRICE LIST'!$C$4:$H$1917,3,FALSE)</f>
        <v>3160</v>
      </c>
      <c r="L1139" s="13">
        <v>100</v>
      </c>
      <c r="M1139" s="13">
        <v>0</v>
      </c>
      <c r="N1139" s="13">
        <v>35</v>
      </c>
      <c r="P1139" s="13" t="s">
        <v>3964</v>
      </c>
    </row>
    <row r="1140" spans="1:16" x14ac:dyDescent="0.25">
      <c r="A1140" s="14" t="str">
        <f t="shared" si="45"/>
        <v>AVT0001139</v>
      </c>
      <c r="B1140" s="13" t="str">
        <f>VLOOKUP(D1140,'SUPPLIER_ITEMS (1st Tools)'!C1645:D3372,2,FALSE)</f>
        <v>1ST-358-1644</v>
      </c>
      <c r="C1140" s="14" t="s">
        <v>88</v>
      </c>
      <c r="D1140" s="19" t="s">
        <v>3447</v>
      </c>
      <c r="F1140" s="30" t="str">
        <f t="shared" si="46"/>
        <v>AVASTECH-5 POLOLOCK THYLENE SCREEN 3/8X3</v>
      </c>
      <c r="I1140" s="31" t="str">
        <f>VLOOKUP(D1140,'[1]NEW PRICE LIST'!$C$4:$D$1917,2,FALSE)</f>
        <v>1 ROLL</v>
      </c>
      <c r="J1140" s="13" t="s">
        <v>299</v>
      </c>
      <c r="K1140" s="32">
        <f>VLOOKUP(D1140,'[1]NEW PRICE LIST'!$C$4:$H$1917,3,FALSE)</f>
        <v>3055</v>
      </c>
      <c r="L1140" s="13">
        <v>100</v>
      </c>
      <c r="M1140" s="13">
        <v>0</v>
      </c>
      <c r="N1140" s="13">
        <v>35</v>
      </c>
      <c r="P1140" s="13" t="s">
        <v>3964</v>
      </c>
    </row>
    <row r="1141" spans="1:16" x14ac:dyDescent="0.25">
      <c r="A1141" s="14" t="str">
        <f t="shared" si="45"/>
        <v>AVT0001140</v>
      </c>
      <c r="B1141" s="13" t="str">
        <f>VLOOKUP(D1141,'SUPPLIER_ITEMS (1st Tools)'!C1646:D3373,2,FALSE)</f>
        <v>1ST-358-1645</v>
      </c>
      <c r="C1141" s="14" t="s">
        <v>88</v>
      </c>
      <c r="D1141" s="19" t="s">
        <v>3449</v>
      </c>
      <c r="F1141" s="30" t="str">
        <f t="shared" si="46"/>
        <v>AVASTECH-6 POLOLOCK THYLENE SCREEN 3/8X4</v>
      </c>
      <c r="I1141" s="31" t="str">
        <f>VLOOKUP(D1141,'[1]NEW PRICE LIST'!$C$4:$D$1917,2,FALSE)</f>
        <v>1 ROLL</v>
      </c>
      <c r="J1141" s="13" t="s">
        <v>299</v>
      </c>
      <c r="K1141" s="32">
        <f>VLOOKUP(D1141,'[1]NEW PRICE LIST'!$C$4:$H$1917,3,FALSE)</f>
        <v>3990</v>
      </c>
      <c r="L1141" s="13">
        <v>100</v>
      </c>
      <c r="M1141" s="13">
        <v>0</v>
      </c>
      <c r="N1141" s="13">
        <v>35</v>
      </c>
      <c r="P1141" s="13" t="s">
        <v>3964</v>
      </c>
    </row>
    <row r="1142" spans="1:16" x14ac:dyDescent="0.25">
      <c r="A1142" s="14" t="str">
        <f t="shared" si="45"/>
        <v>AVT0001141</v>
      </c>
      <c r="B1142" s="13" t="str">
        <f>VLOOKUP(D1142,'SUPPLIER_ITEMS (1st Tools)'!C1647:D3374,2,FALSE)</f>
        <v>1ST-358-1646</v>
      </c>
      <c r="C1142" s="14" t="s">
        <v>88</v>
      </c>
      <c r="D1142" s="19" t="s">
        <v>3451</v>
      </c>
      <c r="F1142" s="30" t="str">
        <f t="shared" si="46"/>
        <v>AVASTECH-7 POLOLOCK THYLENE SCREEN 1/2X3</v>
      </c>
      <c r="I1142" s="31" t="str">
        <f>VLOOKUP(D1142,'[1]NEW PRICE LIST'!$C$4:$D$1917,2,FALSE)</f>
        <v>1 ROLL</v>
      </c>
      <c r="J1142" s="13" t="s">
        <v>299</v>
      </c>
      <c r="K1142" s="32">
        <f>VLOOKUP(D1142,'[1]NEW PRICE LIST'!$C$4:$H$1917,3,FALSE)</f>
        <v>3315</v>
      </c>
      <c r="L1142" s="13">
        <v>100</v>
      </c>
      <c r="M1142" s="13">
        <v>0</v>
      </c>
      <c r="N1142" s="13">
        <v>35</v>
      </c>
      <c r="P1142" s="13" t="s">
        <v>3964</v>
      </c>
    </row>
    <row r="1143" spans="1:16" x14ac:dyDescent="0.25">
      <c r="A1143" s="14" t="str">
        <f t="shared" si="45"/>
        <v>AVT0001142</v>
      </c>
      <c r="B1143" s="13" t="str">
        <f>VLOOKUP(D1143,'SUPPLIER_ITEMS (1st Tools)'!C1648:D3375,2,FALSE)</f>
        <v>1ST-358-1647</v>
      </c>
      <c r="C1143" s="14" t="s">
        <v>88</v>
      </c>
      <c r="D1143" s="19" t="s">
        <v>3452</v>
      </c>
      <c r="F1143" s="30" t="str">
        <f t="shared" si="46"/>
        <v>AVASTECH-8 POLOLOCK THYLENE SCREEN 1/2X4</v>
      </c>
      <c r="I1143" s="31" t="str">
        <f>VLOOKUP(D1143,'[1]NEW PRICE LIST'!$C$4:$D$1917,2,FALSE)</f>
        <v>1 ROLL</v>
      </c>
      <c r="J1143" s="13" t="s">
        <v>299</v>
      </c>
      <c r="K1143" s="32">
        <f>VLOOKUP(D1143,'[1]NEW PRICE LIST'!$C$4:$H$1917,3,FALSE)</f>
        <v>4400</v>
      </c>
      <c r="L1143" s="13">
        <v>100</v>
      </c>
      <c r="M1143" s="13">
        <v>0</v>
      </c>
      <c r="N1143" s="13">
        <v>35</v>
      </c>
      <c r="P1143" s="13" t="s">
        <v>3964</v>
      </c>
    </row>
    <row r="1144" spans="1:16" x14ac:dyDescent="0.25">
      <c r="A1144" s="14" t="str">
        <f t="shared" si="45"/>
        <v>AVT0001143</v>
      </c>
      <c r="B1144" s="13" t="str">
        <f>VLOOKUP(D1144,'SUPPLIER_ITEMS (1st Tools)'!C1649:D3376,2,FALSE)</f>
        <v>1ST-358-1648</v>
      </c>
      <c r="C1144" s="14" t="s">
        <v>88</v>
      </c>
      <c r="D1144" s="19" t="s">
        <v>3454</v>
      </c>
      <c r="F1144" s="30" t="str">
        <f t="shared" si="46"/>
        <v>AVASTECH-9 POLOLOCK THYLENE SCREEN 1X3</v>
      </c>
      <c r="I1144" s="31" t="str">
        <f>VLOOKUP(D1144,'[1]NEW PRICE LIST'!$C$4:$D$1917,2,FALSE)</f>
        <v>1 ROLL</v>
      </c>
      <c r="J1144" s="13" t="s">
        <v>299</v>
      </c>
      <c r="K1144" s="32">
        <f>VLOOKUP(D1144,'[1]NEW PRICE LIST'!$C$4:$H$1917,3,FALSE)</f>
        <v>3315</v>
      </c>
      <c r="L1144" s="13">
        <v>100</v>
      </c>
      <c r="M1144" s="13">
        <v>0</v>
      </c>
      <c r="N1144" s="13">
        <v>35</v>
      </c>
      <c r="P1144" s="13" t="s">
        <v>3964</v>
      </c>
    </row>
    <row r="1145" spans="1:16" x14ac:dyDescent="0.25">
      <c r="A1145" s="14" t="str">
        <f t="shared" si="45"/>
        <v>AVT0001144</v>
      </c>
      <c r="B1145" s="13" t="str">
        <f>VLOOKUP(D1145,'SUPPLIER_ITEMS (1st Tools)'!C1650:D3377,2,FALSE)</f>
        <v>1ST-358-1649</v>
      </c>
      <c r="C1145" s="14" t="s">
        <v>88</v>
      </c>
      <c r="D1145" s="19" t="s">
        <v>3456</v>
      </c>
      <c r="F1145" s="30" t="str">
        <f t="shared" si="46"/>
        <v>AVASTECH-10 POLOLOCK THYLENE SCREEN 3/4X3</v>
      </c>
      <c r="I1145" s="31" t="str">
        <f>VLOOKUP(D1145,'[1]NEW PRICE LIST'!$C$4:$D$1917,2,FALSE)</f>
        <v>1 ROLL</v>
      </c>
      <c r="J1145" s="13" t="s">
        <v>299</v>
      </c>
      <c r="K1145" s="32">
        <f>VLOOKUP(D1145,'[1]NEW PRICE LIST'!$C$4:$H$1917,3,FALSE)</f>
        <v>3180</v>
      </c>
      <c r="L1145" s="13">
        <v>100</v>
      </c>
      <c r="M1145" s="13">
        <v>0</v>
      </c>
      <c r="N1145" s="13">
        <v>35</v>
      </c>
      <c r="P1145" s="13" t="s">
        <v>3964</v>
      </c>
    </row>
    <row r="1146" spans="1:16" x14ac:dyDescent="0.25">
      <c r="A1146" s="14" t="str">
        <f t="shared" si="45"/>
        <v>AVT0001145</v>
      </c>
      <c r="B1146" s="13" t="str">
        <f>VLOOKUP(D1146,'SUPPLIER_ITEMS (1st Tools)'!C1651:D3378,2,FALSE)</f>
        <v>1ST-358-1650</v>
      </c>
      <c r="C1146" s="14" t="s">
        <v>88</v>
      </c>
      <c r="D1146" s="19" t="s">
        <v>3458</v>
      </c>
      <c r="F1146" s="30" t="str">
        <f t="shared" si="46"/>
        <v>AVASTECH-11 POLOLOCK THYLENE SCREEN 3/4X4</v>
      </c>
      <c r="I1146" s="31" t="str">
        <f>VLOOKUP(D1146,'[1]NEW PRICE LIST'!$C$4:$D$1917,2,FALSE)</f>
        <v>1 ROLL</v>
      </c>
      <c r="J1146" s="13" t="s">
        <v>299</v>
      </c>
      <c r="K1146" s="32">
        <f>VLOOKUP(D1146,'[1]NEW PRICE LIST'!$C$4:$H$1917,3,FALSE)</f>
        <v>4400</v>
      </c>
      <c r="L1146" s="13">
        <v>100</v>
      </c>
      <c r="M1146" s="13">
        <v>0</v>
      </c>
      <c r="N1146" s="13">
        <v>35</v>
      </c>
      <c r="P1146" s="13" t="s">
        <v>3964</v>
      </c>
    </row>
    <row r="1147" spans="1:16" x14ac:dyDescent="0.25">
      <c r="A1147" s="14" t="str">
        <f t="shared" si="45"/>
        <v>AVT0001146</v>
      </c>
      <c r="B1147" s="13" t="str">
        <f>VLOOKUP(D1147,'SUPPLIER_ITEMS (1st Tools)'!C1652:D3379,2,FALSE)</f>
        <v>1ST-358-1651</v>
      </c>
      <c r="C1147" s="14" t="s">
        <v>88</v>
      </c>
      <c r="D1147" s="19" t="s">
        <v>3460</v>
      </c>
      <c r="F1147" s="30" t="str">
        <f t="shared" si="46"/>
        <v>AVASTECH-12 POLOLOCK THYLENE SCREEN 1X4</v>
      </c>
      <c r="I1147" s="31" t="str">
        <f>VLOOKUP(D1147,'[1]NEW PRICE LIST'!$C$4:$D$1917,2,FALSE)</f>
        <v>1 ROLL</v>
      </c>
      <c r="J1147" s="13" t="s">
        <v>299</v>
      </c>
      <c r="K1147" s="32">
        <f>VLOOKUP(D1147,'[1]NEW PRICE LIST'!$C$4:$H$1917,3,FALSE)</f>
        <v>4505</v>
      </c>
      <c r="L1147" s="13">
        <v>100</v>
      </c>
      <c r="M1147" s="13">
        <v>0</v>
      </c>
      <c r="N1147" s="13">
        <v>35</v>
      </c>
      <c r="P1147" s="13" t="s">
        <v>3964</v>
      </c>
    </row>
    <row r="1148" spans="1:16" x14ac:dyDescent="0.25">
      <c r="A1148" s="14" t="str">
        <f t="shared" si="45"/>
        <v>AVT0001147</v>
      </c>
      <c r="B1148" s="13" t="str">
        <f>VLOOKUP(D1148,'SUPPLIER_ITEMS (1st Tools)'!C1653:D3380,2,FALSE)</f>
        <v>1ST-358-1652</v>
      </c>
      <c r="C1148" s="14" t="s">
        <v>87</v>
      </c>
      <c r="D1148" s="19" t="s">
        <v>3462</v>
      </c>
      <c r="F1148" s="30" t="str">
        <f t="shared" si="46"/>
        <v>AV55190 POLONET #6*500M SERVICE DROP WIRE</v>
      </c>
      <c r="I1148" s="31" t="str">
        <f>VLOOKUP(D1148,'[1]NEW PRICE LIST'!$C$4:$D$1917,2,FALSE)</f>
        <v>1ROLL</v>
      </c>
      <c r="J1148" s="13" t="s">
        <v>299</v>
      </c>
      <c r="K1148" s="32">
        <f>VLOOKUP(D1148,'[1]NEW PRICE LIST'!$C$4:$H$1917,3,FALSE)</f>
        <v>11000</v>
      </c>
      <c r="L1148" s="13">
        <v>100</v>
      </c>
      <c r="M1148" s="13">
        <v>0</v>
      </c>
      <c r="N1148" s="13">
        <v>0</v>
      </c>
    </row>
    <row r="1149" spans="1:16" x14ac:dyDescent="0.25">
      <c r="A1149" s="14" t="str">
        <f t="shared" si="45"/>
        <v>AVT0001148</v>
      </c>
      <c r="B1149" s="13" t="str">
        <f>VLOOKUP(D1149,'SUPPLIER_ITEMS (1st Tools)'!C1655:D3382,2,FALSE)</f>
        <v>1ST-358-1654</v>
      </c>
      <c r="C1149" s="14" t="s">
        <v>86</v>
      </c>
      <c r="D1149" s="18" t="s">
        <v>3546</v>
      </c>
      <c r="F1149" s="30" t="str">
        <f t="shared" si="46"/>
        <v>AV55030-1 ANNEALED WIRE #16</v>
      </c>
      <c r="I1149" s="31" t="str">
        <f>VLOOKUP(D1149,'[1]NEW PRICE LIST'!$C$4:$D$1917,2,FALSE)</f>
        <v>20KG/ROLL</v>
      </c>
      <c r="J1149" s="13" t="s">
        <v>3985</v>
      </c>
      <c r="K1149" s="32">
        <f>VLOOKUP(D1149,'[1]NEW PRICE LIST'!$C$4:$H$1917,3,FALSE)</f>
        <v>1150</v>
      </c>
      <c r="L1149" s="13">
        <v>100</v>
      </c>
      <c r="M1149" s="13">
        <v>0</v>
      </c>
      <c r="N1149" s="13">
        <v>0</v>
      </c>
    </row>
    <row r="1150" spans="1:16" x14ac:dyDescent="0.25">
      <c r="A1150" s="14" t="str">
        <f t="shared" si="45"/>
        <v>AVT0001149</v>
      </c>
      <c r="B1150" s="13" t="str">
        <f>VLOOKUP(D1150,'SUPPLIER_ITEMS (1st Tools)'!C1656:D3383,2,FALSE)</f>
        <v>1ST-358-1655</v>
      </c>
      <c r="C1150" s="14" t="s">
        <v>86</v>
      </c>
      <c r="D1150" s="18" t="s">
        <v>3547</v>
      </c>
      <c r="F1150" s="30" t="str">
        <f t="shared" si="46"/>
        <v>AV55030-2 ANNEALED WIRE #18</v>
      </c>
      <c r="I1150" s="31" t="str">
        <f>VLOOKUP(D1150,'[1]NEW PRICE LIST'!$C$4:$D$1917,2,FALSE)</f>
        <v>20KG/ROLL</v>
      </c>
      <c r="J1150" s="13" t="s">
        <v>3985</v>
      </c>
      <c r="K1150" s="32">
        <f>VLOOKUP(D1150,'[1]NEW PRICE LIST'!$C$4:$H$1917,3,FALSE)</f>
        <v>1250</v>
      </c>
      <c r="L1150" s="13">
        <v>100</v>
      </c>
      <c r="M1150" s="13">
        <v>0</v>
      </c>
      <c r="N1150" s="13">
        <v>0</v>
      </c>
    </row>
    <row r="1151" spans="1:16" x14ac:dyDescent="0.25">
      <c r="A1151" s="14" t="str">
        <f t="shared" si="45"/>
        <v>AVT0001150</v>
      </c>
      <c r="B1151" s="13" t="str">
        <f>VLOOKUP(D1151,'SUPPLIER_ITEMS (1st Tools)'!C1657:D3384,2,FALSE)</f>
        <v>1ST-358-1656</v>
      </c>
      <c r="C1151" s="14" t="s">
        <v>85</v>
      </c>
      <c r="D1151" s="19" t="s">
        <v>3466</v>
      </c>
      <c r="F1151" s="30" t="str">
        <f t="shared" si="46"/>
        <v>AV55101-1 GOLD ALUMINUM STAIR NOSING</v>
      </c>
      <c r="I1151" s="31" t="str">
        <f>VLOOKUP(D1151,'[1]NEW PRICE LIST'!$C$4:$D$1917,2,FALSE)</f>
        <v>20PCS/CTN</v>
      </c>
      <c r="J1151" s="13" t="s">
        <v>300</v>
      </c>
      <c r="K1151" s="32">
        <f>VLOOKUP(D1151,'[1]NEW PRICE LIST'!$C$4:$H$1917,3,FALSE)</f>
        <v>400</v>
      </c>
      <c r="L1151" s="13">
        <v>100</v>
      </c>
      <c r="M1151" s="13">
        <v>0</v>
      </c>
      <c r="N1151" s="13">
        <v>0</v>
      </c>
    </row>
    <row r="1152" spans="1:16" x14ac:dyDescent="0.25">
      <c r="A1152" s="14" t="str">
        <f t="shared" si="45"/>
        <v>AVT0001151</v>
      </c>
      <c r="B1152" s="13" t="str">
        <f>VLOOKUP(D1152,'SUPPLIER_ITEMS (1st Tools)'!C1658:D3385,2,FALSE)</f>
        <v>1ST-358-1657</v>
      </c>
      <c r="C1152" s="14" t="s">
        <v>85</v>
      </c>
      <c r="D1152" s="19" t="s">
        <v>3467</v>
      </c>
      <c r="F1152" s="30" t="str">
        <f t="shared" si="46"/>
        <v>AV55101-2 SILVER ALUMINUM STAIR NOSING</v>
      </c>
      <c r="I1152" s="31" t="str">
        <f>VLOOKUP(D1152,'[1]NEW PRICE LIST'!$C$4:$D$1917,2,FALSE)</f>
        <v>50PCS/CTN</v>
      </c>
      <c r="J1152" s="13" t="s">
        <v>300</v>
      </c>
      <c r="K1152" s="32">
        <f>VLOOKUP(D1152,'[1]NEW PRICE LIST'!$C$4:$H$1917,3,FALSE)</f>
        <v>265</v>
      </c>
      <c r="L1152" s="13">
        <v>100</v>
      </c>
      <c r="M1152" s="13">
        <v>0</v>
      </c>
      <c r="N1152" s="13">
        <v>0</v>
      </c>
    </row>
    <row r="1153" spans="1:16" x14ac:dyDescent="0.25">
      <c r="A1153" s="14" t="str">
        <f t="shared" si="45"/>
        <v>AVT0001152</v>
      </c>
      <c r="B1153" s="13" t="str">
        <f>VLOOKUP(D1153,'SUPPLIER_ITEMS (1st Tools)'!C1659:D3386,2,FALSE)</f>
        <v>1ST-358-1658</v>
      </c>
      <c r="C1153" s="14" t="s">
        <v>85</v>
      </c>
      <c r="D1153" s="19" t="s">
        <v>3468</v>
      </c>
      <c r="F1153" s="30" t="str">
        <f t="shared" si="46"/>
        <v>AV55100-1 ALUMINUM TILE TRIM GOLD</v>
      </c>
      <c r="I1153" s="31" t="str">
        <f>VLOOKUP(D1153,'[1]NEW PRICE LIST'!$C$4:$D$1917,2,FALSE)</f>
        <v>100PCS/CTN</v>
      </c>
      <c r="J1153" s="13" t="s">
        <v>300</v>
      </c>
      <c r="K1153" s="32">
        <f>VLOOKUP(D1153,'[1]NEW PRICE LIST'!$C$4:$H$1917,3,FALSE)</f>
        <v>95</v>
      </c>
      <c r="L1153" s="13">
        <v>100</v>
      </c>
      <c r="M1153" s="13">
        <v>0</v>
      </c>
      <c r="N1153" s="13">
        <v>0</v>
      </c>
    </row>
    <row r="1154" spans="1:16" x14ac:dyDescent="0.25">
      <c r="A1154" s="14" t="str">
        <f t="shared" si="45"/>
        <v>AVT0001153</v>
      </c>
      <c r="B1154" s="13" t="str">
        <f>VLOOKUP(D1154,'SUPPLIER_ITEMS (1st Tools)'!C1660:D3387,2,FALSE)</f>
        <v>1ST-358-1659</v>
      </c>
      <c r="C1154" s="14" t="s">
        <v>85</v>
      </c>
      <c r="D1154" s="19" t="s">
        <v>3469</v>
      </c>
      <c r="F1154" s="30" t="str">
        <f t="shared" si="46"/>
        <v>AV55100-2 ALUMINUM TILE TRIM SILVER</v>
      </c>
      <c r="I1154" s="31" t="str">
        <f>VLOOKUP(D1154,'[1]NEW PRICE LIST'!$C$4:$D$1917,2,FALSE)</f>
        <v>100PCS/CTN</v>
      </c>
      <c r="J1154" s="13" t="s">
        <v>300</v>
      </c>
      <c r="K1154" s="32">
        <f>VLOOKUP(D1154,'[1]NEW PRICE LIST'!$C$4:$H$1917,3,FALSE)</f>
        <v>95</v>
      </c>
      <c r="L1154" s="13">
        <v>100</v>
      </c>
      <c r="M1154" s="13">
        <v>0</v>
      </c>
      <c r="N1154" s="13">
        <v>0</v>
      </c>
    </row>
    <row r="1155" spans="1:16" x14ac:dyDescent="0.25">
      <c r="A1155" s="14" t="str">
        <f t="shared" si="45"/>
        <v>AVT0001154</v>
      </c>
      <c r="B1155" s="13" t="str">
        <f>VLOOKUP(D1155,'SUPPLIER_ITEMS (1st Tools)'!C1661:D3388,2,FALSE)</f>
        <v>1ST-358-1660</v>
      </c>
      <c r="C1155" s="14" t="s">
        <v>85</v>
      </c>
      <c r="D1155" s="18" t="s">
        <v>3470</v>
      </c>
      <c r="F1155" s="30" t="str">
        <f t="shared" si="46"/>
        <v>AV55014-SS SILVER TILE DECORATIVE STRIP SQUARE 1*50</v>
      </c>
      <c r="I1155" s="31" t="str">
        <f>VLOOKUP(D1155,'[1]NEW PRICE LIST'!$C$4:$D$1917,2,FALSE)</f>
        <v>50PCS/CTN</v>
      </c>
      <c r="J1155" s="13" t="s">
        <v>300</v>
      </c>
      <c r="K1155" s="32">
        <f>VLOOKUP(D1155,'[1]NEW PRICE LIST'!$C$4:$H$1917,3,FALSE)</f>
        <v>175</v>
      </c>
      <c r="L1155" s="13">
        <v>100</v>
      </c>
      <c r="M1155" s="13">
        <v>0</v>
      </c>
      <c r="N1155" s="13">
        <v>0</v>
      </c>
    </row>
    <row r="1156" spans="1:16" x14ac:dyDescent="0.25">
      <c r="A1156" s="14" t="str">
        <f t="shared" ref="A1156:A1199" si="47">"AVT"&amp;TEXT(RIGHT(A1155,LEN(A1155)-3)+1,"0000000")</f>
        <v>AVT0001155</v>
      </c>
      <c r="B1156" s="13" t="str">
        <f>VLOOKUP(D1156,'SUPPLIER_ITEMS (1st Tools)'!C1662:D3389,2,FALSE)</f>
        <v>1ST-358-1661</v>
      </c>
      <c r="C1156" s="14" t="s">
        <v>84</v>
      </c>
      <c r="D1156" s="18" t="s">
        <v>3548</v>
      </c>
      <c r="F1156" s="30" t="str">
        <f t="shared" si="46"/>
        <v>AV55120-1 1/4*3M THREADED ROD</v>
      </c>
      <c r="I1156" s="31" t="str">
        <f>VLOOKUP(D1156,'[1]NEW PRICE LIST'!$C$4:$D$1917,2,FALSE)</f>
        <v>50PCS/BDL</v>
      </c>
      <c r="J1156" s="13" t="s">
        <v>3621</v>
      </c>
      <c r="K1156" s="32">
        <f>VLOOKUP(D1156,'[1]NEW PRICE LIST'!$C$4:$H$1917,3,FALSE)</f>
        <v>40</v>
      </c>
      <c r="L1156" s="13">
        <v>100</v>
      </c>
      <c r="M1156" s="13">
        <v>0</v>
      </c>
      <c r="N1156" s="13">
        <v>0</v>
      </c>
    </row>
    <row r="1157" spans="1:16" x14ac:dyDescent="0.25">
      <c r="A1157" s="14" t="str">
        <f t="shared" si="47"/>
        <v>AVT0001156</v>
      </c>
      <c r="B1157" s="13" t="str">
        <f>VLOOKUP(D1157,'SUPPLIER_ITEMS (1st Tools)'!C1663:D3390,2,FALSE)</f>
        <v>1ST-358-1662</v>
      </c>
      <c r="C1157" s="14" t="s">
        <v>84</v>
      </c>
      <c r="D1157" s="18" t="s">
        <v>3549</v>
      </c>
      <c r="F1157" s="30" t="str">
        <f t="shared" si="46"/>
        <v>AV55120-2 5/16*3M THREADED ROD</v>
      </c>
      <c r="I1157" s="31" t="str">
        <f>VLOOKUP(D1157,'[1]NEW PRICE LIST'!$C$4:$D$1917,2,FALSE)</f>
        <v>25PCS/BDL</v>
      </c>
      <c r="J1157" s="13" t="s">
        <v>3621</v>
      </c>
      <c r="K1157" s="32">
        <f>VLOOKUP(D1157,'[1]NEW PRICE LIST'!$C$4:$H$1917,3,FALSE)</f>
        <v>59</v>
      </c>
      <c r="L1157" s="13">
        <v>100</v>
      </c>
      <c r="M1157" s="13">
        <v>0</v>
      </c>
      <c r="N1157" s="13">
        <v>0</v>
      </c>
    </row>
    <row r="1158" spans="1:16" x14ac:dyDescent="0.25">
      <c r="A1158" s="14" t="str">
        <f t="shared" si="47"/>
        <v>AVT0001157</v>
      </c>
      <c r="B1158" s="13" t="str">
        <f>VLOOKUP(D1158,'SUPPLIER_ITEMS (1st Tools)'!C1664:D3391,2,FALSE)</f>
        <v>1ST-358-1663</v>
      </c>
      <c r="C1158" s="14" t="s">
        <v>84</v>
      </c>
      <c r="D1158" s="18" t="s">
        <v>3550</v>
      </c>
      <c r="F1158" s="30" t="str">
        <f t="shared" si="46"/>
        <v>AV55120-3 3/8*3M THREADED ROD</v>
      </c>
      <c r="I1158" s="31" t="str">
        <f>VLOOKUP(D1158,'[1]NEW PRICE LIST'!$C$4:$D$1917,2,FALSE)</f>
        <v>25PCS/BDL</v>
      </c>
      <c r="J1158" s="13" t="s">
        <v>3621</v>
      </c>
      <c r="K1158" s="32">
        <f>VLOOKUP(D1158,'[1]NEW PRICE LIST'!$C$4:$H$1917,3,FALSE)</f>
        <v>80</v>
      </c>
      <c r="L1158" s="13">
        <v>100</v>
      </c>
      <c r="M1158" s="13">
        <v>0</v>
      </c>
      <c r="N1158" s="13">
        <v>0</v>
      </c>
    </row>
    <row r="1159" spans="1:16" x14ac:dyDescent="0.25">
      <c r="A1159" s="14" t="str">
        <f t="shared" si="47"/>
        <v>AVT0001158</v>
      </c>
      <c r="B1159" s="13" t="str">
        <f>VLOOKUP(D1159,'SUPPLIER_ITEMS (1st Tools)'!C1665:D3392,2,FALSE)</f>
        <v>1ST-358-1664</v>
      </c>
      <c r="C1159" s="14" t="s">
        <v>84</v>
      </c>
      <c r="D1159" s="18" t="s">
        <v>3551</v>
      </c>
      <c r="F1159" s="30" t="str">
        <f t="shared" si="46"/>
        <v>AV55120-4 1/2*3M THREADED ROD</v>
      </c>
      <c r="I1159" s="31" t="str">
        <f>VLOOKUP(D1159,'[1]NEW PRICE LIST'!$C$4:$D$1917,2,FALSE)</f>
        <v>15PCS/BDL</v>
      </c>
      <c r="J1159" s="13" t="s">
        <v>3621</v>
      </c>
      <c r="K1159" s="32">
        <f>VLOOKUP(D1159,'[1]NEW PRICE LIST'!$C$4:$H$1917,3,FALSE)</f>
        <v>160</v>
      </c>
      <c r="L1159" s="13">
        <v>100</v>
      </c>
      <c r="M1159" s="13">
        <v>0</v>
      </c>
      <c r="N1159" s="13">
        <v>0</v>
      </c>
    </row>
    <row r="1160" spans="1:16" x14ac:dyDescent="0.25">
      <c r="A1160" s="14" t="str">
        <f t="shared" si="47"/>
        <v>AVT0001159</v>
      </c>
      <c r="B1160" s="13" t="str">
        <f>VLOOKUP(D1160,'SUPPLIER_ITEMS (1st Tools)'!C1668:D3395,2,FALSE)</f>
        <v>1ST-358-1667</v>
      </c>
      <c r="C1160" s="14" t="s">
        <v>82</v>
      </c>
      <c r="D1160" s="14" t="s">
        <v>3950</v>
      </c>
      <c r="F1160" s="30" t="str">
        <f t="shared" ref="F1160:F1199" si="48">"AV"&amp;RIGHT(D1160,LEN(D1160)-2)</f>
        <v>AV55180 W-CLIP</v>
      </c>
      <c r="I1160" s="31" t="str">
        <f>VLOOKUP(D1160,'[1]NEW PRICE LIST'!$C$4:$D$1917,2,FALSE)</f>
        <v>2000PCS/CTN</v>
      </c>
      <c r="J1160" s="13" t="s">
        <v>300</v>
      </c>
      <c r="K1160" s="32">
        <f>VLOOKUP(D1160,'[1]NEW PRICE LIST'!$C$4:$H$1917,3,FALSE)</f>
        <v>2.2999999999999998</v>
      </c>
      <c r="L1160" s="13">
        <v>100</v>
      </c>
      <c r="M1160" s="13">
        <v>0</v>
      </c>
      <c r="N1160" s="13">
        <v>0</v>
      </c>
    </row>
    <row r="1161" spans="1:16" x14ac:dyDescent="0.25">
      <c r="A1161" s="14" t="str">
        <f t="shared" si="47"/>
        <v>AVT0001160</v>
      </c>
      <c r="B1161" s="13" t="str">
        <f>VLOOKUP(D1161,'SUPPLIER_ITEMS (1st Tools)'!C1669:D3396,2,FALSE)</f>
        <v>1ST-358-1668</v>
      </c>
      <c r="C1161" s="14" t="s">
        <v>81</v>
      </c>
      <c r="D1161" s="14" t="s">
        <v>3424</v>
      </c>
      <c r="F1161" s="30" t="str">
        <f t="shared" si="48"/>
        <v>AV55181-1 #38 HANG THE KEEL</v>
      </c>
      <c r="I1161" s="31" t="str">
        <f>VLOOKUP(D1161,'[1]NEW PRICE LIST'!$C$4:$D$1917,2,FALSE)</f>
        <v>500PCS/CTN</v>
      </c>
      <c r="J1161" s="13" t="s">
        <v>300</v>
      </c>
      <c r="K1161" s="32">
        <f>VLOOKUP(D1161,'[1]NEW PRICE LIST'!$C$4:$H$1917,3,FALSE)</f>
        <v>6.5</v>
      </c>
      <c r="L1161" s="13">
        <v>100</v>
      </c>
      <c r="M1161" s="13">
        <v>0</v>
      </c>
      <c r="N1161" s="13">
        <v>0</v>
      </c>
    </row>
    <row r="1162" spans="1:16" x14ac:dyDescent="0.25">
      <c r="A1162" s="14" t="str">
        <f t="shared" si="47"/>
        <v>AVT0001161</v>
      </c>
      <c r="B1162" s="13" t="str">
        <f>VLOOKUP(D1162,'SUPPLIER_ITEMS (1st Tools)'!C1670:D3397,2,FALSE)</f>
        <v>1ST-358-1669</v>
      </c>
      <c r="C1162" s="14" t="s">
        <v>80</v>
      </c>
      <c r="D1162" s="19" t="s">
        <v>3471</v>
      </c>
      <c r="F1162" s="30" t="str">
        <f t="shared" si="48"/>
        <v>AV55200-1 1/4" HEX NUT</v>
      </c>
      <c r="I1162" s="31" t="str">
        <f>VLOOKUP(D1162,'[1]NEW PRICE LIST'!$C$4:$D$1917,2,FALSE)</f>
        <v>9000PCS/CTN</v>
      </c>
      <c r="J1162" s="13" t="s">
        <v>300</v>
      </c>
      <c r="K1162" s="32">
        <f>VLOOKUP(D1162,'[1]NEW PRICE LIST'!$C$4:$H$1917,3,FALSE)</f>
        <v>0.55000000000000004</v>
      </c>
      <c r="L1162" s="13">
        <v>100</v>
      </c>
      <c r="M1162" s="13">
        <v>0</v>
      </c>
      <c r="N1162" s="13">
        <v>0</v>
      </c>
    </row>
    <row r="1163" spans="1:16" x14ac:dyDescent="0.25">
      <c r="A1163" s="14" t="str">
        <f t="shared" si="47"/>
        <v>AVT0001162</v>
      </c>
      <c r="B1163" s="13" t="str">
        <f>VLOOKUP(D1163,'SUPPLIER_ITEMS (1st Tools)'!C1671:D3398,2,FALSE)</f>
        <v>1ST-358-1670</v>
      </c>
      <c r="C1163" s="14" t="s">
        <v>80</v>
      </c>
      <c r="D1163" s="19" t="s">
        <v>3473</v>
      </c>
      <c r="F1163" s="30" t="str">
        <f t="shared" si="48"/>
        <v>AV55200-2 5/16" HEX NUT</v>
      </c>
      <c r="I1163" s="31" t="str">
        <f>VLOOKUP(D1163,'[1]NEW PRICE LIST'!$C$4:$D$1917,2,FALSE)</f>
        <v>4000PCS/CTN</v>
      </c>
      <c r="J1163" s="13" t="s">
        <v>300</v>
      </c>
      <c r="K1163" s="32">
        <f>VLOOKUP(D1163,'[1]NEW PRICE LIST'!$C$4:$H$1917,3,FALSE)</f>
        <v>1.1499999999999999</v>
      </c>
      <c r="L1163" s="13">
        <v>100</v>
      </c>
      <c r="M1163" s="13">
        <v>0</v>
      </c>
      <c r="N1163" s="13">
        <v>0</v>
      </c>
    </row>
    <row r="1164" spans="1:16" x14ac:dyDescent="0.25">
      <c r="A1164" s="14" t="str">
        <f t="shared" si="47"/>
        <v>AVT0001163</v>
      </c>
      <c r="B1164" s="13" t="str">
        <f>VLOOKUP(D1164,'SUPPLIER_ITEMS (1st Tools)'!C1672:D3399,2,FALSE)</f>
        <v>1ST-358-1671</v>
      </c>
      <c r="C1164" s="14" t="s">
        <v>80</v>
      </c>
      <c r="D1164" s="19" t="s">
        <v>3475</v>
      </c>
      <c r="F1164" s="30" t="str">
        <f t="shared" si="48"/>
        <v>AV55200-3 3/8" HEX NUT</v>
      </c>
      <c r="I1164" s="31" t="str">
        <f>VLOOKUP(D1164,'[1]NEW PRICE LIST'!$C$4:$D$1917,2,FALSE)</f>
        <v>3000PCS/CTN</v>
      </c>
      <c r="J1164" s="13" t="s">
        <v>300</v>
      </c>
      <c r="K1164" s="32">
        <f>VLOOKUP(D1164,'[1]NEW PRICE LIST'!$C$4:$H$1917,3,FALSE)</f>
        <v>1.25</v>
      </c>
      <c r="L1164" s="13">
        <v>100</v>
      </c>
      <c r="M1164" s="13">
        <v>0</v>
      </c>
      <c r="N1164" s="13">
        <v>0</v>
      </c>
    </row>
    <row r="1165" spans="1:16" x14ac:dyDescent="0.25">
      <c r="A1165" s="14" t="str">
        <f t="shared" si="47"/>
        <v>AVT0001164</v>
      </c>
      <c r="B1165" s="13" t="str">
        <f>VLOOKUP(D1165,'SUPPLIER_ITEMS (1st Tools)'!C1673:D3400,2,FALSE)</f>
        <v>1ST-358-1672</v>
      </c>
      <c r="C1165" s="14" t="s">
        <v>80</v>
      </c>
      <c r="D1165" s="19" t="s">
        <v>3477</v>
      </c>
      <c r="F1165" s="30" t="str">
        <f t="shared" si="48"/>
        <v>AV55200-4 1/2" HEX NUT</v>
      </c>
      <c r="I1165" s="31" t="str">
        <f>VLOOKUP(D1165,'[1]NEW PRICE LIST'!$C$4:$D$1917,2,FALSE)</f>
        <v>1000PCS/CTN</v>
      </c>
      <c r="J1165" s="13" t="s">
        <v>300</v>
      </c>
      <c r="K1165" s="32">
        <f>VLOOKUP(D1165,'[1]NEW PRICE LIST'!$C$4:$H$1917,3,FALSE)</f>
        <v>4.13</v>
      </c>
      <c r="L1165" s="13">
        <v>100</v>
      </c>
      <c r="M1165" s="13">
        <v>0</v>
      </c>
      <c r="N1165" s="13">
        <v>0</v>
      </c>
    </row>
    <row r="1166" spans="1:16" x14ac:dyDescent="0.25">
      <c r="A1166" s="14" t="str">
        <f t="shared" si="47"/>
        <v>AVT0001165</v>
      </c>
      <c r="B1166" s="13" t="str">
        <f>VLOOKUP(D1166,'SUPPLIER_ITEMS (1st Tools)'!C1674:D3401,2,FALSE)</f>
        <v>1ST-358-1673</v>
      </c>
      <c r="C1166" s="14" t="s">
        <v>79</v>
      </c>
      <c r="D1166" s="18" t="s">
        <v>3478</v>
      </c>
      <c r="F1166" s="30" t="str">
        <f t="shared" si="48"/>
        <v>AV55220-1 J. BOLT W/ RUBBER WASHER 2-1/2"</v>
      </c>
      <c r="I1166" s="31" t="str">
        <f>VLOOKUP(D1166,'[1]NEW PRICE LIST'!$C$4:$D$1917,2,FALSE)</f>
        <v>1000SETS/ CTN</v>
      </c>
      <c r="J1166" s="13" t="s">
        <v>3622</v>
      </c>
      <c r="K1166" s="32">
        <f>VLOOKUP(D1166,'[1]NEW PRICE LIST'!$C$4:$H$1917,3,FALSE)</f>
        <v>4.2</v>
      </c>
      <c r="L1166" s="13">
        <v>100</v>
      </c>
      <c r="M1166" s="13">
        <v>0</v>
      </c>
      <c r="N1166" s="13">
        <v>0</v>
      </c>
    </row>
    <row r="1167" spans="1:16" x14ac:dyDescent="0.25">
      <c r="A1167" s="14" t="str">
        <f t="shared" si="47"/>
        <v>AVT0001166</v>
      </c>
      <c r="B1167" s="13" t="str">
        <f>VLOOKUP(D1167,'SUPPLIER_ITEMS (1st Tools)'!C1675:D3402,2,FALSE)</f>
        <v>1ST-358-1674</v>
      </c>
      <c r="C1167" s="14" t="s">
        <v>79</v>
      </c>
      <c r="D1167" s="18" t="s">
        <v>3479</v>
      </c>
      <c r="F1167" s="30" t="str">
        <f t="shared" si="48"/>
        <v>AV55220-2 J. BOLT W/ RUBBER WASHER 3"</v>
      </c>
      <c r="I1167" s="31" t="str">
        <f>VLOOKUP(D1167,'[1]NEW PRICE LIST'!$C$4:$D$1917,2,FALSE)</f>
        <v>1000SETS/C TN</v>
      </c>
      <c r="J1167" s="13" t="s">
        <v>3622</v>
      </c>
      <c r="K1167" s="32">
        <f>VLOOKUP(D1167,'[1]NEW PRICE LIST'!$C$4:$H$1917,3,FALSE)</f>
        <v>4.5</v>
      </c>
      <c r="L1167" s="13">
        <v>100</v>
      </c>
      <c r="M1167" s="13">
        <v>0</v>
      </c>
      <c r="N1167" s="13">
        <v>0</v>
      </c>
    </row>
    <row r="1168" spans="1:16" x14ac:dyDescent="0.25">
      <c r="A1168" s="14" t="str">
        <f t="shared" si="47"/>
        <v>AVT0001167</v>
      </c>
      <c r="B1168" s="13" t="str">
        <f>VLOOKUP(D1168,'SUPPLIER_ITEMS (1st Tools)'!C1692:D3419,2,FALSE)</f>
        <v>1ST-358-1691</v>
      </c>
      <c r="C1168" s="14" t="s">
        <v>77</v>
      </c>
      <c r="D1168" s="18" t="s">
        <v>3555</v>
      </c>
      <c r="F1168" s="30" t="str">
        <f t="shared" si="48"/>
        <v>AV55041-00 BLIND RIVETS 1/8"*3/8"</v>
      </c>
      <c r="I1168" s="31" t="str">
        <f>VLOOKUP(D1168,'[1]NEW PRICE LIST'!$C$4:$D$1917,2,FALSE)</f>
        <v>20BOX/CTN</v>
      </c>
      <c r="J1168" s="13" t="s">
        <v>3620</v>
      </c>
      <c r="K1168" s="32">
        <f>VLOOKUP(D1168,'[1]NEW PRICE LIST'!$C$4:$H$1917,3,FALSE)</f>
        <v>400</v>
      </c>
      <c r="L1168" s="13">
        <v>100</v>
      </c>
      <c r="M1168" s="13">
        <v>0</v>
      </c>
      <c r="N1168" s="13">
        <v>20</v>
      </c>
      <c r="O1168" s="13" t="s">
        <v>3965</v>
      </c>
      <c r="P1168" s="13" t="s">
        <v>3965</v>
      </c>
    </row>
    <row r="1169" spans="1:16" x14ac:dyDescent="0.25">
      <c r="A1169" s="14" t="str">
        <f t="shared" si="47"/>
        <v>AVT0001168</v>
      </c>
      <c r="B1169" s="13" t="str">
        <f>VLOOKUP(D1169,'SUPPLIER_ITEMS (1st Tools)'!C1693:D3420,2,FALSE)</f>
        <v>1ST-358-1692</v>
      </c>
      <c r="C1169" s="14" t="s">
        <v>77</v>
      </c>
      <c r="D1169" s="18" t="s">
        <v>3556</v>
      </c>
      <c r="F1169" s="30" t="str">
        <f t="shared" si="48"/>
        <v>AV55041-01 BLIND RIVETS 1/8"*1/2"</v>
      </c>
      <c r="I1169" s="31" t="str">
        <f>VLOOKUP(D1169,'[1]NEW PRICE LIST'!$C$4:$D$1917,2,FALSE)</f>
        <v>20BOX/CTN</v>
      </c>
      <c r="J1169" s="13" t="s">
        <v>3620</v>
      </c>
      <c r="K1169" s="32">
        <f>VLOOKUP(D1169,'[1]NEW PRICE LIST'!$C$4:$H$1917,3,FALSE)</f>
        <v>440</v>
      </c>
      <c r="L1169" s="13">
        <v>100</v>
      </c>
      <c r="M1169" s="13">
        <v>0</v>
      </c>
      <c r="N1169" s="13">
        <v>20</v>
      </c>
      <c r="O1169" s="13" t="s">
        <v>3965</v>
      </c>
      <c r="P1169" s="13" t="s">
        <v>3965</v>
      </c>
    </row>
    <row r="1170" spans="1:16" x14ac:dyDescent="0.25">
      <c r="A1170" s="14" t="str">
        <f t="shared" si="47"/>
        <v>AVT0001169</v>
      </c>
      <c r="B1170" s="13" t="str">
        <f>VLOOKUP(D1170,'SUPPLIER_ITEMS (1st Tools)'!C1694:D3421,2,FALSE)</f>
        <v>1ST-358-1693</v>
      </c>
      <c r="C1170" s="14" t="s">
        <v>77</v>
      </c>
      <c r="D1170" s="18" t="s">
        <v>3557</v>
      </c>
      <c r="F1170" s="30" t="str">
        <f t="shared" si="48"/>
        <v>AV55041-02 BLIND RIVETS 1/8"*5/8"</v>
      </c>
      <c r="I1170" s="31" t="str">
        <f>VLOOKUP(D1170,'[1]NEW PRICE LIST'!$C$4:$D$1917,2,FALSE)</f>
        <v>20BOX/CTN</v>
      </c>
      <c r="J1170" s="13" t="s">
        <v>3620</v>
      </c>
      <c r="K1170" s="32">
        <f>VLOOKUP(D1170,'[1]NEW PRICE LIST'!$C$4:$H$1917,3,FALSE)</f>
        <v>550</v>
      </c>
      <c r="L1170" s="13">
        <v>100</v>
      </c>
      <c r="M1170" s="13">
        <v>0</v>
      </c>
      <c r="N1170" s="13">
        <v>20</v>
      </c>
      <c r="O1170" s="13" t="s">
        <v>3965</v>
      </c>
      <c r="P1170" s="13" t="s">
        <v>3965</v>
      </c>
    </row>
    <row r="1171" spans="1:16" x14ac:dyDescent="0.25">
      <c r="A1171" s="14" t="str">
        <f t="shared" si="47"/>
        <v>AVT0001170</v>
      </c>
      <c r="B1171" s="13" t="str">
        <f>VLOOKUP(D1171,'SUPPLIER_ITEMS (1st Tools)'!C1695:D3422,2,FALSE)</f>
        <v>1ST-358-1694</v>
      </c>
      <c r="C1171" s="14" t="s">
        <v>77</v>
      </c>
      <c r="D1171" s="18" t="s">
        <v>3558</v>
      </c>
      <c r="F1171" s="30" t="str">
        <f t="shared" si="48"/>
        <v>AV55041-03 BLIND RIVETS 1/8"*3/4"</v>
      </c>
      <c r="I1171" s="31" t="str">
        <f>VLOOKUP(D1171,'[1]NEW PRICE LIST'!$C$4:$D$1917,2,FALSE)</f>
        <v>20BOX/CTN</v>
      </c>
      <c r="J1171" s="13" t="s">
        <v>3620</v>
      </c>
      <c r="K1171" s="32">
        <f>VLOOKUP(D1171,'[1]NEW PRICE LIST'!$C$4:$H$1917,3,FALSE)</f>
        <v>600</v>
      </c>
      <c r="L1171" s="13">
        <v>100</v>
      </c>
      <c r="M1171" s="13">
        <v>0</v>
      </c>
      <c r="N1171" s="13">
        <v>20</v>
      </c>
      <c r="O1171" s="13" t="s">
        <v>3965</v>
      </c>
      <c r="P1171" s="13" t="s">
        <v>3965</v>
      </c>
    </row>
    <row r="1172" spans="1:16" x14ac:dyDescent="0.25">
      <c r="A1172" s="14" t="str">
        <f t="shared" si="47"/>
        <v>AVT0001171</v>
      </c>
      <c r="B1172" s="13" t="str">
        <f>VLOOKUP(D1172,'SUPPLIER_ITEMS (1st Tools)'!C1696:D3423,2,FALSE)</f>
        <v>1ST-358-1695</v>
      </c>
      <c r="C1172" s="14" t="s">
        <v>77</v>
      </c>
      <c r="D1172" s="18" t="s">
        <v>3559</v>
      </c>
      <c r="F1172" s="30" t="str">
        <f t="shared" si="48"/>
        <v>AV55041-04 (LT55013-5) BLIND RIVETS 1/8"*1"</v>
      </c>
      <c r="I1172" s="31" t="str">
        <f>VLOOKUP(D1172,'[1]NEW PRICE LIST'!$C$4:$D$1917,2,FALSE)</f>
        <v>20BOX/CTN</v>
      </c>
      <c r="J1172" s="13" t="s">
        <v>3620</v>
      </c>
      <c r="K1172" s="32">
        <f>VLOOKUP(D1172,'[1]NEW PRICE LIST'!$C$4:$H$1917,3,FALSE)</f>
        <v>650</v>
      </c>
      <c r="L1172" s="13">
        <v>100</v>
      </c>
      <c r="M1172" s="13">
        <v>0</v>
      </c>
      <c r="N1172" s="13">
        <v>20</v>
      </c>
      <c r="O1172" s="13" t="s">
        <v>3965</v>
      </c>
      <c r="P1172" s="13" t="s">
        <v>3965</v>
      </c>
    </row>
    <row r="1173" spans="1:16" x14ac:dyDescent="0.25">
      <c r="A1173" s="14" t="str">
        <f t="shared" si="47"/>
        <v>AVT0001172</v>
      </c>
      <c r="B1173" s="13" t="str">
        <f>VLOOKUP(D1173,'SUPPLIER_ITEMS (1st Tools)'!C1697:D3424,2,FALSE)</f>
        <v>1ST-358-1696</v>
      </c>
      <c r="C1173" s="14" t="s">
        <v>77</v>
      </c>
      <c r="D1173" s="18" t="s">
        <v>3560</v>
      </c>
      <c r="F1173" s="30" t="str">
        <f t="shared" si="48"/>
        <v>AV55041-05 BLIND RIVETS 5/32"*3/8"</v>
      </c>
      <c r="I1173" s="31" t="str">
        <f>VLOOKUP(D1173,'[1]NEW PRICE LIST'!$C$4:$D$1917,2,FALSE)</f>
        <v>20BOX/CTN</v>
      </c>
      <c r="J1173" s="13" t="s">
        <v>3620</v>
      </c>
      <c r="K1173" s="32">
        <f>VLOOKUP(D1173,'[1]NEW PRICE LIST'!$C$4:$H$1917,3,FALSE)</f>
        <v>500</v>
      </c>
      <c r="L1173" s="13">
        <v>100</v>
      </c>
      <c r="M1173" s="13">
        <v>0</v>
      </c>
      <c r="N1173" s="13">
        <v>20</v>
      </c>
      <c r="O1173" s="13" t="s">
        <v>3965</v>
      </c>
      <c r="P1173" s="13" t="s">
        <v>3965</v>
      </c>
    </row>
    <row r="1174" spans="1:16" x14ac:dyDescent="0.25">
      <c r="A1174" s="14" t="str">
        <f t="shared" si="47"/>
        <v>AVT0001173</v>
      </c>
      <c r="B1174" s="13" t="str">
        <f>VLOOKUP(D1174,'SUPPLIER_ITEMS (1st Tools)'!C1698:D3425,2,FALSE)</f>
        <v>1ST-358-1697</v>
      </c>
      <c r="C1174" s="14" t="s">
        <v>77</v>
      </c>
      <c r="D1174" s="18" t="s">
        <v>3561</v>
      </c>
      <c r="F1174" s="30" t="str">
        <f t="shared" si="48"/>
        <v>AV55041-06 BLIND RIVETS 5/32"*1/2"</v>
      </c>
      <c r="I1174" s="31" t="str">
        <f>VLOOKUP(D1174,'[1]NEW PRICE LIST'!$C$4:$D$1917,2,FALSE)</f>
        <v>20BOX/CTN</v>
      </c>
      <c r="J1174" s="13" t="s">
        <v>3620</v>
      </c>
      <c r="K1174" s="32">
        <f>VLOOKUP(D1174,'[1]NEW PRICE LIST'!$C$4:$H$1917,3,FALSE)</f>
        <v>520</v>
      </c>
      <c r="L1174" s="13">
        <v>100</v>
      </c>
      <c r="M1174" s="13">
        <v>0</v>
      </c>
      <c r="N1174" s="13">
        <v>20</v>
      </c>
      <c r="O1174" s="13" t="s">
        <v>3965</v>
      </c>
      <c r="P1174" s="13" t="s">
        <v>3965</v>
      </c>
    </row>
    <row r="1175" spans="1:16" x14ac:dyDescent="0.25">
      <c r="A1175" s="14" t="str">
        <f t="shared" si="47"/>
        <v>AVT0001174</v>
      </c>
      <c r="B1175" s="13" t="str">
        <f>VLOOKUP(D1175,'SUPPLIER_ITEMS (1st Tools)'!C1699:D3426,2,FALSE)</f>
        <v>1ST-358-1698</v>
      </c>
      <c r="C1175" s="14" t="s">
        <v>77</v>
      </c>
      <c r="D1175" s="18" t="s">
        <v>3562</v>
      </c>
      <c r="F1175" s="30" t="str">
        <f t="shared" si="48"/>
        <v>AV55041-07 BLIND RIVETS 5/32"*5/8"</v>
      </c>
      <c r="I1175" s="31" t="str">
        <f>VLOOKUP(D1175,'[1]NEW PRICE LIST'!$C$4:$D$1917,2,FALSE)</f>
        <v>20BOX/CTN</v>
      </c>
      <c r="J1175" s="13" t="s">
        <v>3620</v>
      </c>
      <c r="K1175" s="32">
        <f>VLOOKUP(D1175,'[1]NEW PRICE LIST'!$C$4:$H$1917,3,FALSE)</f>
        <v>640</v>
      </c>
      <c r="L1175" s="13">
        <v>100</v>
      </c>
      <c r="M1175" s="13">
        <v>0</v>
      </c>
      <c r="N1175" s="13">
        <v>20</v>
      </c>
      <c r="O1175" s="13" t="s">
        <v>3965</v>
      </c>
      <c r="P1175" s="13" t="s">
        <v>3965</v>
      </c>
    </row>
    <row r="1176" spans="1:16" x14ac:dyDescent="0.25">
      <c r="A1176" s="14" t="str">
        <f t="shared" si="47"/>
        <v>AVT0001175</v>
      </c>
      <c r="B1176" s="13" t="str">
        <f>VLOOKUP(D1176,'SUPPLIER_ITEMS (1st Tools)'!C1700:D3427,2,FALSE)</f>
        <v>1ST-358-1699</v>
      </c>
      <c r="C1176" s="14" t="s">
        <v>77</v>
      </c>
      <c r="D1176" s="18" t="s">
        <v>3563</v>
      </c>
      <c r="F1176" s="30" t="str">
        <f t="shared" si="48"/>
        <v>AV55041-08 BLIND RIVETS 5/32"*3/4"</v>
      </c>
      <c r="I1176" s="31" t="str">
        <f>VLOOKUP(D1176,'[1]NEW PRICE LIST'!$C$4:$D$1917,2,FALSE)</f>
        <v>20BOX/CTN</v>
      </c>
      <c r="J1176" s="13" t="s">
        <v>3620</v>
      </c>
      <c r="K1176" s="32">
        <f>VLOOKUP(D1176,'[1]NEW PRICE LIST'!$C$4:$H$1917,3,FALSE)</f>
        <v>700</v>
      </c>
      <c r="L1176" s="13">
        <v>100</v>
      </c>
      <c r="M1176" s="13">
        <v>0</v>
      </c>
      <c r="N1176" s="13">
        <v>20</v>
      </c>
      <c r="O1176" s="13" t="s">
        <v>3965</v>
      </c>
      <c r="P1176" s="13" t="s">
        <v>3965</v>
      </c>
    </row>
    <row r="1177" spans="1:16" x14ac:dyDescent="0.25">
      <c r="A1177" s="14" t="str">
        <f t="shared" si="47"/>
        <v>AVT0001176</v>
      </c>
      <c r="B1177" s="13" t="str">
        <f>VLOOKUP(D1177,'SUPPLIER_ITEMS (1st Tools)'!C1701:D3428,2,FALSE)</f>
        <v>1ST-358-1700</v>
      </c>
      <c r="C1177" s="14" t="s">
        <v>77</v>
      </c>
      <c r="D1177" s="18" t="s">
        <v>3564</v>
      </c>
      <c r="F1177" s="30" t="str">
        <f t="shared" si="48"/>
        <v>AV55041-09 BLIND RIVETS 5/32"*1"</v>
      </c>
      <c r="I1177" s="31" t="str">
        <f>VLOOKUP(D1177,'[1]NEW PRICE LIST'!$C$4:$D$1917,2,FALSE)</f>
        <v>20BOX/CTN</v>
      </c>
      <c r="J1177" s="13" t="s">
        <v>3620</v>
      </c>
      <c r="K1177" s="32">
        <f>VLOOKUP(D1177,'[1]NEW PRICE LIST'!$C$4:$H$1917,3,FALSE)</f>
        <v>980</v>
      </c>
      <c r="L1177" s="13">
        <v>100</v>
      </c>
      <c r="M1177" s="13">
        <v>0</v>
      </c>
      <c r="N1177" s="13">
        <v>20</v>
      </c>
      <c r="O1177" s="13" t="s">
        <v>3965</v>
      </c>
      <c r="P1177" s="13" t="s">
        <v>3965</v>
      </c>
    </row>
    <row r="1178" spans="1:16" x14ac:dyDescent="0.25">
      <c r="A1178" s="14" t="str">
        <f t="shared" si="47"/>
        <v>AVT0001177</v>
      </c>
      <c r="B1178" s="13" t="str">
        <f>VLOOKUP(D1178,'SUPPLIER_ITEMS (1st Tools)'!C1702:D3429,2,FALSE)</f>
        <v>1ST-358-1701</v>
      </c>
      <c r="C1178" s="14" t="s">
        <v>77</v>
      </c>
      <c r="D1178" s="18" t="s">
        <v>3565</v>
      </c>
      <c r="F1178" s="30" t="str">
        <f t="shared" si="48"/>
        <v>AV55041-10 BLIND RIVETS 3/16"*3/8"</v>
      </c>
      <c r="I1178" s="31" t="str">
        <f>VLOOKUP(D1178,'[1]NEW PRICE LIST'!$C$4:$D$1917,2,FALSE)</f>
        <v>20BOX/CTN</v>
      </c>
      <c r="J1178" s="13" t="s">
        <v>3620</v>
      </c>
      <c r="K1178" s="32">
        <f>VLOOKUP(D1178,'[1]NEW PRICE LIST'!$C$4:$H$1917,3,FALSE)</f>
        <v>630</v>
      </c>
      <c r="L1178" s="13">
        <v>100</v>
      </c>
      <c r="M1178" s="13">
        <v>0</v>
      </c>
      <c r="N1178" s="13">
        <v>20</v>
      </c>
      <c r="O1178" s="13" t="s">
        <v>3965</v>
      </c>
      <c r="P1178" s="13" t="s">
        <v>3965</v>
      </c>
    </row>
    <row r="1179" spans="1:16" x14ac:dyDescent="0.25">
      <c r="A1179" s="14" t="str">
        <f t="shared" si="47"/>
        <v>AVT0001178</v>
      </c>
      <c r="B1179" s="13" t="str">
        <f>VLOOKUP(D1179,'SUPPLIER_ITEMS (1st Tools)'!C1703:D3430,2,FALSE)</f>
        <v>1ST-358-1702</v>
      </c>
      <c r="C1179" s="14" t="s">
        <v>77</v>
      </c>
      <c r="D1179" s="18" t="s">
        <v>3566</v>
      </c>
      <c r="F1179" s="30" t="str">
        <f t="shared" si="48"/>
        <v>AV55041-11 BLIND RIVETS 3/16"*1/2"</v>
      </c>
      <c r="I1179" s="31" t="str">
        <f>VLOOKUP(D1179,'[1]NEW PRICE LIST'!$C$4:$D$1917,2,FALSE)</f>
        <v>20BOX/CTN</v>
      </c>
      <c r="J1179" s="13" t="s">
        <v>3620</v>
      </c>
      <c r="K1179" s="32">
        <f>VLOOKUP(D1179,'[1]NEW PRICE LIST'!$C$4:$H$1917,3,FALSE)</f>
        <v>700</v>
      </c>
      <c r="L1179" s="13">
        <v>100</v>
      </c>
      <c r="M1179" s="13">
        <v>0</v>
      </c>
      <c r="N1179" s="13">
        <v>20</v>
      </c>
      <c r="O1179" s="13" t="s">
        <v>3965</v>
      </c>
      <c r="P1179" s="13" t="s">
        <v>3965</v>
      </c>
    </row>
    <row r="1180" spans="1:16" x14ac:dyDescent="0.25">
      <c r="A1180" s="14" t="str">
        <f t="shared" si="47"/>
        <v>AVT0001179</v>
      </c>
      <c r="B1180" s="13" t="str">
        <f>VLOOKUP(D1180,'SUPPLIER_ITEMS (1st Tools)'!C1704:D3431,2,FALSE)</f>
        <v>1ST-358-1703</v>
      </c>
      <c r="C1180" s="14" t="s">
        <v>77</v>
      </c>
      <c r="D1180" s="18" t="s">
        <v>3567</v>
      </c>
      <c r="F1180" s="30" t="str">
        <f t="shared" si="48"/>
        <v>AV55041-12 (LT55013-13) BLIND RIVETS 3/16"*5/8"</v>
      </c>
      <c r="I1180" s="31" t="str">
        <f>VLOOKUP(D1180,'[1]NEW PRICE LIST'!$C$4:$D$1917,2,FALSE)</f>
        <v>20BOX/CTN</v>
      </c>
      <c r="J1180" s="13" t="s">
        <v>3620</v>
      </c>
      <c r="K1180" s="32">
        <f>VLOOKUP(D1180,'[1]NEW PRICE LIST'!$C$4:$H$1917,3,FALSE)</f>
        <v>880</v>
      </c>
      <c r="L1180" s="13">
        <v>100</v>
      </c>
      <c r="M1180" s="13">
        <v>0</v>
      </c>
      <c r="N1180" s="13">
        <v>20</v>
      </c>
      <c r="O1180" s="13" t="s">
        <v>3965</v>
      </c>
      <c r="P1180" s="13" t="s">
        <v>3965</v>
      </c>
    </row>
    <row r="1181" spans="1:16" x14ac:dyDescent="0.25">
      <c r="A1181" s="14" t="str">
        <f t="shared" si="47"/>
        <v>AVT0001180</v>
      </c>
      <c r="B1181" s="13" t="str">
        <f>VLOOKUP(D1181,'SUPPLIER_ITEMS (1st Tools)'!C1705:D3432,2,FALSE)</f>
        <v>1ST-358-1704</v>
      </c>
      <c r="C1181" s="14" t="s">
        <v>77</v>
      </c>
      <c r="D1181" s="18" t="s">
        <v>3568</v>
      </c>
      <c r="F1181" s="30" t="str">
        <f t="shared" si="48"/>
        <v>AV55041-13 BLIND RIVETS 3/16"*3/4"</v>
      </c>
      <c r="I1181" s="31" t="str">
        <f>VLOOKUP(D1181,'[1]NEW PRICE LIST'!$C$4:$D$1917,2,FALSE)</f>
        <v>20BOX/CTN</v>
      </c>
      <c r="J1181" s="13" t="s">
        <v>3620</v>
      </c>
      <c r="K1181" s="32">
        <f>VLOOKUP(D1181,'[1]NEW PRICE LIST'!$C$4:$H$1917,3,FALSE)</f>
        <v>940</v>
      </c>
      <c r="L1181" s="13">
        <v>100</v>
      </c>
      <c r="M1181" s="13">
        <v>0</v>
      </c>
      <c r="N1181" s="13">
        <v>20</v>
      </c>
      <c r="O1181" s="13" t="s">
        <v>3965</v>
      </c>
      <c r="P1181" s="13" t="s">
        <v>3965</v>
      </c>
    </row>
    <row r="1182" spans="1:16" ht="26.4" x14ac:dyDescent="0.25">
      <c r="A1182" s="14" t="str">
        <f t="shared" si="47"/>
        <v>AVT0001181</v>
      </c>
      <c r="B1182" s="13" t="str">
        <f>VLOOKUP(D1182,'SUPPLIER_ITEMS (1st Tools)'!C1707:D3434,2,FALSE)</f>
        <v>1ST-358-1706</v>
      </c>
      <c r="C1182" s="14" t="s">
        <v>76</v>
      </c>
      <c r="D1182" s="18" t="s">
        <v>3951</v>
      </c>
      <c r="F1182" s="30" t="str">
        <f t="shared" si="48"/>
        <v>AV55140-1 SACKOLINE 2.44m * 100m *92GSM (BLUE ORANGE) #28</v>
      </c>
      <c r="I1182" s="31" t="str">
        <f>VLOOKUP(D1182,'[1]NEW PRICE LIST'!$C$4:$D$1917,2,FALSE)</f>
        <v>1 ROLL</v>
      </c>
      <c r="J1182" s="13" t="s">
        <v>299</v>
      </c>
      <c r="K1182" s="32">
        <f>VLOOKUP(D1182,'[1]NEW PRICE LIST'!$C$4:$H$1917,3,FALSE)</f>
        <v>3120</v>
      </c>
      <c r="L1182" s="13">
        <v>100</v>
      </c>
      <c r="M1182" s="13">
        <v>0</v>
      </c>
      <c r="N1182" s="13">
        <v>0</v>
      </c>
    </row>
    <row r="1183" spans="1:16" ht="26.4" x14ac:dyDescent="0.25">
      <c r="A1183" s="14" t="str">
        <f t="shared" si="47"/>
        <v>AVT0001182</v>
      </c>
      <c r="B1183" s="13" t="str">
        <f>VLOOKUP(D1183,'SUPPLIER_ITEMS (1st Tools)'!C1708:D3435,2,FALSE)</f>
        <v>1ST-358-1707</v>
      </c>
      <c r="C1183" s="14" t="s">
        <v>76</v>
      </c>
      <c r="D1183" s="18" t="s">
        <v>3952</v>
      </c>
      <c r="F1183" s="30" t="str">
        <f t="shared" si="48"/>
        <v>AV55140-3 SACKOLINE 2.44m * 100m * 92GSM (blue orange) #32</v>
      </c>
      <c r="I1183" s="31" t="str">
        <f>VLOOKUP(D1183,'[1]NEW PRICE LIST'!$C$4:$D$1917,2,FALSE)</f>
        <v>1 ROLL</v>
      </c>
      <c r="J1183" s="13" t="s">
        <v>299</v>
      </c>
      <c r="K1183" s="32">
        <f>VLOOKUP(D1183,'[1]NEW PRICE LIST'!$C$4:$H$1917,3,FALSE)</f>
        <v>3600</v>
      </c>
      <c r="L1183" s="13">
        <v>100</v>
      </c>
      <c r="M1183" s="13">
        <v>0</v>
      </c>
      <c r="N1183" s="13">
        <v>0</v>
      </c>
    </row>
    <row r="1184" spans="1:16" ht="26.4" x14ac:dyDescent="0.25">
      <c r="A1184" s="14" t="str">
        <f t="shared" si="47"/>
        <v>AVT0001183</v>
      </c>
      <c r="B1184" s="13" t="str">
        <f>VLOOKUP(D1184,'SUPPLIER_ITEMS (1st Tools)'!C1709:D3436,2,FALSE)</f>
        <v>1ST-358-1708</v>
      </c>
      <c r="C1184" s="14" t="s">
        <v>76</v>
      </c>
      <c r="D1184" s="18" t="s">
        <v>3570</v>
      </c>
      <c r="F1184" s="30" t="str">
        <f t="shared" si="48"/>
        <v>AV55140-4 SACKOLINE 2.44m * 100m * 127GSM (BLUE ORANGE) #40</v>
      </c>
      <c r="I1184" s="31" t="str">
        <f>VLOOKUP(D1184,'[1]NEW PRICE LIST'!$C$4:$D$1917,2,FALSE)</f>
        <v>1 ROLL</v>
      </c>
      <c r="J1184" s="13" t="s">
        <v>299</v>
      </c>
      <c r="K1184" s="32">
        <f>VLOOKUP(D1184,'[1]NEW PRICE LIST'!$C$4:$H$1917,3,FALSE)</f>
        <v>4920</v>
      </c>
      <c r="L1184" s="13">
        <v>100</v>
      </c>
      <c r="M1184" s="13">
        <v>0</v>
      </c>
      <c r="N1184" s="13">
        <v>0</v>
      </c>
    </row>
    <row r="1185" spans="1:14" ht="26.4" x14ac:dyDescent="0.25">
      <c r="A1185" s="14" t="str">
        <f t="shared" si="47"/>
        <v>AVT0001184</v>
      </c>
      <c r="B1185" s="13" t="str">
        <f>VLOOKUP(D1185,'SUPPLIER_ITEMS (1st Tools)'!C1710:D3437,2,FALSE)</f>
        <v>1ST-358-1709</v>
      </c>
      <c r="C1185" s="14" t="s">
        <v>76</v>
      </c>
      <c r="D1185" s="18" t="s">
        <v>3571</v>
      </c>
      <c r="F1185" s="30" t="str">
        <f t="shared" si="48"/>
        <v>AV55140-5 SACKOLINE 3.66m * 100m * 115GSM (BLUE ORANGE) #52</v>
      </c>
      <c r="I1185" s="31" t="str">
        <f>VLOOKUP(D1185,'[1]NEW PRICE LIST'!$C$4:$D$1917,2,FALSE)</f>
        <v>1 ROLL</v>
      </c>
      <c r="J1185" s="13" t="s">
        <v>299</v>
      </c>
      <c r="K1185" s="32">
        <f>VLOOKUP(D1185,'[1]NEW PRICE LIST'!$C$4:$H$1917,3,FALSE)</f>
        <v>7100</v>
      </c>
      <c r="L1185" s="13">
        <v>100</v>
      </c>
      <c r="M1185" s="13">
        <v>0</v>
      </c>
      <c r="N1185" s="13">
        <v>0</v>
      </c>
    </row>
    <row r="1186" spans="1:14" x14ac:dyDescent="0.25">
      <c r="A1186" s="14" t="str">
        <f t="shared" si="47"/>
        <v>AVT0001185</v>
      </c>
      <c r="B1186" s="13" t="str">
        <f>VLOOKUP(D1186,'SUPPLIER_ITEMS (1st Tools)'!C1711:D3438,2,FALSE)</f>
        <v>1ST-358-1710</v>
      </c>
      <c r="C1186" s="14" t="s">
        <v>75</v>
      </c>
      <c r="D1186" s="19" t="s">
        <v>3572</v>
      </c>
      <c r="F1186" s="30" t="str">
        <f t="shared" si="48"/>
        <v>AV55141-1 SACKOLINE 2.44*100MM*92GSM (BLACK)#28</v>
      </c>
      <c r="I1186" s="31" t="str">
        <f>VLOOKUP(D1186,'[1]NEW PRICE LIST'!$C$4:$D$1917,2,FALSE)</f>
        <v>1 ROLL</v>
      </c>
      <c r="J1186" s="13" t="s">
        <v>299</v>
      </c>
      <c r="K1186" s="32">
        <f>VLOOKUP(D1186,'[1]NEW PRICE LIST'!$C$4:$H$1917,3,FALSE)</f>
        <v>3120</v>
      </c>
      <c r="L1186" s="13">
        <v>100</v>
      </c>
      <c r="M1186" s="13">
        <v>0</v>
      </c>
      <c r="N1186" s="13">
        <v>0</v>
      </c>
    </row>
    <row r="1187" spans="1:14" x14ac:dyDescent="0.25">
      <c r="A1187" s="14" t="str">
        <f t="shared" si="47"/>
        <v>AVT0001186</v>
      </c>
      <c r="B1187" s="13" t="str">
        <f>VLOOKUP(D1187,'SUPPLIER_ITEMS (1st Tools)'!C1712:D3439,2,FALSE)</f>
        <v>1ST-358-1711</v>
      </c>
      <c r="C1187" s="14" t="s">
        <v>75</v>
      </c>
      <c r="D1187" s="19" t="s">
        <v>3573</v>
      </c>
      <c r="F1187" s="30" t="str">
        <f t="shared" si="48"/>
        <v>AV55141-3 SACKOLINE 2.44*100MM*127GSM (BLACK)#40</v>
      </c>
      <c r="I1187" s="31" t="str">
        <f>VLOOKUP(D1187,'[1]NEW PRICE LIST'!$C$4:$D$1917,2,FALSE)</f>
        <v>1 ROLL</v>
      </c>
      <c r="J1187" s="13" t="s">
        <v>299</v>
      </c>
      <c r="K1187" s="32">
        <f>VLOOKUP(D1187,'[1]NEW PRICE LIST'!$C$4:$H$1917,3,FALSE)</f>
        <v>3600</v>
      </c>
      <c r="L1187" s="13">
        <v>100</v>
      </c>
      <c r="M1187" s="13">
        <v>0</v>
      </c>
      <c r="N1187" s="13">
        <v>0</v>
      </c>
    </row>
    <row r="1188" spans="1:14" x14ac:dyDescent="0.25">
      <c r="A1188" s="14" t="str">
        <f t="shared" si="47"/>
        <v>AVT0001187</v>
      </c>
      <c r="B1188" s="13" t="str">
        <f>VLOOKUP(D1188,'SUPPLIER_ITEMS (1st Tools)'!C1713:D3440,2,FALSE)</f>
        <v>1ST-358-1712</v>
      </c>
      <c r="C1188" s="14" t="s">
        <v>75</v>
      </c>
      <c r="D1188" s="19" t="s">
        <v>3574</v>
      </c>
      <c r="F1188" s="30" t="str">
        <f t="shared" si="48"/>
        <v>AV55141-4 SACKOLINE 2.44*100MM*115GSM (BLACK)#50</v>
      </c>
      <c r="I1188" s="31" t="str">
        <f>VLOOKUP(D1188,'[1]NEW PRICE LIST'!$C$4:$D$1917,2,FALSE)</f>
        <v>1 ROLL</v>
      </c>
      <c r="J1188" s="13" t="s">
        <v>299</v>
      </c>
      <c r="K1188" s="32">
        <f>VLOOKUP(D1188,'[1]NEW PRICE LIST'!$C$4:$H$1917,3,FALSE)</f>
        <v>7100</v>
      </c>
      <c r="L1188" s="13">
        <v>100</v>
      </c>
      <c r="M1188" s="13">
        <v>0</v>
      </c>
      <c r="N1188" s="13">
        <v>0</v>
      </c>
    </row>
    <row r="1189" spans="1:14" x14ac:dyDescent="0.25">
      <c r="A1189" s="14" t="str">
        <f t="shared" si="47"/>
        <v>AVT0001188</v>
      </c>
      <c r="B1189" s="13" t="str">
        <f>VLOOKUP(D1189,'SUPPLIER_ITEMS (1st Tools)'!C1714:D3441,2,FALSE)</f>
        <v>1ST-358-1713</v>
      </c>
      <c r="C1189" s="14" t="s">
        <v>74</v>
      </c>
      <c r="D1189" s="19" t="s">
        <v>3526</v>
      </c>
      <c r="F1189" s="30" t="str">
        <f t="shared" si="48"/>
        <v>AV55150-1 50M POLOLOCK FIBER GLASS MESH CLOTH</v>
      </c>
      <c r="I1189" s="31" t="str">
        <f>VLOOKUP(D1189,'[1]NEW PRICE LIST'!$C$4:$D$1917,2,FALSE)</f>
        <v>4PCS/CTN</v>
      </c>
      <c r="J1189" s="13" t="s">
        <v>300</v>
      </c>
      <c r="K1189" s="32">
        <f>VLOOKUP(D1189,'[1]NEW PRICE LIST'!$C$4:$H$1917,3,FALSE)</f>
        <v>1320</v>
      </c>
      <c r="L1189" s="13">
        <v>100</v>
      </c>
      <c r="M1189" s="13">
        <v>0</v>
      </c>
      <c r="N1189" s="13">
        <v>0</v>
      </c>
    </row>
    <row r="1190" spans="1:14" ht="26.4" x14ac:dyDescent="0.25">
      <c r="A1190" s="14" t="str">
        <f t="shared" si="47"/>
        <v>AVT0001189</v>
      </c>
      <c r="B1190" s="13" t="str">
        <f>VLOOKUP(D1190,'SUPPLIER_ITEMS (1st Tools)'!C1715:D3442,2,FALSE)</f>
        <v>1ST-358-1714</v>
      </c>
      <c r="C1190" s="14" t="s">
        <v>74</v>
      </c>
      <c r="D1190" s="19" t="s">
        <v>3528</v>
      </c>
      <c r="F1190" s="30" t="str">
        <f t="shared" si="48"/>
        <v>AV55150-2 (LT55024-100) 100M POLOLOCK FIBER GLASS MESH CLOTH</v>
      </c>
      <c r="I1190" s="31" t="str">
        <f>VLOOKUP(D1190,'[1]NEW PRICE LIST'!$C$4:$D$1917,2,FALSE)</f>
        <v>2PCS/CTN</v>
      </c>
      <c r="J1190" s="13" t="s">
        <v>300</v>
      </c>
      <c r="K1190" s="32">
        <f>VLOOKUP(D1190,'[1]NEW PRICE LIST'!$C$4:$H$1917,3,FALSE)</f>
        <v>2320</v>
      </c>
      <c r="L1190" s="13">
        <v>100</v>
      </c>
      <c r="M1190" s="13">
        <v>0</v>
      </c>
      <c r="N1190" s="13">
        <v>0</v>
      </c>
    </row>
    <row r="1191" spans="1:14" x14ac:dyDescent="0.25">
      <c r="A1191" s="14" t="str">
        <f t="shared" si="47"/>
        <v>AVT0001190</v>
      </c>
      <c r="B1191" s="13" t="str">
        <f>VLOOKUP(D1191,'SUPPLIER_ITEMS (1st Tools)'!C1716:D3443,2,FALSE)</f>
        <v>1ST-358-1715</v>
      </c>
      <c r="C1191" s="14" t="s">
        <v>73</v>
      </c>
      <c r="D1191" s="18" t="s">
        <v>3529</v>
      </c>
      <c r="F1191" s="30" t="str">
        <f t="shared" si="48"/>
        <v>AV55151-1 (LT77001-25) GYPSUM TAPE 25MM* 1"</v>
      </c>
      <c r="I1191" s="31" t="str">
        <f>VLOOKUP(D1191,'[1]NEW PRICE LIST'!$C$4:$D$1917,2,FALSE)</f>
        <v>96PCS/CTN</v>
      </c>
      <c r="J1191" s="13" t="s">
        <v>300</v>
      </c>
      <c r="K1191" s="32">
        <f>VLOOKUP(D1191,'[1]NEW PRICE LIST'!$C$4:$H$1917,3,FALSE)</f>
        <v>28</v>
      </c>
      <c r="L1191" s="13">
        <v>100</v>
      </c>
      <c r="M1191" s="13">
        <v>0</v>
      </c>
      <c r="N1191" s="13">
        <v>0</v>
      </c>
    </row>
    <row r="1192" spans="1:14" x14ac:dyDescent="0.25">
      <c r="A1192" s="14" t="str">
        <f t="shared" si="47"/>
        <v>AVT0001191</v>
      </c>
      <c r="B1192" s="13" t="str">
        <f>VLOOKUP(D1192,'SUPPLIER_ITEMS (1st Tools)'!C1717:D3444,2,FALSE)</f>
        <v>1ST-358-1716</v>
      </c>
      <c r="C1192" s="14" t="s">
        <v>73</v>
      </c>
      <c r="D1192" s="18" t="s">
        <v>3531</v>
      </c>
      <c r="F1192" s="30" t="str">
        <f t="shared" si="48"/>
        <v>AV55151-2 GYPSUM TAPE 38MM* 1"1/2</v>
      </c>
      <c r="I1192" s="31" t="str">
        <f>VLOOKUP(D1192,'[1]NEW PRICE LIST'!$C$4:$D$1917,2,FALSE)</f>
        <v>60PCS/CTN</v>
      </c>
      <c r="J1192" s="13" t="s">
        <v>300</v>
      </c>
      <c r="K1192" s="32">
        <f>VLOOKUP(D1192,'[1]NEW PRICE LIST'!$C$4:$H$1917,3,FALSE)</f>
        <v>60</v>
      </c>
      <c r="L1192" s="13">
        <v>100</v>
      </c>
      <c r="M1192" s="13">
        <v>0</v>
      </c>
      <c r="N1192" s="13">
        <v>0</v>
      </c>
    </row>
    <row r="1193" spans="1:14" x14ac:dyDescent="0.25">
      <c r="A1193" s="14" t="str">
        <f t="shared" si="47"/>
        <v>AVT0001192</v>
      </c>
      <c r="B1193" s="13" t="str">
        <f>VLOOKUP(D1193,'SUPPLIER_ITEMS (1st Tools)'!C1718:D3445,2,FALSE)</f>
        <v>1ST-358-1717</v>
      </c>
      <c r="C1193" s="14" t="s">
        <v>73</v>
      </c>
      <c r="D1193" s="18" t="s">
        <v>3532</v>
      </c>
      <c r="F1193" s="30" t="str">
        <f t="shared" si="48"/>
        <v>AV55151-3 GYPSUM TAPE 50MM 2"</v>
      </c>
      <c r="I1193" s="31" t="str">
        <f>VLOOKUP(D1193,'[1]NEW PRICE LIST'!$C$4:$D$1917,2,FALSE)</f>
        <v>60PCS/CTN</v>
      </c>
      <c r="J1193" s="13" t="s">
        <v>300</v>
      </c>
      <c r="K1193" s="32">
        <f>VLOOKUP(D1193,'[1]NEW PRICE LIST'!$C$4:$H$1917,3,FALSE)</f>
        <v>110</v>
      </c>
      <c r="L1193" s="13">
        <v>100</v>
      </c>
      <c r="M1193" s="13">
        <v>0</v>
      </c>
      <c r="N1193" s="13">
        <v>0</v>
      </c>
    </row>
    <row r="1194" spans="1:14" x14ac:dyDescent="0.25">
      <c r="A1194" s="14" t="str">
        <f t="shared" si="47"/>
        <v>AVT0001193</v>
      </c>
      <c r="B1194" s="13" t="str">
        <f>VLOOKUP(D1194,'SUPPLIER_ITEMS (1st Tools)'!C1719:D3446,2,FALSE)</f>
        <v>1ST-358-1718</v>
      </c>
      <c r="C1194" s="14" t="s">
        <v>72</v>
      </c>
      <c r="D1194" s="19" t="s">
        <v>3578</v>
      </c>
      <c r="F1194" s="30" t="str">
        <f t="shared" si="48"/>
        <v>AV55170-1 SILICONE SEALANT CLEAR</v>
      </c>
      <c r="I1194" s="31" t="str">
        <f>VLOOKUP(D1194,'[1]NEW PRICE LIST'!$C$4:$D$1917,2,FALSE)</f>
        <v>24PCS/CTN</v>
      </c>
      <c r="J1194" s="13" t="s">
        <v>300</v>
      </c>
      <c r="K1194" s="32">
        <f>VLOOKUP(D1194,'[1]NEW PRICE LIST'!$C$4:$H$1917,3,FALSE)</f>
        <v>105</v>
      </c>
      <c r="L1194" s="13">
        <v>100</v>
      </c>
      <c r="M1194" s="13">
        <v>0</v>
      </c>
      <c r="N1194" s="13">
        <v>0</v>
      </c>
    </row>
    <row r="1195" spans="1:14" x14ac:dyDescent="0.25">
      <c r="A1195" s="14" t="str">
        <f t="shared" si="47"/>
        <v>AVT0001194</v>
      </c>
      <c r="B1195" s="13" t="str">
        <f>VLOOKUP(D1195,'SUPPLIER_ITEMS (1st Tools)'!C1720:D3447,2,FALSE)</f>
        <v>1ST-358-1719</v>
      </c>
      <c r="C1195" s="14" t="s">
        <v>72</v>
      </c>
      <c r="D1195" s="20" t="s">
        <v>3579</v>
      </c>
      <c r="F1195" s="30" t="str">
        <f t="shared" si="48"/>
        <v>AV55170-2 SILICONE SEALANT WHITE</v>
      </c>
      <c r="I1195" s="31" t="str">
        <f>VLOOKUP(D1195,'[1]NEW PRICE LIST'!$C$4:$D$1917,2,FALSE)</f>
        <v>24PCS/CTN</v>
      </c>
      <c r="J1195" s="13" t="s">
        <v>300</v>
      </c>
      <c r="K1195" s="32">
        <f>VLOOKUP(D1195,'[1]NEW PRICE LIST'!$C$4:$H$1917,3,FALSE)</f>
        <v>105</v>
      </c>
      <c r="L1195" s="13">
        <v>100</v>
      </c>
      <c r="M1195" s="13">
        <v>0</v>
      </c>
      <c r="N1195" s="13">
        <v>0</v>
      </c>
    </row>
    <row r="1196" spans="1:14" x14ac:dyDescent="0.25">
      <c r="A1196" s="14" t="str">
        <f t="shared" si="47"/>
        <v>AVT0001195</v>
      </c>
      <c r="B1196" s="13" t="str">
        <f>VLOOKUP(D1196,'SUPPLIER_ITEMS (1st Tools)'!C1721:D3448,2,FALSE)</f>
        <v>1ST-358-1720</v>
      </c>
      <c r="C1196" s="14" t="s">
        <v>72</v>
      </c>
      <c r="D1196" s="18" t="s">
        <v>3580</v>
      </c>
      <c r="F1196" s="30" t="str">
        <f t="shared" si="48"/>
        <v>AV55170-3 SILICONE SEALANT BLACK</v>
      </c>
      <c r="I1196" s="31" t="str">
        <f>VLOOKUP(D1196,'[1]NEW PRICE LIST'!$C$4:$D$1917,2,FALSE)</f>
        <v>24PCS/CTN</v>
      </c>
      <c r="J1196" s="13" t="s">
        <v>300</v>
      </c>
      <c r="K1196" s="32">
        <f>VLOOKUP(D1196,'[1]NEW PRICE LIST'!$C$4:$H$1917,3,FALSE)</f>
        <v>105</v>
      </c>
      <c r="L1196" s="13">
        <v>100</v>
      </c>
      <c r="M1196" s="13">
        <v>0</v>
      </c>
      <c r="N1196" s="13">
        <v>0</v>
      </c>
    </row>
    <row r="1197" spans="1:14" x14ac:dyDescent="0.25">
      <c r="A1197" s="14" t="str">
        <f t="shared" si="47"/>
        <v>AVT0001196</v>
      </c>
      <c r="B1197" s="13" t="str">
        <f>VLOOKUP(D1197,'SUPPLIER_ITEMS (1st Tools)'!C1722:D3449,2,FALSE)</f>
        <v>1ST-358-1721</v>
      </c>
      <c r="C1197" s="14" t="s">
        <v>72</v>
      </c>
      <c r="D1197" s="18" t="s">
        <v>3581</v>
      </c>
      <c r="F1197" s="30" t="str">
        <f t="shared" si="48"/>
        <v>AV55170-4 SILICONE SEALANT BROWN</v>
      </c>
      <c r="I1197" s="31" t="str">
        <f>VLOOKUP(D1197,'[1]NEW PRICE LIST'!$C$4:$D$1917,2,FALSE)</f>
        <v>24PCS/CTN</v>
      </c>
      <c r="J1197" s="13" t="s">
        <v>300</v>
      </c>
      <c r="K1197" s="32">
        <f>VLOOKUP(D1197,'[1]NEW PRICE LIST'!$C$4:$H$1917,3,FALSE)</f>
        <v>105</v>
      </c>
      <c r="L1197" s="13">
        <v>100</v>
      </c>
      <c r="M1197" s="13">
        <v>0</v>
      </c>
      <c r="N1197" s="13">
        <v>0</v>
      </c>
    </row>
    <row r="1198" spans="1:14" x14ac:dyDescent="0.25">
      <c r="A1198" s="14" t="str">
        <f t="shared" si="47"/>
        <v>AVT0001197</v>
      </c>
      <c r="B1198" s="13" t="str">
        <f>VLOOKUP(D1198,'SUPPLIER_ITEMS (1st Tools)'!C1723:D3450,2,FALSE)</f>
        <v>1ST-358-1722</v>
      </c>
      <c r="C1198" s="14" t="s">
        <v>72</v>
      </c>
      <c r="D1198" s="19" t="s">
        <v>3582</v>
      </c>
      <c r="F1198" s="30" t="str">
        <f t="shared" si="48"/>
        <v>AV55170-5 SILICONE SEALANT GRAY</v>
      </c>
      <c r="I1198" s="31" t="str">
        <f>VLOOKUP(D1198,'[1]NEW PRICE LIST'!$C$4:$D$1917,2,FALSE)</f>
        <v>24PCS/CTN</v>
      </c>
      <c r="J1198" s="13" t="s">
        <v>300</v>
      </c>
      <c r="K1198" s="32">
        <f>VLOOKUP(D1198,'[1]NEW PRICE LIST'!$C$4:$H$1917,3,FALSE)</f>
        <v>105</v>
      </c>
      <c r="L1198" s="13">
        <v>100</v>
      </c>
      <c r="M1198" s="13">
        <v>0</v>
      </c>
      <c r="N1198" s="13">
        <v>0</v>
      </c>
    </row>
    <row r="1199" spans="1:14" x14ac:dyDescent="0.25">
      <c r="A1199" s="14" t="str">
        <f t="shared" si="47"/>
        <v>AVT0001198</v>
      </c>
      <c r="B1199" s="13" t="str">
        <f>VLOOKUP(D1199,'SUPPLIER_ITEMS (1st Tools)'!C1724:D3451,2,FALSE)</f>
        <v>1ST-358-1723</v>
      </c>
      <c r="C1199" s="14" t="s">
        <v>71</v>
      </c>
      <c r="D1199" s="14" t="s">
        <v>2002</v>
      </c>
      <c r="F1199" s="30" t="str">
        <f t="shared" si="48"/>
        <v>AV55171 ACRYLIC CAULKING SEALANT</v>
      </c>
      <c r="I1199" s="31" t="str">
        <f>VLOOKUP(D1199,'[1]NEW PRICE LIST'!$C$4:$D$1917,2,FALSE)</f>
        <v>24PCS/CTN</v>
      </c>
      <c r="J1199" s="13" t="s">
        <v>300</v>
      </c>
      <c r="K1199" s="32">
        <f>VLOOKUP(D1199,'[1]NEW PRICE LIST'!$C$4:$H$1917,3,FALSE)</f>
        <v>105</v>
      </c>
      <c r="L1199" s="13">
        <v>100</v>
      </c>
      <c r="M1199" s="13">
        <v>0</v>
      </c>
      <c r="N1199" s="13">
        <v>0</v>
      </c>
    </row>
  </sheetData>
  <autoFilter ref="A1:P1199" xr:uid="{6C6E089E-C4BB-42CD-8880-01A3564BA604}"/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61F2C-5370-4669-8F1B-CC6DE82212BB}">
  <dimension ref="A1:J125"/>
  <sheetViews>
    <sheetView tabSelected="1" topLeftCell="C1" zoomScale="85" zoomScaleNormal="85" workbookViewId="0">
      <pane ySplit="1" topLeftCell="A2" activePane="bottomLeft" state="frozen"/>
      <selection pane="bottomLeft" activeCell="J125" sqref="J2:J125"/>
    </sheetView>
  </sheetViews>
  <sheetFormatPr defaultRowHeight="13.2" x14ac:dyDescent="0.25"/>
  <cols>
    <col min="1" max="1" width="25.6640625" style="13" bestFit="1" customWidth="1"/>
    <col min="2" max="2" width="78.33203125" style="13" bestFit="1" customWidth="1"/>
    <col min="3" max="3" width="89.21875" style="13" bestFit="1" customWidth="1"/>
    <col min="4" max="4" width="15.21875" style="13" customWidth="1"/>
    <col min="5" max="5" width="14.109375" style="13" bestFit="1" customWidth="1"/>
    <col min="6" max="8" width="9.88671875" style="13" customWidth="1"/>
    <col min="9" max="9" width="12.33203125" style="13" bestFit="1" customWidth="1"/>
    <col min="10" max="10" width="11.77734375" style="13" bestFit="1" customWidth="1"/>
    <col min="11" max="16384" width="8.88671875" style="13"/>
  </cols>
  <sheetData>
    <row r="1" spans="1:10" s="16" customFormat="1" ht="12.6" x14ac:dyDescent="0.2">
      <c r="A1" s="15" t="s">
        <v>432</v>
      </c>
      <c r="B1" s="15" t="s">
        <v>494</v>
      </c>
      <c r="C1" s="15" t="s">
        <v>435</v>
      </c>
      <c r="D1" s="15" t="s">
        <v>433</v>
      </c>
      <c r="E1" s="15" t="s">
        <v>3419</v>
      </c>
      <c r="F1" s="15" t="s">
        <v>483</v>
      </c>
      <c r="G1" s="15" t="s">
        <v>484</v>
      </c>
      <c r="H1" s="15" t="s">
        <v>737</v>
      </c>
      <c r="I1" s="15" t="s">
        <v>437</v>
      </c>
      <c r="J1" s="15" t="s">
        <v>438</v>
      </c>
    </row>
    <row r="2" spans="1:10" x14ac:dyDescent="0.25">
      <c r="A2" s="17" t="s">
        <v>3987</v>
      </c>
      <c r="B2" s="14" t="s">
        <v>4027</v>
      </c>
      <c r="C2" s="18" t="s">
        <v>3994</v>
      </c>
      <c r="D2" s="14" t="s">
        <v>3991</v>
      </c>
      <c r="E2" s="19" t="s">
        <v>3993</v>
      </c>
      <c r="F2" s="19">
        <v>1350</v>
      </c>
      <c r="G2" s="19" t="s">
        <v>3992</v>
      </c>
      <c r="H2" s="19">
        <v>20</v>
      </c>
      <c r="I2" s="20"/>
      <c r="J2" s="14" t="s">
        <v>3629</v>
      </c>
    </row>
    <row r="3" spans="1:10" x14ac:dyDescent="0.25">
      <c r="A3" s="17" t="s">
        <v>3987</v>
      </c>
      <c r="B3" s="14" t="s">
        <v>4027</v>
      </c>
      <c r="C3" s="18" t="s">
        <v>3995</v>
      </c>
      <c r="D3" s="14" t="str">
        <f>LEFT($D$2,FIND("-",$D$2,FIND("-",$D$2)+1)) &amp; TEXT(RIGHT($D$2,3)+ROW(D1),"000")</f>
        <v>ROY-187-002</v>
      </c>
      <c r="E3" s="19" t="s">
        <v>3993</v>
      </c>
      <c r="F3" s="13">
        <v>1980</v>
      </c>
      <c r="G3" s="19" t="s">
        <v>3992</v>
      </c>
      <c r="H3" s="19">
        <v>20</v>
      </c>
      <c r="J3" s="14" t="s">
        <v>3629</v>
      </c>
    </row>
    <row r="4" spans="1:10" x14ac:dyDescent="0.25">
      <c r="A4" s="17" t="s">
        <v>3987</v>
      </c>
      <c r="B4" s="14" t="s">
        <v>4027</v>
      </c>
      <c r="C4" s="18" t="s">
        <v>3996</v>
      </c>
      <c r="D4" s="14" t="str">
        <f>LEFT($D$2,FIND("-",$D$2,FIND("-",$D$2)+1)) &amp; TEXT(RIGHT($D$2,3)+ROW(D2),"000")</f>
        <v>ROY-187-003</v>
      </c>
      <c r="E4" s="19" t="s">
        <v>3993</v>
      </c>
      <c r="F4" s="13">
        <v>3030</v>
      </c>
      <c r="G4" s="19" t="s">
        <v>3992</v>
      </c>
      <c r="H4" s="19">
        <v>20</v>
      </c>
      <c r="J4" s="14" t="s">
        <v>3629</v>
      </c>
    </row>
    <row r="5" spans="1:10" x14ac:dyDescent="0.25">
      <c r="A5" s="17" t="s">
        <v>3987</v>
      </c>
      <c r="B5" s="14" t="s">
        <v>4027</v>
      </c>
      <c r="C5" s="18" t="s">
        <v>3997</v>
      </c>
      <c r="D5" s="14" t="str">
        <f>LEFT($D$2,FIND("-",$D$2,FIND("-",$D$2)+1)) &amp; TEXT(RIGHT($D$2,3)+ROW(D3),"000")</f>
        <v>ROY-187-004</v>
      </c>
      <c r="E5" s="13" t="s">
        <v>3998</v>
      </c>
      <c r="F5" s="13">
        <v>6320</v>
      </c>
      <c r="G5" s="13" t="s">
        <v>3999</v>
      </c>
      <c r="H5" s="19">
        <v>20</v>
      </c>
      <c r="J5" s="14" t="s">
        <v>3629</v>
      </c>
    </row>
    <row r="6" spans="1:10" x14ac:dyDescent="0.25">
      <c r="A6" s="17" t="s">
        <v>3987</v>
      </c>
      <c r="B6" s="14" t="s">
        <v>4027</v>
      </c>
      <c r="C6" s="18" t="s">
        <v>4000</v>
      </c>
      <c r="D6" s="14" t="str">
        <f>LEFT($D$2,FIND("-",$D$2,FIND("-",$D$2)+1)) &amp; TEXT(RIGHT($D$2,3)+ROW(D4),"000")</f>
        <v>ROY-187-005</v>
      </c>
      <c r="E6" s="13" t="s">
        <v>4001</v>
      </c>
      <c r="F6" s="13">
        <v>7545</v>
      </c>
      <c r="G6" s="13" t="s">
        <v>4002</v>
      </c>
      <c r="H6" s="19">
        <v>20</v>
      </c>
      <c r="J6" s="14" t="s">
        <v>3629</v>
      </c>
    </row>
    <row r="7" spans="1:10" x14ac:dyDescent="0.25">
      <c r="A7" s="17" t="s">
        <v>3987</v>
      </c>
      <c r="B7" s="13" t="s">
        <v>4033</v>
      </c>
      <c r="C7" s="13" t="s">
        <v>4017</v>
      </c>
      <c r="D7" s="14" t="str">
        <f t="shared" ref="D7:D70" si="0">LEFT($D$2,FIND("-",$D$2,FIND("-",$D$2)+1)) &amp; TEXT(RIGHT($D$2,3)+ROW(D5),"000")</f>
        <v>ROY-187-006</v>
      </c>
      <c r="E7" s="13" t="s">
        <v>4018</v>
      </c>
      <c r="F7" s="13">
        <v>420</v>
      </c>
      <c r="G7" s="13" t="s">
        <v>297</v>
      </c>
      <c r="H7" s="19">
        <v>20</v>
      </c>
      <c r="J7" s="14" t="s">
        <v>3629</v>
      </c>
    </row>
    <row r="8" spans="1:10" x14ac:dyDescent="0.25">
      <c r="A8" s="17" t="s">
        <v>3987</v>
      </c>
      <c r="B8" s="13" t="s">
        <v>4033</v>
      </c>
      <c r="C8" s="13" t="s">
        <v>4019</v>
      </c>
      <c r="D8" s="14" t="str">
        <f t="shared" si="0"/>
        <v>ROY-187-007</v>
      </c>
      <c r="E8" s="13" t="s">
        <v>4018</v>
      </c>
      <c r="F8" s="13">
        <v>420</v>
      </c>
      <c r="G8" s="13" t="s">
        <v>297</v>
      </c>
      <c r="H8" s="19">
        <v>20</v>
      </c>
      <c r="J8" s="14" t="s">
        <v>3629</v>
      </c>
    </row>
    <row r="9" spans="1:10" x14ac:dyDescent="0.25">
      <c r="A9" s="17" t="s">
        <v>3987</v>
      </c>
      <c r="B9" s="13" t="s">
        <v>4033</v>
      </c>
      <c r="C9" s="13" t="s">
        <v>4020</v>
      </c>
      <c r="D9" s="14" t="str">
        <f t="shared" si="0"/>
        <v>ROY-187-008</v>
      </c>
      <c r="E9" s="13" t="s">
        <v>4018</v>
      </c>
      <c r="F9" s="13">
        <v>420</v>
      </c>
      <c r="G9" s="13" t="s">
        <v>297</v>
      </c>
      <c r="H9" s="19">
        <v>20</v>
      </c>
      <c r="J9" s="14" t="s">
        <v>3629</v>
      </c>
    </row>
    <row r="10" spans="1:10" x14ac:dyDescent="0.25">
      <c r="A10" s="17" t="s">
        <v>3987</v>
      </c>
      <c r="B10" s="13" t="s">
        <v>4033</v>
      </c>
      <c r="C10" s="13" t="s">
        <v>4021</v>
      </c>
      <c r="D10" s="14" t="str">
        <f t="shared" si="0"/>
        <v>ROY-187-009</v>
      </c>
      <c r="E10" s="13" t="s">
        <v>4018</v>
      </c>
      <c r="F10" s="13">
        <v>420</v>
      </c>
      <c r="G10" s="13" t="s">
        <v>297</v>
      </c>
      <c r="H10" s="19">
        <v>20</v>
      </c>
      <c r="J10" s="14" t="s">
        <v>3629</v>
      </c>
    </row>
    <row r="11" spans="1:10" x14ac:dyDescent="0.25">
      <c r="A11" s="17" t="s">
        <v>3987</v>
      </c>
      <c r="B11" s="13" t="s">
        <v>4033</v>
      </c>
      <c r="C11" s="13" t="s">
        <v>4022</v>
      </c>
      <c r="D11" s="14" t="str">
        <f t="shared" si="0"/>
        <v>ROY-187-010</v>
      </c>
      <c r="E11" s="13" t="s">
        <v>4018</v>
      </c>
      <c r="F11" s="13">
        <v>450</v>
      </c>
      <c r="G11" s="13" t="s">
        <v>297</v>
      </c>
      <c r="H11" s="19">
        <v>20</v>
      </c>
      <c r="J11" s="14" t="s">
        <v>3629</v>
      </c>
    </row>
    <row r="12" spans="1:10" x14ac:dyDescent="0.25">
      <c r="A12" s="17" t="s">
        <v>3987</v>
      </c>
      <c r="B12" s="13" t="s">
        <v>4034</v>
      </c>
      <c r="C12" s="13" t="s">
        <v>4004</v>
      </c>
      <c r="D12" s="14" t="str">
        <f t="shared" si="0"/>
        <v>ROY-187-011</v>
      </c>
      <c r="E12" s="13" t="s">
        <v>4003</v>
      </c>
      <c r="F12" s="13">
        <v>500</v>
      </c>
      <c r="G12" s="13" t="s">
        <v>297</v>
      </c>
      <c r="H12" s="19">
        <v>20</v>
      </c>
      <c r="J12" s="14" t="s">
        <v>3629</v>
      </c>
    </row>
    <row r="13" spans="1:10" x14ac:dyDescent="0.25">
      <c r="A13" s="17" t="s">
        <v>3987</v>
      </c>
      <c r="B13" s="13" t="s">
        <v>4034</v>
      </c>
      <c r="C13" s="13" t="s">
        <v>4005</v>
      </c>
      <c r="D13" s="14" t="str">
        <f t="shared" si="0"/>
        <v>ROY-187-012</v>
      </c>
      <c r="E13" s="13" t="s">
        <v>4003</v>
      </c>
      <c r="F13" s="13">
        <v>500</v>
      </c>
      <c r="G13" s="13" t="s">
        <v>297</v>
      </c>
      <c r="H13" s="19">
        <v>20</v>
      </c>
      <c r="J13" s="14" t="s">
        <v>3629</v>
      </c>
    </row>
    <row r="14" spans="1:10" x14ac:dyDescent="0.25">
      <c r="A14" s="17" t="s">
        <v>3987</v>
      </c>
      <c r="B14" s="13" t="s">
        <v>4034</v>
      </c>
      <c r="C14" s="13" t="s">
        <v>4006</v>
      </c>
      <c r="D14" s="14" t="str">
        <f t="shared" si="0"/>
        <v>ROY-187-013</v>
      </c>
      <c r="E14" s="13" t="s">
        <v>4003</v>
      </c>
      <c r="F14" s="13">
        <v>500</v>
      </c>
      <c r="G14" s="13" t="s">
        <v>297</v>
      </c>
      <c r="H14" s="19">
        <v>20</v>
      </c>
      <c r="J14" s="14" t="s">
        <v>3629</v>
      </c>
    </row>
    <row r="15" spans="1:10" x14ac:dyDescent="0.25">
      <c r="A15" s="17" t="s">
        <v>3987</v>
      </c>
      <c r="B15" s="13" t="s">
        <v>4034</v>
      </c>
      <c r="C15" s="13" t="s">
        <v>4007</v>
      </c>
      <c r="D15" s="14" t="str">
        <f t="shared" si="0"/>
        <v>ROY-187-014</v>
      </c>
      <c r="E15" s="13" t="s">
        <v>4003</v>
      </c>
      <c r="F15" s="13">
        <v>530</v>
      </c>
      <c r="G15" s="13" t="s">
        <v>297</v>
      </c>
      <c r="H15" s="19">
        <v>20</v>
      </c>
      <c r="J15" s="14" t="s">
        <v>3629</v>
      </c>
    </row>
    <row r="16" spans="1:10" x14ac:dyDescent="0.25">
      <c r="A16" s="17" t="s">
        <v>3987</v>
      </c>
      <c r="B16" s="13" t="s">
        <v>4034</v>
      </c>
      <c r="C16" s="13" t="s">
        <v>4008</v>
      </c>
      <c r="D16" s="14" t="str">
        <f t="shared" si="0"/>
        <v>ROY-187-015</v>
      </c>
      <c r="E16" s="13" t="s">
        <v>4003</v>
      </c>
      <c r="F16" s="13">
        <v>550</v>
      </c>
      <c r="G16" s="13" t="s">
        <v>297</v>
      </c>
      <c r="H16" s="19">
        <v>20</v>
      </c>
      <c r="J16" s="14" t="s">
        <v>3629</v>
      </c>
    </row>
    <row r="17" spans="1:10" x14ac:dyDescent="0.25">
      <c r="A17" s="17" t="s">
        <v>3987</v>
      </c>
      <c r="B17" s="13" t="s">
        <v>4034</v>
      </c>
      <c r="C17" s="13" t="s">
        <v>4009</v>
      </c>
      <c r="D17" s="14" t="str">
        <f t="shared" si="0"/>
        <v>ROY-187-016</v>
      </c>
      <c r="E17" s="13" t="s">
        <v>4003</v>
      </c>
      <c r="F17" s="13">
        <v>700</v>
      </c>
      <c r="G17" s="13" t="s">
        <v>297</v>
      </c>
      <c r="H17" s="19">
        <v>20</v>
      </c>
      <c r="J17" s="14" t="s">
        <v>3629</v>
      </c>
    </row>
    <row r="18" spans="1:10" x14ac:dyDescent="0.25">
      <c r="A18" s="17" t="s">
        <v>3987</v>
      </c>
      <c r="B18" s="13" t="s">
        <v>4035</v>
      </c>
      <c r="C18" s="13" t="s">
        <v>4010</v>
      </c>
      <c r="D18" s="14" t="str">
        <f t="shared" si="0"/>
        <v>ROY-187-017</v>
      </c>
      <c r="E18" s="13" t="s">
        <v>4003</v>
      </c>
      <c r="F18" s="13">
        <v>600</v>
      </c>
      <c r="G18" s="13" t="s">
        <v>297</v>
      </c>
      <c r="H18" s="19">
        <v>20</v>
      </c>
      <c r="J18" s="14" t="s">
        <v>3629</v>
      </c>
    </row>
    <row r="19" spans="1:10" x14ac:dyDescent="0.25">
      <c r="A19" s="17" t="s">
        <v>3987</v>
      </c>
      <c r="B19" s="13" t="s">
        <v>4035</v>
      </c>
      <c r="C19" s="13" t="s">
        <v>4011</v>
      </c>
      <c r="D19" s="14" t="str">
        <f t="shared" si="0"/>
        <v>ROY-187-018</v>
      </c>
      <c r="E19" s="13" t="s">
        <v>4003</v>
      </c>
      <c r="F19" s="13">
        <v>600</v>
      </c>
      <c r="G19" s="13" t="s">
        <v>297</v>
      </c>
      <c r="H19" s="19">
        <v>20</v>
      </c>
      <c r="J19" s="14" t="s">
        <v>3629</v>
      </c>
    </row>
    <row r="20" spans="1:10" x14ac:dyDescent="0.25">
      <c r="A20" s="17" t="s">
        <v>3987</v>
      </c>
      <c r="B20" s="13" t="s">
        <v>4035</v>
      </c>
      <c r="C20" s="13" t="s">
        <v>4012</v>
      </c>
      <c r="D20" s="14" t="str">
        <f t="shared" si="0"/>
        <v>ROY-187-019</v>
      </c>
      <c r="E20" s="13" t="s">
        <v>4003</v>
      </c>
      <c r="F20" s="13">
        <v>600</v>
      </c>
      <c r="G20" s="13" t="s">
        <v>297</v>
      </c>
      <c r="H20" s="19">
        <v>20</v>
      </c>
      <c r="J20" s="14" t="s">
        <v>3629</v>
      </c>
    </row>
    <row r="21" spans="1:10" x14ac:dyDescent="0.25">
      <c r="A21" s="17" t="s">
        <v>3987</v>
      </c>
      <c r="B21" s="13" t="s">
        <v>4036</v>
      </c>
      <c r="C21" s="13" t="s">
        <v>4013</v>
      </c>
      <c r="D21" s="14" t="str">
        <f t="shared" si="0"/>
        <v>ROY-187-020</v>
      </c>
      <c r="E21" s="13" t="s">
        <v>4003</v>
      </c>
      <c r="F21" s="13">
        <v>550</v>
      </c>
      <c r="G21" s="13" t="s">
        <v>297</v>
      </c>
      <c r="H21" s="19">
        <v>20</v>
      </c>
      <c r="J21" s="14" t="s">
        <v>3629</v>
      </c>
    </row>
    <row r="22" spans="1:10" x14ac:dyDescent="0.25">
      <c r="A22" s="17" t="s">
        <v>3987</v>
      </c>
      <c r="B22" s="13" t="s">
        <v>4036</v>
      </c>
      <c r="C22" s="13" t="s">
        <v>4014</v>
      </c>
      <c r="D22" s="14" t="str">
        <f t="shared" si="0"/>
        <v>ROY-187-021</v>
      </c>
      <c r="E22" s="13" t="s">
        <v>4003</v>
      </c>
      <c r="F22" s="13">
        <v>550</v>
      </c>
      <c r="G22" s="13" t="s">
        <v>297</v>
      </c>
      <c r="H22" s="19">
        <v>20</v>
      </c>
      <c r="J22" s="14" t="s">
        <v>3629</v>
      </c>
    </row>
    <row r="23" spans="1:10" x14ac:dyDescent="0.25">
      <c r="A23" s="17" t="s">
        <v>3987</v>
      </c>
      <c r="B23" s="13" t="s">
        <v>4036</v>
      </c>
      <c r="C23" s="13" t="s">
        <v>4015</v>
      </c>
      <c r="D23" s="14" t="str">
        <f t="shared" si="0"/>
        <v>ROY-187-022</v>
      </c>
      <c r="E23" s="13" t="s">
        <v>4003</v>
      </c>
      <c r="F23" s="13">
        <v>550</v>
      </c>
      <c r="G23" s="13" t="s">
        <v>297</v>
      </c>
      <c r="H23" s="19">
        <v>20</v>
      </c>
      <c r="J23" s="14" t="s">
        <v>3629</v>
      </c>
    </row>
    <row r="24" spans="1:10" x14ac:dyDescent="0.25">
      <c r="A24" s="17" t="s">
        <v>3987</v>
      </c>
      <c r="B24" s="13" t="s">
        <v>4037</v>
      </c>
      <c r="C24" s="13" t="s">
        <v>4016</v>
      </c>
      <c r="D24" s="14" t="str">
        <f t="shared" si="0"/>
        <v>ROY-187-023</v>
      </c>
      <c r="E24" s="13" t="s">
        <v>4018</v>
      </c>
      <c r="F24" s="13">
        <v>300</v>
      </c>
      <c r="G24" s="13" t="s">
        <v>297</v>
      </c>
      <c r="H24" s="19">
        <v>20</v>
      </c>
      <c r="J24" s="14" t="s">
        <v>3629</v>
      </c>
    </row>
    <row r="25" spans="1:10" x14ac:dyDescent="0.25">
      <c r="A25" s="17" t="s">
        <v>3987</v>
      </c>
      <c r="B25" s="13" t="s">
        <v>4037</v>
      </c>
      <c r="C25" s="13" t="s">
        <v>4023</v>
      </c>
      <c r="D25" s="14" t="str">
        <f t="shared" si="0"/>
        <v>ROY-187-024</v>
      </c>
      <c r="E25" s="13" t="s">
        <v>4018</v>
      </c>
      <c r="F25" s="13">
        <v>300</v>
      </c>
      <c r="G25" s="13" t="s">
        <v>297</v>
      </c>
      <c r="H25" s="19">
        <v>20</v>
      </c>
      <c r="J25" s="14" t="s">
        <v>3629</v>
      </c>
    </row>
    <row r="26" spans="1:10" x14ac:dyDescent="0.25">
      <c r="A26" s="17" t="s">
        <v>3987</v>
      </c>
      <c r="B26" s="13" t="s">
        <v>4037</v>
      </c>
      <c r="C26" s="13" t="s">
        <v>4024</v>
      </c>
      <c r="D26" s="14" t="str">
        <f t="shared" si="0"/>
        <v>ROY-187-025</v>
      </c>
      <c r="E26" s="13" t="s">
        <v>4018</v>
      </c>
      <c r="F26" s="13">
        <v>300</v>
      </c>
      <c r="G26" s="13" t="s">
        <v>297</v>
      </c>
      <c r="H26" s="19">
        <v>20</v>
      </c>
      <c r="J26" s="14" t="s">
        <v>3629</v>
      </c>
    </row>
    <row r="27" spans="1:10" x14ac:dyDescent="0.25">
      <c r="A27" s="17" t="s">
        <v>3987</v>
      </c>
      <c r="B27" s="13" t="s">
        <v>4037</v>
      </c>
      <c r="C27" s="13" t="s">
        <v>4025</v>
      </c>
      <c r="D27" s="14" t="str">
        <f t="shared" si="0"/>
        <v>ROY-187-026</v>
      </c>
      <c r="E27" s="13" t="s">
        <v>4018</v>
      </c>
      <c r="F27" s="13">
        <v>320</v>
      </c>
      <c r="G27" s="13" t="s">
        <v>297</v>
      </c>
      <c r="H27" s="19">
        <v>20</v>
      </c>
      <c r="J27" s="14" t="s">
        <v>3629</v>
      </c>
    </row>
    <row r="28" spans="1:10" x14ac:dyDescent="0.25">
      <c r="A28" s="17" t="s">
        <v>3987</v>
      </c>
      <c r="B28" s="13" t="s">
        <v>4037</v>
      </c>
      <c r="C28" s="13" t="s">
        <v>4026</v>
      </c>
      <c r="D28" s="14" t="str">
        <f t="shared" si="0"/>
        <v>ROY-187-027</v>
      </c>
      <c r="E28" s="13" t="s">
        <v>4018</v>
      </c>
      <c r="F28" s="13">
        <v>320</v>
      </c>
      <c r="G28" s="13" t="s">
        <v>297</v>
      </c>
      <c r="H28" s="19">
        <v>20</v>
      </c>
      <c r="J28" s="14" t="s">
        <v>3629</v>
      </c>
    </row>
    <row r="29" spans="1:10" x14ac:dyDescent="0.25">
      <c r="A29" s="17" t="s">
        <v>3987</v>
      </c>
      <c r="B29" s="13" t="s">
        <v>4037</v>
      </c>
      <c r="C29" s="13" t="s">
        <v>4028</v>
      </c>
      <c r="D29" s="14" t="str">
        <f t="shared" si="0"/>
        <v>ROY-187-028</v>
      </c>
      <c r="E29" s="13" t="s">
        <v>4018</v>
      </c>
      <c r="F29" s="13">
        <v>300</v>
      </c>
      <c r="G29" s="13" t="s">
        <v>297</v>
      </c>
      <c r="H29" s="19">
        <v>20</v>
      </c>
      <c r="J29" s="14" t="s">
        <v>3629</v>
      </c>
    </row>
    <row r="30" spans="1:10" x14ac:dyDescent="0.25">
      <c r="A30" s="17" t="s">
        <v>3987</v>
      </c>
      <c r="B30" s="13" t="s">
        <v>4037</v>
      </c>
      <c r="C30" s="13" t="s">
        <v>4029</v>
      </c>
      <c r="D30" s="14" t="str">
        <f t="shared" si="0"/>
        <v>ROY-187-029</v>
      </c>
      <c r="E30" s="13" t="s">
        <v>4018</v>
      </c>
      <c r="F30" s="13">
        <v>300</v>
      </c>
      <c r="G30" s="13" t="s">
        <v>297</v>
      </c>
      <c r="H30" s="19">
        <v>20</v>
      </c>
      <c r="J30" s="14" t="s">
        <v>3629</v>
      </c>
    </row>
    <row r="31" spans="1:10" x14ac:dyDescent="0.25">
      <c r="A31" s="17" t="s">
        <v>3987</v>
      </c>
      <c r="B31" s="13" t="s">
        <v>4037</v>
      </c>
      <c r="C31" s="13" t="s">
        <v>4030</v>
      </c>
      <c r="D31" s="14" t="str">
        <f t="shared" si="0"/>
        <v>ROY-187-030</v>
      </c>
      <c r="E31" s="13" t="s">
        <v>4018</v>
      </c>
      <c r="F31" s="13">
        <v>300</v>
      </c>
      <c r="G31" s="13" t="s">
        <v>297</v>
      </c>
      <c r="H31" s="19">
        <v>20</v>
      </c>
      <c r="J31" s="14" t="s">
        <v>3629</v>
      </c>
    </row>
    <row r="32" spans="1:10" x14ac:dyDescent="0.25">
      <c r="A32" s="17" t="s">
        <v>3987</v>
      </c>
      <c r="B32" s="13" t="s">
        <v>4037</v>
      </c>
      <c r="C32" s="13" t="s">
        <v>4031</v>
      </c>
      <c r="D32" s="14" t="str">
        <f t="shared" si="0"/>
        <v>ROY-187-031</v>
      </c>
      <c r="E32" s="13" t="s">
        <v>4018</v>
      </c>
      <c r="F32" s="13">
        <v>320</v>
      </c>
      <c r="G32" s="13" t="s">
        <v>297</v>
      </c>
      <c r="H32" s="19">
        <v>20</v>
      </c>
      <c r="J32" s="14" t="s">
        <v>3629</v>
      </c>
    </row>
    <row r="33" spans="1:10" x14ac:dyDescent="0.25">
      <c r="A33" s="17" t="s">
        <v>3987</v>
      </c>
      <c r="B33" s="13" t="s">
        <v>4037</v>
      </c>
      <c r="C33" s="13" t="s">
        <v>4032</v>
      </c>
      <c r="D33" s="14" t="str">
        <f t="shared" si="0"/>
        <v>ROY-187-032</v>
      </c>
      <c r="E33" s="13" t="s">
        <v>4018</v>
      </c>
      <c r="F33" s="13">
        <v>320</v>
      </c>
      <c r="G33" s="13" t="s">
        <v>297</v>
      </c>
      <c r="H33" s="19">
        <v>20</v>
      </c>
      <c r="J33" s="14" t="s">
        <v>3629</v>
      </c>
    </row>
    <row r="34" spans="1:10" x14ac:dyDescent="0.25">
      <c r="A34" s="17" t="s">
        <v>3987</v>
      </c>
      <c r="B34" s="13" t="s">
        <v>4039</v>
      </c>
      <c r="C34" s="13" t="s">
        <v>4038</v>
      </c>
      <c r="D34" s="14" t="str">
        <f t="shared" si="0"/>
        <v>ROY-187-033</v>
      </c>
      <c r="E34" s="13" t="s">
        <v>4040</v>
      </c>
      <c r="F34" s="13">
        <v>27</v>
      </c>
      <c r="G34" s="13" t="s">
        <v>297</v>
      </c>
      <c r="H34" s="19">
        <v>20</v>
      </c>
      <c r="J34" s="14" t="s">
        <v>3629</v>
      </c>
    </row>
    <row r="35" spans="1:10" x14ac:dyDescent="0.25">
      <c r="A35" s="17" t="s">
        <v>3987</v>
      </c>
      <c r="B35" s="13" t="s">
        <v>4039</v>
      </c>
      <c r="C35" s="13" t="s">
        <v>4041</v>
      </c>
      <c r="D35" s="14" t="str">
        <f t="shared" si="0"/>
        <v>ROY-187-034</v>
      </c>
      <c r="E35" s="13" t="s">
        <v>4040</v>
      </c>
      <c r="F35" s="13">
        <v>27</v>
      </c>
      <c r="G35" s="13" t="s">
        <v>297</v>
      </c>
      <c r="H35" s="19">
        <v>20</v>
      </c>
      <c r="J35" s="14" t="s">
        <v>3629</v>
      </c>
    </row>
    <row r="36" spans="1:10" x14ac:dyDescent="0.25">
      <c r="A36" s="17" t="s">
        <v>3987</v>
      </c>
      <c r="B36" s="13" t="s">
        <v>4039</v>
      </c>
      <c r="C36" s="13" t="s">
        <v>4042</v>
      </c>
      <c r="D36" s="14" t="str">
        <f t="shared" si="0"/>
        <v>ROY-187-035</v>
      </c>
      <c r="E36" s="13" t="s">
        <v>4040</v>
      </c>
      <c r="F36" s="13">
        <v>27</v>
      </c>
      <c r="G36" s="13" t="s">
        <v>297</v>
      </c>
      <c r="H36" s="19">
        <v>20</v>
      </c>
      <c r="J36" s="14" t="s">
        <v>3629</v>
      </c>
    </row>
    <row r="37" spans="1:10" x14ac:dyDescent="0.25">
      <c r="A37" s="17" t="s">
        <v>3987</v>
      </c>
      <c r="B37" s="13" t="s">
        <v>4059</v>
      </c>
      <c r="C37" s="13" t="s">
        <v>4043</v>
      </c>
      <c r="D37" s="14" t="str">
        <f t="shared" si="0"/>
        <v>ROY-187-036</v>
      </c>
      <c r="E37" s="13" t="s">
        <v>4018</v>
      </c>
      <c r="F37" s="13">
        <v>78</v>
      </c>
      <c r="G37" s="13" t="s">
        <v>297</v>
      </c>
      <c r="H37" s="19">
        <v>20</v>
      </c>
      <c r="J37" s="14" t="s">
        <v>3629</v>
      </c>
    </row>
    <row r="38" spans="1:10" x14ac:dyDescent="0.25">
      <c r="A38" s="17" t="s">
        <v>3987</v>
      </c>
      <c r="B38" s="13" t="s">
        <v>4059</v>
      </c>
      <c r="C38" s="13" t="s">
        <v>4044</v>
      </c>
      <c r="D38" s="14" t="str">
        <f t="shared" si="0"/>
        <v>ROY-187-037</v>
      </c>
      <c r="E38" s="13" t="s">
        <v>4018</v>
      </c>
      <c r="F38" s="13">
        <v>127</v>
      </c>
      <c r="G38" s="13" t="s">
        <v>297</v>
      </c>
      <c r="H38" s="19">
        <v>20</v>
      </c>
      <c r="J38" s="14" t="s">
        <v>3629</v>
      </c>
    </row>
    <row r="39" spans="1:10" x14ac:dyDescent="0.25">
      <c r="A39" s="17" t="s">
        <v>3987</v>
      </c>
      <c r="B39" s="13" t="s">
        <v>4059</v>
      </c>
      <c r="C39" s="13" t="s">
        <v>4045</v>
      </c>
      <c r="D39" s="14" t="str">
        <f t="shared" si="0"/>
        <v>ROY-187-038</v>
      </c>
      <c r="E39" s="13" t="s">
        <v>4018</v>
      </c>
      <c r="F39" s="13">
        <v>176</v>
      </c>
      <c r="G39" s="13" t="s">
        <v>297</v>
      </c>
      <c r="H39" s="19">
        <v>20</v>
      </c>
      <c r="J39" s="14" t="s">
        <v>3629</v>
      </c>
    </row>
    <row r="40" spans="1:10" x14ac:dyDescent="0.25">
      <c r="A40" s="17" t="s">
        <v>3987</v>
      </c>
      <c r="B40" s="13" t="s">
        <v>4059</v>
      </c>
      <c r="C40" s="13" t="s">
        <v>4046</v>
      </c>
      <c r="D40" s="14" t="str">
        <f t="shared" si="0"/>
        <v>ROY-187-039</v>
      </c>
      <c r="E40" s="13" t="s">
        <v>4018</v>
      </c>
      <c r="F40" s="13">
        <v>92</v>
      </c>
      <c r="G40" s="13" t="s">
        <v>297</v>
      </c>
      <c r="H40" s="19">
        <v>20</v>
      </c>
      <c r="J40" s="14" t="s">
        <v>3629</v>
      </c>
    </row>
    <row r="41" spans="1:10" x14ac:dyDescent="0.25">
      <c r="A41" s="17" t="s">
        <v>3987</v>
      </c>
      <c r="B41" s="13" t="s">
        <v>4059</v>
      </c>
      <c r="C41" s="13" t="s">
        <v>4047</v>
      </c>
      <c r="D41" s="14" t="str">
        <f t="shared" si="0"/>
        <v>ROY-187-040</v>
      </c>
      <c r="E41" s="13" t="s">
        <v>4018</v>
      </c>
      <c r="F41" s="13">
        <v>96</v>
      </c>
      <c r="G41" s="13" t="s">
        <v>297</v>
      </c>
      <c r="H41" s="19">
        <v>20</v>
      </c>
      <c r="J41" s="14" t="s">
        <v>3629</v>
      </c>
    </row>
    <row r="42" spans="1:10" x14ac:dyDescent="0.25">
      <c r="A42" s="17" t="s">
        <v>3987</v>
      </c>
      <c r="B42" s="13" t="s">
        <v>4059</v>
      </c>
      <c r="C42" s="13" t="s">
        <v>4048</v>
      </c>
      <c r="D42" s="14" t="str">
        <f t="shared" si="0"/>
        <v>ROY-187-041</v>
      </c>
      <c r="E42" s="13" t="s">
        <v>4018</v>
      </c>
      <c r="F42" s="13">
        <v>163</v>
      </c>
      <c r="G42" s="13" t="s">
        <v>297</v>
      </c>
      <c r="H42" s="19">
        <v>20</v>
      </c>
      <c r="J42" s="14" t="s">
        <v>3629</v>
      </c>
    </row>
    <row r="43" spans="1:10" x14ac:dyDescent="0.25">
      <c r="A43" s="17" t="s">
        <v>3987</v>
      </c>
      <c r="B43" s="13" t="s">
        <v>4059</v>
      </c>
      <c r="C43" s="13" t="s">
        <v>4049</v>
      </c>
      <c r="D43" s="14" t="str">
        <f t="shared" si="0"/>
        <v>ROY-187-042</v>
      </c>
      <c r="E43" s="13" t="s">
        <v>4018</v>
      </c>
      <c r="F43" s="13">
        <v>230</v>
      </c>
      <c r="G43" s="13" t="s">
        <v>297</v>
      </c>
      <c r="H43" s="19">
        <v>20</v>
      </c>
      <c r="J43" s="14" t="s">
        <v>3629</v>
      </c>
    </row>
    <row r="44" spans="1:10" x14ac:dyDescent="0.25">
      <c r="A44" s="17" t="s">
        <v>3987</v>
      </c>
      <c r="B44" s="13" t="s">
        <v>4059</v>
      </c>
      <c r="C44" s="13" t="s">
        <v>4051</v>
      </c>
      <c r="D44" s="14" t="str">
        <f t="shared" si="0"/>
        <v>ROY-187-043</v>
      </c>
      <c r="E44" s="13" t="s">
        <v>4050</v>
      </c>
      <c r="F44" s="13">
        <v>1200</v>
      </c>
      <c r="G44" s="13" t="s">
        <v>297</v>
      </c>
      <c r="H44" s="19">
        <v>20</v>
      </c>
      <c r="J44" s="14" t="s">
        <v>3629</v>
      </c>
    </row>
    <row r="45" spans="1:10" x14ac:dyDescent="0.25">
      <c r="A45" s="17" t="s">
        <v>3987</v>
      </c>
      <c r="B45" s="13" t="s">
        <v>4059</v>
      </c>
      <c r="C45" s="13" t="s">
        <v>4057</v>
      </c>
      <c r="D45" s="14" t="str">
        <f t="shared" si="0"/>
        <v>ROY-187-044</v>
      </c>
      <c r="E45" s="13" t="s">
        <v>4018</v>
      </c>
      <c r="F45" s="13">
        <v>147</v>
      </c>
      <c r="G45" s="13" t="s">
        <v>297</v>
      </c>
      <c r="H45" s="19">
        <v>20</v>
      </c>
      <c r="J45" s="14" t="s">
        <v>3629</v>
      </c>
    </row>
    <row r="46" spans="1:10" x14ac:dyDescent="0.25">
      <c r="A46" s="17" t="s">
        <v>3987</v>
      </c>
      <c r="B46" s="13" t="s">
        <v>4059</v>
      </c>
      <c r="C46" s="13" t="s">
        <v>4052</v>
      </c>
      <c r="D46" s="14" t="str">
        <f t="shared" si="0"/>
        <v>ROY-187-045</v>
      </c>
      <c r="E46" s="13" t="s">
        <v>4018</v>
      </c>
      <c r="F46" s="13">
        <v>120</v>
      </c>
      <c r="G46" s="13" t="s">
        <v>297</v>
      </c>
      <c r="H46" s="19">
        <v>20</v>
      </c>
      <c r="J46" s="14" t="s">
        <v>3629</v>
      </c>
    </row>
    <row r="47" spans="1:10" x14ac:dyDescent="0.25">
      <c r="A47" s="17" t="s">
        <v>3987</v>
      </c>
      <c r="B47" s="13" t="s">
        <v>4059</v>
      </c>
      <c r="C47" s="13" t="s">
        <v>4053</v>
      </c>
      <c r="D47" s="14" t="str">
        <f t="shared" si="0"/>
        <v>ROY-187-046</v>
      </c>
      <c r="E47" s="13" t="s">
        <v>4018</v>
      </c>
      <c r="F47" s="13">
        <v>164</v>
      </c>
      <c r="G47" s="13" t="s">
        <v>297</v>
      </c>
      <c r="H47" s="19">
        <v>20</v>
      </c>
      <c r="J47" s="14" t="s">
        <v>3629</v>
      </c>
    </row>
    <row r="48" spans="1:10" x14ac:dyDescent="0.25">
      <c r="A48" s="17" t="s">
        <v>3987</v>
      </c>
      <c r="B48" s="13" t="s">
        <v>4059</v>
      </c>
      <c r="C48" s="13" t="s">
        <v>4054</v>
      </c>
      <c r="D48" s="14" t="str">
        <f t="shared" si="0"/>
        <v>ROY-187-047</v>
      </c>
      <c r="E48" s="13" t="s">
        <v>4018</v>
      </c>
      <c r="F48" s="13">
        <v>76</v>
      </c>
      <c r="G48" s="13" t="s">
        <v>297</v>
      </c>
      <c r="H48" s="19">
        <v>20</v>
      </c>
      <c r="J48" s="14" t="s">
        <v>3629</v>
      </c>
    </row>
    <row r="49" spans="1:10" x14ac:dyDescent="0.25">
      <c r="A49" s="17" t="s">
        <v>3987</v>
      </c>
      <c r="B49" s="13" t="s">
        <v>4059</v>
      </c>
      <c r="C49" s="13" t="s">
        <v>4055</v>
      </c>
      <c r="D49" s="14" t="str">
        <f t="shared" si="0"/>
        <v>ROY-187-048</v>
      </c>
      <c r="E49" s="13" t="s">
        <v>4018</v>
      </c>
      <c r="F49" s="13">
        <v>123</v>
      </c>
      <c r="G49" s="13" t="s">
        <v>297</v>
      </c>
      <c r="H49" s="19">
        <v>20</v>
      </c>
      <c r="J49" s="14" t="s">
        <v>3629</v>
      </c>
    </row>
    <row r="50" spans="1:10" x14ac:dyDescent="0.25">
      <c r="A50" s="17" t="s">
        <v>3987</v>
      </c>
      <c r="B50" s="13" t="s">
        <v>4059</v>
      </c>
      <c r="C50" s="13" t="s">
        <v>4056</v>
      </c>
      <c r="D50" s="14" t="str">
        <f t="shared" si="0"/>
        <v>ROY-187-049</v>
      </c>
      <c r="E50" s="13" t="s">
        <v>4018</v>
      </c>
      <c r="F50" s="13">
        <v>170</v>
      </c>
      <c r="G50" s="13" t="s">
        <v>297</v>
      </c>
      <c r="H50" s="19">
        <v>20</v>
      </c>
      <c r="J50" s="14" t="s">
        <v>3629</v>
      </c>
    </row>
    <row r="51" spans="1:10" x14ac:dyDescent="0.25">
      <c r="A51" s="17" t="s">
        <v>3987</v>
      </c>
      <c r="B51" s="13" t="s">
        <v>4059</v>
      </c>
      <c r="C51" s="13" t="s">
        <v>4058</v>
      </c>
      <c r="D51" s="14" t="str">
        <f t="shared" si="0"/>
        <v>ROY-187-050</v>
      </c>
      <c r="E51" s="13" t="s">
        <v>4018</v>
      </c>
      <c r="F51" s="13">
        <v>76</v>
      </c>
      <c r="G51" s="13" t="s">
        <v>297</v>
      </c>
      <c r="H51" s="19">
        <v>20</v>
      </c>
      <c r="J51" s="14" t="s">
        <v>3629</v>
      </c>
    </row>
    <row r="52" spans="1:10" x14ac:dyDescent="0.25">
      <c r="A52" s="17" t="s">
        <v>3987</v>
      </c>
      <c r="B52" s="13" t="s">
        <v>4060</v>
      </c>
      <c r="C52" s="13" t="s">
        <v>4061</v>
      </c>
      <c r="D52" s="14" t="str">
        <f t="shared" si="0"/>
        <v>ROY-187-051</v>
      </c>
      <c r="E52" s="13" t="s">
        <v>4040</v>
      </c>
      <c r="F52" s="13">
        <v>29</v>
      </c>
      <c r="G52" s="13" t="s">
        <v>297</v>
      </c>
      <c r="H52" s="19">
        <v>20</v>
      </c>
      <c r="J52" s="14" t="s">
        <v>3629</v>
      </c>
    </row>
    <row r="53" spans="1:10" x14ac:dyDescent="0.25">
      <c r="A53" s="17" t="s">
        <v>3987</v>
      </c>
      <c r="B53" s="13" t="s">
        <v>4060</v>
      </c>
      <c r="C53" s="13" t="s">
        <v>4062</v>
      </c>
      <c r="D53" s="14" t="str">
        <f t="shared" si="0"/>
        <v>ROY-187-052</v>
      </c>
      <c r="E53" s="13" t="s">
        <v>4040</v>
      </c>
      <c r="F53" s="13">
        <v>29</v>
      </c>
      <c r="G53" s="13" t="s">
        <v>297</v>
      </c>
      <c r="H53" s="19">
        <v>20</v>
      </c>
      <c r="J53" s="14" t="s">
        <v>3629</v>
      </c>
    </row>
    <row r="54" spans="1:10" x14ac:dyDescent="0.25">
      <c r="A54" s="17" t="s">
        <v>3987</v>
      </c>
      <c r="B54" s="13" t="s">
        <v>4060</v>
      </c>
      <c r="C54" s="13" t="s">
        <v>4063</v>
      </c>
      <c r="D54" s="14" t="str">
        <f t="shared" si="0"/>
        <v>ROY-187-053</v>
      </c>
      <c r="E54" s="13" t="s">
        <v>4040</v>
      </c>
      <c r="F54" s="13">
        <v>29</v>
      </c>
      <c r="G54" s="13" t="s">
        <v>297</v>
      </c>
      <c r="H54" s="19">
        <v>20</v>
      </c>
      <c r="J54" s="14" t="s">
        <v>3629</v>
      </c>
    </row>
    <row r="55" spans="1:10" x14ac:dyDescent="0.25">
      <c r="A55" s="17" t="s">
        <v>3987</v>
      </c>
      <c r="B55" s="13" t="s">
        <v>4060</v>
      </c>
      <c r="C55" s="13" t="s">
        <v>4064</v>
      </c>
      <c r="D55" s="14" t="str">
        <f t="shared" si="0"/>
        <v>ROY-187-054</v>
      </c>
      <c r="E55" s="13" t="s">
        <v>4040</v>
      </c>
      <c r="F55" s="13">
        <v>29</v>
      </c>
      <c r="G55" s="13" t="s">
        <v>297</v>
      </c>
      <c r="H55" s="19">
        <v>20</v>
      </c>
      <c r="J55" s="14" t="s">
        <v>3629</v>
      </c>
    </row>
    <row r="56" spans="1:10" x14ac:dyDescent="0.25">
      <c r="A56" s="17" t="s">
        <v>3987</v>
      </c>
      <c r="B56" s="13" t="s">
        <v>4060</v>
      </c>
      <c r="C56" s="13" t="s">
        <v>4065</v>
      </c>
      <c r="D56" s="14" t="str">
        <f t="shared" si="0"/>
        <v>ROY-187-055</v>
      </c>
      <c r="E56" s="13" t="s">
        <v>4040</v>
      </c>
      <c r="F56" s="13">
        <v>29</v>
      </c>
      <c r="G56" s="13" t="s">
        <v>297</v>
      </c>
      <c r="H56" s="19">
        <v>20</v>
      </c>
      <c r="J56" s="14" t="s">
        <v>3629</v>
      </c>
    </row>
    <row r="57" spans="1:10" x14ac:dyDescent="0.25">
      <c r="A57" s="17" t="s">
        <v>3987</v>
      </c>
      <c r="B57" s="13" t="s">
        <v>4060</v>
      </c>
      <c r="C57" s="13" t="s">
        <v>4066</v>
      </c>
      <c r="D57" s="14" t="str">
        <f t="shared" si="0"/>
        <v>ROY-187-056</v>
      </c>
      <c r="E57" s="13" t="s">
        <v>4040</v>
      </c>
      <c r="F57" s="13">
        <v>73</v>
      </c>
      <c r="G57" s="13" t="s">
        <v>297</v>
      </c>
      <c r="H57" s="19">
        <v>20</v>
      </c>
      <c r="J57" s="14" t="s">
        <v>3629</v>
      </c>
    </row>
    <row r="58" spans="1:10" x14ac:dyDescent="0.25">
      <c r="A58" s="17" t="s">
        <v>3987</v>
      </c>
      <c r="B58" s="13" t="s">
        <v>4067</v>
      </c>
      <c r="C58" s="13" t="s">
        <v>4068</v>
      </c>
      <c r="D58" s="14" t="str">
        <f t="shared" si="0"/>
        <v>ROY-187-057</v>
      </c>
      <c r="E58" s="13" t="s">
        <v>4040</v>
      </c>
      <c r="F58" s="13">
        <v>49</v>
      </c>
      <c r="G58" s="13" t="s">
        <v>297</v>
      </c>
      <c r="H58" s="19">
        <v>20</v>
      </c>
      <c r="J58" s="14" t="s">
        <v>3629</v>
      </c>
    </row>
    <row r="59" spans="1:10" x14ac:dyDescent="0.25">
      <c r="A59" s="17" t="s">
        <v>3987</v>
      </c>
      <c r="B59" s="13" t="s">
        <v>4067</v>
      </c>
      <c r="C59" s="13" t="s">
        <v>4069</v>
      </c>
      <c r="D59" s="14" t="str">
        <f t="shared" si="0"/>
        <v>ROY-187-058</v>
      </c>
      <c r="E59" s="13" t="s">
        <v>4040</v>
      </c>
      <c r="F59" s="13">
        <v>63</v>
      </c>
      <c r="G59" s="13" t="s">
        <v>297</v>
      </c>
      <c r="H59" s="19">
        <v>20</v>
      </c>
      <c r="J59" s="14" t="s">
        <v>3629</v>
      </c>
    </row>
    <row r="60" spans="1:10" x14ac:dyDescent="0.25">
      <c r="A60" s="17" t="s">
        <v>3987</v>
      </c>
      <c r="B60" s="13" t="s">
        <v>4067</v>
      </c>
      <c r="C60" s="13" t="s">
        <v>4070</v>
      </c>
      <c r="D60" s="14" t="str">
        <f t="shared" si="0"/>
        <v>ROY-187-059</v>
      </c>
      <c r="E60" s="13" t="s">
        <v>4040</v>
      </c>
      <c r="F60" s="13">
        <v>59</v>
      </c>
      <c r="G60" s="13" t="s">
        <v>297</v>
      </c>
      <c r="H60" s="19">
        <v>20</v>
      </c>
      <c r="J60" s="14" t="s">
        <v>3629</v>
      </c>
    </row>
    <row r="61" spans="1:10" x14ac:dyDescent="0.25">
      <c r="A61" s="17" t="s">
        <v>3987</v>
      </c>
      <c r="B61" s="13" t="s">
        <v>4067</v>
      </c>
      <c r="C61" s="13" t="s">
        <v>4071</v>
      </c>
      <c r="D61" s="14" t="str">
        <f t="shared" si="0"/>
        <v>ROY-187-060</v>
      </c>
      <c r="E61" s="13" t="s">
        <v>4040</v>
      </c>
      <c r="F61" s="13">
        <v>47</v>
      </c>
      <c r="G61" s="13" t="s">
        <v>297</v>
      </c>
      <c r="H61" s="19">
        <v>20</v>
      </c>
      <c r="J61" s="14" t="s">
        <v>3629</v>
      </c>
    </row>
    <row r="62" spans="1:10" x14ac:dyDescent="0.25">
      <c r="A62" s="17" t="s">
        <v>3987</v>
      </c>
      <c r="B62" s="13" t="s">
        <v>4067</v>
      </c>
      <c r="C62" s="13" t="s">
        <v>4072</v>
      </c>
      <c r="D62" s="14" t="str">
        <f t="shared" si="0"/>
        <v>ROY-187-061</v>
      </c>
      <c r="E62" s="13" t="s">
        <v>4040</v>
      </c>
      <c r="F62" s="13">
        <v>55</v>
      </c>
      <c r="G62" s="13" t="s">
        <v>297</v>
      </c>
      <c r="H62" s="19">
        <v>20</v>
      </c>
      <c r="J62" s="14" t="s">
        <v>3629</v>
      </c>
    </row>
    <row r="63" spans="1:10" x14ac:dyDescent="0.25">
      <c r="A63" s="17" t="s">
        <v>3987</v>
      </c>
      <c r="B63" s="13" t="s">
        <v>4073</v>
      </c>
      <c r="C63" s="13" t="s">
        <v>4074</v>
      </c>
      <c r="D63" s="14" t="str">
        <f t="shared" si="0"/>
        <v>ROY-187-062</v>
      </c>
      <c r="E63" s="13" t="s">
        <v>4018</v>
      </c>
      <c r="F63" s="13">
        <v>62</v>
      </c>
      <c r="G63" s="13" t="s">
        <v>297</v>
      </c>
      <c r="H63" s="19">
        <v>20</v>
      </c>
      <c r="J63" s="14" t="s">
        <v>3629</v>
      </c>
    </row>
    <row r="64" spans="1:10" x14ac:dyDescent="0.25">
      <c r="A64" s="17" t="s">
        <v>3987</v>
      </c>
      <c r="B64" s="13" t="s">
        <v>4073</v>
      </c>
      <c r="C64" s="13" t="s">
        <v>4075</v>
      </c>
      <c r="D64" s="14" t="str">
        <f t="shared" si="0"/>
        <v>ROY-187-063</v>
      </c>
      <c r="E64" s="13" t="s">
        <v>4018</v>
      </c>
      <c r="F64" s="13">
        <v>100</v>
      </c>
      <c r="G64" s="13" t="s">
        <v>297</v>
      </c>
      <c r="H64" s="19">
        <v>20</v>
      </c>
      <c r="J64" s="14" t="s">
        <v>3629</v>
      </c>
    </row>
    <row r="65" spans="1:10" x14ac:dyDescent="0.25">
      <c r="A65" s="17" t="s">
        <v>3987</v>
      </c>
      <c r="B65" s="13" t="s">
        <v>4073</v>
      </c>
      <c r="C65" s="13" t="s">
        <v>4076</v>
      </c>
      <c r="D65" s="14" t="str">
        <f t="shared" si="0"/>
        <v>ROY-187-064</v>
      </c>
      <c r="E65" s="13" t="s">
        <v>4018</v>
      </c>
      <c r="F65" s="13">
        <v>138</v>
      </c>
      <c r="G65" s="13" t="s">
        <v>297</v>
      </c>
      <c r="H65" s="19">
        <v>20</v>
      </c>
      <c r="J65" s="14" t="s">
        <v>3629</v>
      </c>
    </row>
    <row r="66" spans="1:10" x14ac:dyDescent="0.25">
      <c r="A66" s="17" t="s">
        <v>3987</v>
      </c>
      <c r="B66" s="13" t="s">
        <v>4073</v>
      </c>
      <c r="C66" s="13" t="s">
        <v>4077</v>
      </c>
      <c r="D66" s="14" t="str">
        <f t="shared" si="0"/>
        <v>ROY-187-065</v>
      </c>
      <c r="E66" s="13" t="s">
        <v>4018</v>
      </c>
      <c r="F66" s="13">
        <v>130</v>
      </c>
      <c r="G66" s="13" t="s">
        <v>297</v>
      </c>
      <c r="H66" s="19">
        <v>20</v>
      </c>
      <c r="J66" s="14" t="s">
        <v>3629</v>
      </c>
    </row>
    <row r="67" spans="1:10" x14ac:dyDescent="0.25">
      <c r="A67" s="17" t="s">
        <v>3987</v>
      </c>
      <c r="B67" s="13" t="s">
        <v>4073</v>
      </c>
      <c r="C67" s="13" t="s">
        <v>4078</v>
      </c>
      <c r="D67" s="14" t="str">
        <f t="shared" si="0"/>
        <v>ROY-187-066</v>
      </c>
      <c r="E67" s="13" t="s">
        <v>4018</v>
      </c>
      <c r="F67" s="13">
        <v>71</v>
      </c>
      <c r="G67" s="13" t="s">
        <v>297</v>
      </c>
      <c r="H67" s="19">
        <v>20</v>
      </c>
      <c r="J67" s="14" t="s">
        <v>3629</v>
      </c>
    </row>
    <row r="68" spans="1:10" x14ac:dyDescent="0.25">
      <c r="A68" s="17" t="s">
        <v>3987</v>
      </c>
      <c r="B68" s="13" t="s">
        <v>4073</v>
      </c>
      <c r="C68" s="13" t="s">
        <v>4079</v>
      </c>
      <c r="D68" s="14" t="str">
        <f t="shared" si="0"/>
        <v>ROY-187-067</v>
      </c>
      <c r="E68" s="13" t="s">
        <v>4018</v>
      </c>
      <c r="F68" s="13">
        <v>118</v>
      </c>
      <c r="G68" s="13" t="s">
        <v>297</v>
      </c>
      <c r="H68" s="19">
        <v>20</v>
      </c>
      <c r="J68" s="14" t="s">
        <v>3629</v>
      </c>
    </row>
    <row r="69" spans="1:10" x14ac:dyDescent="0.25">
      <c r="A69" s="17" t="s">
        <v>3987</v>
      </c>
      <c r="B69" s="13" t="s">
        <v>4073</v>
      </c>
      <c r="C69" s="13" t="s">
        <v>4080</v>
      </c>
      <c r="D69" s="14" t="str">
        <f t="shared" si="0"/>
        <v>ROY-187-068</v>
      </c>
      <c r="E69" s="13" t="s">
        <v>4018</v>
      </c>
      <c r="F69" s="13">
        <v>165</v>
      </c>
      <c r="G69" s="13" t="s">
        <v>297</v>
      </c>
      <c r="H69" s="19">
        <v>20</v>
      </c>
      <c r="J69" s="14" t="s">
        <v>3629</v>
      </c>
    </row>
    <row r="70" spans="1:10" x14ac:dyDescent="0.25">
      <c r="A70" s="17" t="s">
        <v>3987</v>
      </c>
      <c r="B70" s="13" t="s">
        <v>4073</v>
      </c>
      <c r="C70" s="13" t="s">
        <v>4082</v>
      </c>
      <c r="D70" s="14" t="str">
        <f t="shared" si="0"/>
        <v>ROY-187-069</v>
      </c>
      <c r="E70" s="13" t="s">
        <v>4018</v>
      </c>
      <c r="F70" s="13">
        <v>110</v>
      </c>
      <c r="G70" s="13" t="s">
        <v>297</v>
      </c>
      <c r="H70" s="19">
        <v>20</v>
      </c>
      <c r="J70" s="14" t="s">
        <v>3629</v>
      </c>
    </row>
    <row r="71" spans="1:10" x14ac:dyDescent="0.25">
      <c r="A71" s="17" t="s">
        <v>3987</v>
      </c>
      <c r="B71" s="13" t="s">
        <v>4073</v>
      </c>
      <c r="C71" s="13" t="s">
        <v>4081</v>
      </c>
      <c r="D71" s="14" t="str">
        <f t="shared" ref="D71:D125" si="1">LEFT($D$2,FIND("-",$D$2,FIND("-",$D$2)+1)) &amp; TEXT(RIGHT($D$2,3)+ROW(D69),"000")</f>
        <v>ROY-187-070</v>
      </c>
      <c r="E71" s="13" t="s">
        <v>4018</v>
      </c>
      <c r="F71" s="13">
        <v>63</v>
      </c>
      <c r="G71" s="13" t="s">
        <v>297</v>
      </c>
      <c r="H71" s="19">
        <v>20</v>
      </c>
      <c r="J71" s="14" t="s">
        <v>3629</v>
      </c>
    </row>
    <row r="72" spans="1:10" x14ac:dyDescent="0.25">
      <c r="A72" s="17" t="s">
        <v>3987</v>
      </c>
      <c r="B72" s="13" t="s">
        <v>4073</v>
      </c>
      <c r="C72" s="13" t="s">
        <v>4083</v>
      </c>
      <c r="D72" s="14" t="str">
        <f t="shared" si="1"/>
        <v>ROY-187-071</v>
      </c>
      <c r="E72" s="13" t="s">
        <v>4018</v>
      </c>
      <c r="F72" s="13">
        <v>102</v>
      </c>
      <c r="G72" s="13" t="s">
        <v>297</v>
      </c>
      <c r="H72" s="19">
        <v>20</v>
      </c>
      <c r="J72" s="14" t="s">
        <v>3629</v>
      </c>
    </row>
    <row r="73" spans="1:10" x14ac:dyDescent="0.25">
      <c r="A73" s="17" t="s">
        <v>3987</v>
      </c>
      <c r="B73" s="13" t="s">
        <v>4073</v>
      </c>
      <c r="C73" s="13" t="s">
        <v>4084</v>
      </c>
      <c r="D73" s="14" t="str">
        <f t="shared" si="1"/>
        <v>ROY-187-072</v>
      </c>
      <c r="E73" s="13" t="s">
        <v>4018</v>
      </c>
      <c r="F73" s="13">
        <v>141</v>
      </c>
      <c r="G73" s="13" t="s">
        <v>297</v>
      </c>
      <c r="H73" s="19">
        <v>20</v>
      </c>
      <c r="J73" s="14" t="s">
        <v>3629</v>
      </c>
    </row>
    <row r="74" spans="1:10" x14ac:dyDescent="0.25">
      <c r="A74" s="17" t="s">
        <v>3987</v>
      </c>
      <c r="B74" s="13" t="s">
        <v>4073</v>
      </c>
      <c r="C74" s="13" t="s">
        <v>4085</v>
      </c>
      <c r="D74" s="14" t="str">
        <f t="shared" si="1"/>
        <v>ROY-187-073</v>
      </c>
      <c r="E74" s="13" t="s">
        <v>4018</v>
      </c>
      <c r="F74" s="13">
        <v>110</v>
      </c>
      <c r="G74" s="13" t="s">
        <v>297</v>
      </c>
      <c r="H74" s="19">
        <v>20</v>
      </c>
      <c r="J74" s="14" t="s">
        <v>3629</v>
      </c>
    </row>
    <row r="75" spans="1:10" x14ac:dyDescent="0.25">
      <c r="A75" s="17" t="s">
        <v>3987</v>
      </c>
      <c r="B75" s="13" t="s">
        <v>4086</v>
      </c>
      <c r="C75" s="13" t="s">
        <v>4087</v>
      </c>
      <c r="D75" s="14" t="str">
        <f t="shared" si="1"/>
        <v>ROY-187-074</v>
      </c>
      <c r="E75" s="13" t="s">
        <v>4040</v>
      </c>
      <c r="F75" s="13">
        <v>24</v>
      </c>
      <c r="G75" s="13" t="s">
        <v>297</v>
      </c>
      <c r="H75" s="19">
        <v>20</v>
      </c>
      <c r="J75" s="14" t="s">
        <v>3629</v>
      </c>
    </row>
    <row r="76" spans="1:10" x14ac:dyDescent="0.25">
      <c r="A76" s="17" t="s">
        <v>3987</v>
      </c>
      <c r="B76" s="13" t="s">
        <v>4086</v>
      </c>
      <c r="C76" s="13" t="s">
        <v>4088</v>
      </c>
      <c r="D76" s="14" t="str">
        <f t="shared" si="1"/>
        <v>ROY-187-075</v>
      </c>
      <c r="E76" s="13" t="s">
        <v>4040</v>
      </c>
      <c r="F76" s="13">
        <v>24</v>
      </c>
      <c r="G76" s="13" t="s">
        <v>297</v>
      </c>
      <c r="H76" s="19">
        <v>20</v>
      </c>
      <c r="J76" s="14" t="s">
        <v>3629</v>
      </c>
    </row>
    <row r="77" spans="1:10" x14ac:dyDescent="0.25">
      <c r="A77" s="17" t="s">
        <v>3987</v>
      </c>
      <c r="B77" s="13" t="s">
        <v>4086</v>
      </c>
      <c r="C77" s="13" t="s">
        <v>4089</v>
      </c>
      <c r="D77" s="14" t="str">
        <f t="shared" si="1"/>
        <v>ROY-187-076</v>
      </c>
      <c r="E77" s="13" t="s">
        <v>4040</v>
      </c>
      <c r="F77" s="13">
        <v>24</v>
      </c>
      <c r="G77" s="13" t="s">
        <v>297</v>
      </c>
      <c r="H77" s="19">
        <v>20</v>
      </c>
      <c r="J77" s="14" t="s">
        <v>3629</v>
      </c>
    </row>
    <row r="78" spans="1:10" x14ac:dyDescent="0.25">
      <c r="A78" s="17" t="s">
        <v>3987</v>
      </c>
      <c r="B78" s="13" t="s">
        <v>4086</v>
      </c>
      <c r="C78" s="13" t="s">
        <v>4090</v>
      </c>
      <c r="D78" s="14" t="str">
        <f t="shared" si="1"/>
        <v>ROY-187-077</v>
      </c>
      <c r="E78" s="13" t="s">
        <v>4040</v>
      </c>
      <c r="F78" s="13">
        <v>25</v>
      </c>
      <c r="G78" s="13" t="s">
        <v>297</v>
      </c>
      <c r="H78" s="19">
        <v>20</v>
      </c>
      <c r="J78" s="14" t="s">
        <v>3629</v>
      </c>
    </row>
    <row r="79" spans="1:10" x14ac:dyDescent="0.25">
      <c r="A79" s="17" t="s">
        <v>3987</v>
      </c>
      <c r="B79" s="13" t="s">
        <v>4086</v>
      </c>
      <c r="C79" s="13" t="s">
        <v>4093</v>
      </c>
      <c r="D79" s="14" t="str">
        <f t="shared" si="1"/>
        <v>ROY-187-078</v>
      </c>
      <c r="E79" s="13" t="s">
        <v>4040</v>
      </c>
      <c r="F79" s="13">
        <v>60</v>
      </c>
      <c r="G79" s="13" t="s">
        <v>297</v>
      </c>
      <c r="H79" s="19">
        <v>20</v>
      </c>
      <c r="J79" s="14" t="s">
        <v>3629</v>
      </c>
    </row>
    <row r="80" spans="1:10" x14ac:dyDescent="0.25">
      <c r="A80" s="17" t="s">
        <v>3987</v>
      </c>
      <c r="B80" s="13" t="s">
        <v>4091</v>
      </c>
      <c r="C80" s="13" t="s">
        <v>4092</v>
      </c>
      <c r="D80" s="14" t="str">
        <f t="shared" si="1"/>
        <v>ROY-187-079</v>
      </c>
      <c r="E80" s="13" t="s">
        <v>4040</v>
      </c>
      <c r="F80" s="13">
        <v>38</v>
      </c>
      <c r="G80" s="13" t="s">
        <v>297</v>
      </c>
      <c r="H80" s="19">
        <v>20</v>
      </c>
      <c r="J80" s="14" t="s">
        <v>3629</v>
      </c>
    </row>
    <row r="81" spans="1:10" x14ac:dyDescent="0.25">
      <c r="A81" s="17" t="s">
        <v>3987</v>
      </c>
      <c r="B81" s="13" t="s">
        <v>4091</v>
      </c>
      <c r="C81" s="13" t="s">
        <v>4094</v>
      </c>
      <c r="D81" s="14" t="str">
        <f t="shared" si="1"/>
        <v>ROY-187-080</v>
      </c>
      <c r="E81" s="13" t="s">
        <v>4040</v>
      </c>
      <c r="F81" s="13">
        <v>47</v>
      </c>
      <c r="G81" s="13" t="s">
        <v>297</v>
      </c>
      <c r="H81" s="19">
        <v>20</v>
      </c>
      <c r="J81" s="14" t="s">
        <v>3629</v>
      </c>
    </row>
    <row r="82" spans="1:10" x14ac:dyDescent="0.25">
      <c r="A82" s="17" t="s">
        <v>3987</v>
      </c>
      <c r="B82" s="13" t="s">
        <v>4091</v>
      </c>
      <c r="C82" s="13" t="s">
        <v>4095</v>
      </c>
      <c r="D82" s="14" t="str">
        <f t="shared" si="1"/>
        <v>ROY-187-081</v>
      </c>
      <c r="E82" s="13" t="s">
        <v>4040</v>
      </c>
      <c r="F82" s="13">
        <v>49</v>
      </c>
      <c r="G82" s="13" t="s">
        <v>297</v>
      </c>
      <c r="H82" s="19">
        <v>20</v>
      </c>
      <c r="J82" s="14" t="s">
        <v>3629</v>
      </c>
    </row>
    <row r="83" spans="1:10" x14ac:dyDescent="0.25">
      <c r="A83" s="17" t="s">
        <v>3987</v>
      </c>
      <c r="B83" s="13" t="s">
        <v>4091</v>
      </c>
      <c r="C83" s="13" t="s">
        <v>4096</v>
      </c>
      <c r="D83" s="14" t="str">
        <f t="shared" si="1"/>
        <v>ROY-187-082</v>
      </c>
      <c r="E83" s="13" t="s">
        <v>4040</v>
      </c>
      <c r="F83" s="13">
        <v>52</v>
      </c>
      <c r="G83" s="13" t="s">
        <v>297</v>
      </c>
      <c r="H83" s="19">
        <v>20</v>
      </c>
      <c r="J83" s="14" t="s">
        <v>3629</v>
      </c>
    </row>
    <row r="84" spans="1:10" x14ac:dyDescent="0.25">
      <c r="A84" s="17" t="s">
        <v>3987</v>
      </c>
      <c r="B84" s="13" t="s">
        <v>4097</v>
      </c>
      <c r="C84" s="13" t="s">
        <v>4098</v>
      </c>
      <c r="D84" s="14" t="str">
        <f t="shared" si="1"/>
        <v>ROY-187-083</v>
      </c>
      <c r="E84" s="13" t="s">
        <v>4100</v>
      </c>
      <c r="F84" s="13">
        <v>35</v>
      </c>
      <c r="G84" s="13" t="s">
        <v>297</v>
      </c>
      <c r="H84" s="19">
        <v>20</v>
      </c>
      <c r="J84" s="14" t="s">
        <v>3629</v>
      </c>
    </row>
    <row r="85" spans="1:10" x14ac:dyDescent="0.25">
      <c r="A85" s="17" t="s">
        <v>3987</v>
      </c>
      <c r="B85" s="13" t="s">
        <v>4097</v>
      </c>
      <c r="C85" s="13" t="s">
        <v>4099</v>
      </c>
      <c r="D85" s="14" t="str">
        <f t="shared" si="1"/>
        <v>ROY-187-084</v>
      </c>
      <c r="E85" s="13" t="s">
        <v>4100</v>
      </c>
      <c r="F85" s="13">
        <v>55</v>
      </c>
      <c r="G85" s="13" t="s">
        <v>297</v>
      </c>
      <c r="H85" s="19">
        <v>20</v>
      </c>
      <c r="J85" s="14" t="s">
        <v>3629</v>
      </c>
    </row>
    <row r="86" spans="1:10" x14ac:dyDescent="0.25">
      <c r="A86" s="17" t="s">
        <v>3987</v>
      </c>
      <c r="B86" s="13" t="s">
        <v>4101</v>
      </c>
      <c r="C86" s="13" t="s">
        <v>4102</v>
      </c>
      <c r="D86" s="14" t="str">
        <f t="shared" si="1"/>
        <v>ROY-187-085</v>
      </c>
      <c r="E86" s="13" t="s">
        <v>4103</v>
      </c>
      <c r="F86" s="13">
        <v>55</v>
      </c>
      <c r="G86" s="13" t="s">
        <v>297</v>
      </c>
      <c r="H86" s="19">
        <v>20</v>
      </c>
      <c r="J86" s="14" t="s">
        <v>3629</v>
      </c>
    </row>
    <row r="87" spans="1:10" x14ac:dyDescent="0.25">
      <c r="A87" s="17" t="s">
        <v>3987</v>
      </c>
      <c r="B87" s="13" t="s">
        <v>4101</v>
      </c>
      <c r="C87" s="13" t="s">
        <v>4104</v>
      </c>
      <c r="D87" s="14" t="str">
        <f t="shared" si="1"/>
        <v>ROY-187-086</v>
      </c>
      <c r="E87" s="13" t="s">
        <v>4103</v>
      </c>
      <c r="F87" s="13">
        <v>55</v>
      </c>
      <c r="G87" s="13" t="s">
        <v>297</v>
      </c>
      <c r="H87" s="19">
        <v>20</v>
      </c>
      <c r="J87" s="14" t="s">
        <v>3629</v>
      </c>
    </row>
    <row r="88" spans="1:10" x14ac:dyDescent="0.25">
      <c r="A88" s="17" t="s">
        <v>3987</v>
      </c>
      <c r="B88" s="13" t="s">
        <v>4101</v>
      </c>
      <c r="C88" s="13" t="s">
        <v>4105</v>
      </c>
      <c r="D88" s="14" t="str">
        <f t="shared" si="1"/>
        <v>ROY-187-087</v>
      </c>
      <c r="E88" s="13" t="s">
        <v>4103</v>
      </c>
      <c r="F88" s="13">
        <v>70</v>
      </c>
      <c r="G88" s="13" t="s">
        <v>297</v>
      </c>
      <c r="H88" s="19">
        <v>20</v>
      </c>
      <c r="J88" s="14" t="s">
        <v>3629</v>
      </c>
    </row>
    <row r="89" spans="1:10" x14ac:dyDescent="0.25">
      <c r="A89" s="17" t="s">
        <v>3987</v>
      </c>
      <c r="B89" s="13" t="s">
        <v>4101</v>
      </c>
      <c r="C89" s="13" t="s">
        <v>4106</v>
      </c>
      <c r="D89" s="14" t="str">
        <f t="shared" si="1"/>
        <v>ROY-187-088</v>
      </c>
      <c r="E89" s="13" t="s">
        <v>4103</v>
      </c>
      <c r="F89" s="13">
        <v>90</v>
      </c>
      <c r="G89" s="13" t="s">
        <v>297</v>
      </c>
      <c r="H89" s="19">
        <v>20</v>
      </c>
      <c r="J89" s="14" t="s">
        <v>3629</v>
      </c>
    </row>
    <row r="90" spans="1:10" x14ac:dyDescent="0.25">
      <c r="A90" s="17" t="s">
        <v>3987</v>
      </c>
      <c r="B90" s="13" t="s">
        <v>4101</v>
      </c>
      <c r="C90" s="13" t="s">
        <v>4107</v>
      </c>
      <c r="D90" s="14" t="str">
        <f t="shared" si="1"/>
        <v>ROY-187-089</v>
      </c>
      <c r="E90" s="13" t="s">
        <v>4103</v>
      </c>
      <c r="F90" s="13">
        <v>90</v>
      </c>
      <c r="G90" s="13" t="s">
        <v>297</v>
      </c>
      <c r="H90" s="19">
        <v>20</v>
      </c>
      <c r="J90" s="14" t="s">
        <v>3629</v>
      </c>
    </row>
    <row r="91" spans="1:10" x14ac:dyDescent="0.25">
      <c r="A91" s="17" t="s">
        <v>3987</v>
      </c>
      <c r="B91" s="13" t="s">
        <v>4101</v>
      </c>
      <c r="C91" s="13" t="s">
        <v>4108</v>
      </c>
      <c r="D91" s="14" t="str">
        <f t="shared" si="1"/>
        <v>ROY-187-090</v>
      </c>
      <c r="E91" s="13" t="s">
        <v>4103</v>
      </c>
      <c r="F91" s="13">
        <v>90</v>
      </c>
      <c r="G91" s="13" t="s">
        <v>297</v>
      </c>
      <c r="H91" s="19">
        <v>20</v>
      </c>
      <c r="J91" s="14" t="s">
        <v>3629</v>
      </c>
    </row>
    <row r="92" spans="1:10" x14ac:dyDescent="0.25">
      <c r="A92" s="17" t="s">
        <v>3987</v>
      </c>
      <c r="B92" s="13" t="s">
        <v>4101</v>
      </c>
      <c r="C92" s="13" t="s">
        <v>4109</v>
      </c>
      <c r="D92" s="14" t="str">
        <f t="shared" si="1"/>
        <v>ROY-187-091</v>
      </c>
      <c r="E92" s="13" t="s">
        <v>4040</v>
      </c>
      <c r="F92" s="13">
        <v>48</v>
      </c>
      <c r="G92" s="13" t="s">
        <v>297</v>
      </c>
      <c r="H92" s="19">
        <v>20</v>
      </c>
      <c r="J92" s="14" t="s">
        <v>3629</v>
      </c>
    </row>
    <row r="93" spans="1:10" x14ac:dyDescent="0.25">
      <c r="A93" s="17" t="s">
        <v>3987</v>
      </c>
      <c r="B93" s="13" t="s">
        <v>4101</v>
      </c>
      <c r="C93" s="13" t="s">
        <v>4110</v>
      </c>
      <c r="D93" s="14" t="str">
        <f t="shared" si="1"/>
        <v>ROY-187-092</v>
      </c>
      <c r="E93" s="13" t="s">
        <v>4040</v>
      </c>
      <c r="F93" s="13">
        <v>52</v>
      </c>
      <c r="G93" s="13" t="s">
        <v>297</v>
      </c>
      <c r="H93" s="19">
        <v>20</v>
      </c>
      <c r="J93" s="14" t="s">
        <v>3629</v>
      </c>
    </row>
    <row r="94" spans="1:10" x14ac:dyDescent="0.25">
      <c r="A94" s="17" t="s">
        <v>3987</v>
      </c>
      <c r="B94" s="13" t="s">
        <v>4101</v>
      </c>
      <c r="C94" s="13" t="s">
        <v>4111</v>
      </c>
      <c r="D94" s="14" t="str">
        <f t="shared" si="1"/>
        <v>ROY-187-093</v>
      </c>
      <c r="E94" s="13" t="s">
        <v>4040</v>
      </c>
      <c r="F94" s="13">
        <v>75</v>
      </c>
      <c r="G94" s="13" t="s">
        <v>297</v>
      </c>
      <c r="H94" s="19">
        <v>20</v>
      </c>
      <c r="J94" s="14" t="s">
        <v>3629</v>
      </c>
    </row>
    <row r="95" spans="1:10" x14ac:dyDescent="0.25">
      <c r="A95" s="17" t="s">
        <v>3987</v>
      </c>
      <c r="B95" s="13" t="s">
        <v>4112</v>
      </c>
      <c r="C95" s="13" t="s">
        <v>4113</v>
      </c>
      <c r="D95" s="14" t="str">
        <f t="shared" si="1"/>
        <v>ROY-187-094</v>
      </c>
      <c r="E95" s="13" t="s">
        <v>4103</v>
      </c>
      <c r="F95" s="13">
        <v>30</v>
      </c>
      <c r="G95" s="13" t="s">
        <v>297</v>
      </c>
      <c r="H95" s="19">
        <v>20</v>
      </c>
      <c r="J95" s="14" t="s">
        <v>3629</v>
      </c>
    </row>
    <row r="96" spans="1:10" x14ac:dyDescent="0.25">
      <c r="A96" s="17" t="s">
        <v>3987</v>
      </c>
      <c r="B96" s="13" t="s">
        <v>4112</v>
      </c>
      <c r="C96" s="13" t="s">
        <v>4114</v>
      </c>
      <c r="D96" s="14" t="str">
        <f t="shared" si="1"/>
        <v>ROY-187-095</v>
      </c>
      <c r="E96" s="13" t="s">
        <v>4103</v>
      </c>
      <c r="F96" s="13">
        <v>30</v>
      </c>
      <c r="G96" s="13" t="s">
        <v>297</v>
      </c>
      <c r="H96" s="19">
        <v>20</v>
      </c>
      <c r="J96" s="14" t="s">
        <v>3629</v>
      </c>
    </row>
    <row r="97" spans="1:10" x14ac:dyDescent="0.25">
      <c r="A97" s="17" t="s">
        <v>3987</v>
      </c>
      <c r="B97" s="13" t="s">
        <v>4112</v>
      </c>
      <c r="C97" s="13" t="s">
        <v>4115</v>
      </c>
      <c r="D97" s="14" t="str">
        <f t="shared" si="1"/>
        <v>ROY-187-096</v>
      </c>
      <c r="E97" s="13" t="s">
        <v>4103</v>
      </c>
      <c r="F97" s="13">
        <v>30</v>
      </c>
      <c r="G97" s="13" t="s">
        <v>297</v>
      </c>
      <c r="H97" s="19">
        <v>20</v>
      </c>
      <c r="J97" s="14" t="s">
        <v>3629</v>
      </c>
    </row>
    <row r="98" spans="1:10" x14ac:dyDescent="0.25">
      <c r="A98" s="17" t="s">
        <v>3987</v>
      </c>
      <c r="B98" s="13" t="s">
        <v>4112</v>
      </c>
      <c r="C98" s="13" t="s">
        <v>4116</v>
      </c>
      <c r="D98" s="14" t="str">
        <f t="shared" si="1"/>
        <v>ROY-187-097</v>
      </c>
      <c r="E98" s="13" t="s">
        <v>4103</v>
      </c>
      <c r="F98" s="13">
        <v>37</v>
      </c>
      <c r="G98" s="13" t="s">
        <v>297</v>
      </c>
      <c r="H98" s="19">
        <v>20</v>
      </c>
      <c r="J98" s="14" t="s">
        <v>3629</v>
      </c>
    </row>
    <row r="99" spans="1:10" x14ac:dyDescent="0.25">
      <c r="A99" s="17" t="s">
        <v>3987</v>
      </c>
      <c r="B99" s="13" t="s">
        <v>4112</v>
      </c>
      <c r="C99" s="13" t="s">
        <v>4117</v>
      </c>
      <c r="D99" s="14" t="str">
        <f t="shared" si="1"/>
        <v>ROY-187-098</v>
      </c>
      <c r="E99" s="13" t="s">
        <v>4103</v>
      </c>
      <c r="F99" s="13">
        <v>37</v>
      </c>
      <c r="G99" s="13" t="s">
        <v>297</v>
      </c>
      <c r="H99" s="19">
        <v>20</v>
      </c>
      <c r="J99" s="14" t="s">
        <v>3629</v>
      </c>
    </row>
    <row r="100" spans="1:10" x14ac:dyDescent="0.25">
      <c r="A100" s="17" t="s">
        <v>3987</v>
      </c>
      <c r="B100" s="13" t="s">
        <v>4112</v>
      </c>
      <c r="C100" s="13" t="s">
        <v>4118</v>
      </c>
      <c r="D100" s="14" t="str">
        <f t="shared" si="1"/>
        <v>ROY-187-099</v>
      </c>
      <c r="E100" s="13" t="s">
        <v>4103</v>
      </c>
      <c r="F100" s="13">
        <v>37</v>
      </c>
      <c r="G100" s="13" t="s">
        <v>297</v>
      </c>
      <c r="H100" s="19">
        <v>20</v>
      </c>
      <c r="J100" s="14" t="s">
        <v>3629</v>
      </c>
    </row>
    <row r="101" spans="1:10" x14ac:dyDescent="0.25">
      <c r="A101" s="17" t="s">
        <v>3987</v>
      </c>
      <c r="B101" s="13" t="s">
        <v>4112</v>
      </c>
      <c r="C101" s="13" t="s">
        <v>4122</v>
      </c>
      <c r="D101" s="14" t="str">
        <f t="shared" si="1"/>
        <v>ROY-187-100</v>
      </c>
      <c r="E101" s="13" t="s">
        <v>4103</v>
      </c>
      <c r="F101" s="13">
        <v>36</v>
      </c>
      <c r="G101" s="13" t="s">
        <v>297</v>
      </c>
      <c r="H101" s="19">
        <v>20</v>
      </c>
      <c r="J101" s="14" t="s">
        <v>3629</v>
      </c>
    </row>
    <row r="102" spans="1:10" x14ac:dyDescent="0.25">
      <c r="A102" s="17" t="s">
        <v>3987</v>
      </c>
      <c r="B102" s="13" t="s">
        <v>4112</v>
      </c>
      <c r="C102" s="13" t="s">
        <v>4123</v>
      </c>
      <c r="D102" s="14" t="str">
        <f t="shared" si="1"/>
        <v>ROY-187-101</v>
      </c>
      <c r="E102" s="13" t="s">
        <v>4103</v>
      </c>
      <c r="F102" s="13">
        <v>42</v>
      </c>
      <c r="G102" s="13" t="s">
        <v>297</v>
      </c>
      <c r="H102" s="19">
        <v>20</v>
      </c>
      <c r="J102" s="14" t="s">
        <v>3629</v>
      </c>
    </row>
    <row r="103" spans="1:10" x14ac:dyDescent="0.25">
      <c r="A103" s="17" t="s">
        <v>3987</v>
      </c>
      <c r="B103" s="13" t="s">
        <v>4112</v>
      </c>
      <c r="C103" s="13" t="s">
        <v>4124</v>
      </c>
      <c r="D103" s="14" t="str">
        <f t="shared" si="1"/>
        <v>ROY-187-102</v>
      </c>
      <c r="E103" s="13" t="s">
        <v>4103</v>
      </c>
      <c r="F103" s="13">
        <v>49</v>
      </c>
      <c r="G103" s="13" t="s">
        <v>297</v>
      </c>
      <c r="H103" s="19">
        <v>20</v>
      </c>
      <c r="J103" s="14" t="s">
        <v>3629</v>
      </c>
    </row>
    <row r="104" spans="1:10" x14ac:dyDescent="0.25">
      <c r="A104" s="17" t="s">
        <v>3987</v>
      </c>
      <c r="B104" s="13" t="s">
        <v>4112</v>
      </c>
      <c r="C104" s="13" t="s">
        <v>4125</v>
      </c>
      <c r="D104" s="14" t="str">
        <f t="shared" si="1"/>
        <v>ROY-187-103</v>
      </c>
      <c r="E104" s="13" t="s">
        <v>4103</v>
      </c>
      <c r="F104" s="13">
        <v>14</v>
      </c>
      <c r="G104" s="13" t="s">
        <v>297</v>
      </c>
      <c r="H104" s="19">
        <v>20</v>
      </c>
      <c r="J104" s="14" t="s">
        <v>3629</v>
      </c>
    </row>
    <row r="105" spans="1:10" x14ac:dyDescent="0.25">
      <c r="A105" s="17" t="s">
        <v>3987</v>
      </c>
      <c r="B105" s="13" t="s">
        <v>4112</v>
      </c>
      <c r="C105" s="13" t="s">
        <v>4126</v>
      </c>
      <c r="D105" s="14" t="str">
        <f t="shared" si="1"/>
        <v>ROY-187-104</v>
      </c>
      <c r="E105" s="13" t="s">
        <v>4103</v>
      </c>
      <c r="F105" s="13">
        <v>20</v>
      </c>
      <c r="G105" s="13" t="s">
        <v>297</v>
      </c>
      <c r="H105" s="19">
        <v>20</v>
      </c>
      <c r="J105" s="14" t="s">
        <v>3629</v>
      </c>
    </row>
    <row r="106" spans="1:10" x14ac:dyDescent="0.25">
      <c r="A106" s="17" t="s">
        <v>3987</v>
      </c>
      <c r="B106" s="13" t="s">
        <v>4112</v>
      </c>
      <c r="C106" s="13" t="s">
        <v>4127</v>
      </c>
      <c r="D106" s="14" t="str">
        <f t="shared" si="1"/>
        <v>ROY-187-105</v>
      </c>
      <c r="E106" s="13" t="s">
        <v>4103</v>
      </c>
      <c r="F106" s="13">
        <v>70</v>
      </c>
      <c r="G106" s="13" t="s">
        <v>297</v>
      </c>
      <c r="H106" s="19">
        <v>20</v>
      </c>
      <c r="J106" s="14" t="s">
        <v>3629</v>
      </c>
    </row>
    <row r="107" spans="1:10" x14ac:dyDescent="0.25">
      <c r="A107" s="17" t="s">
        <v>3987</v>
      </c>
      <c r="B107" s="13" t="s">
        <v>4112</v>
      </c>
      <c r="C107" s="13" t="s">
        <v>4128</v>
      </c>
      <c r="D107" s="14" t="str">
        <f t="shared" si="1"/>
        <v>ROY-187-106</v>
      </c>
      <c r="E107" s="13" t="s">
        <v>4103</v>
      </c>
      <c r="F107" s="13">
        <v>65</v>
      </c>
      <c r="G107" s="13" t="s">
        <v>297</v>
      </c>
      <c r="H107" s="19">
        <v>20</v>
      </c>
      <c r="J107" s="14" t="s">
        <v>3629</v>
      </c>
    </row>
    <row r="108" spans="1:10" x14ac:dyDescent="0.25">
      <c r="A108" s="17" t="s">
        <v>3987</v>
      </c>
      <c r="B108" s="13" t="s">
        <v>4112</v>
      </c>
      <c r="C108" s="13" t="s">
        <v>4129</v>
      </c>
      <c r="D108" s="14" t="str">
        <f t="shared" si="1"/>
        <v>ROY-187-107</v>
      </c>
      <c r="E108" s="13" t="s">
        <v>4103</v>
      </c>
      <c r="F108" s="13">
        <v>30</v>
      </c>
      <c r="G108" s="13" t="s">
        <v>297</v>
      </c>
      <c r="H108" s="19">
        <v>20</v>
      </c>
      <c r="J108" s="14" t="s">
        <v>3629</v>
      </c>
    </row>
    <row r="109" spans="1:10" x14ac:dyDescent="0.25">
      <c r="A109" s="17" t="s">
        <v>3987</v>
      </c>
      <c r="B109" s="13" t="s">
        <v>4112</v>
      </c>
      <c r="C109" s="13" t="s">
        <v>4130</v>
      </c>
      <c r="D109" s="14" t="str">
        <f t="shared" si="1"/>
        <v>ROY-187-108</v>
      </c>
      <c r="E109" s="13" t="s">
        <v>4103</v>
      </c>
      <c r="F109" s="13">
        <v>34</v>
      </c>
      <c r="G109" s="13" t="s">
        <v>297</v>
      </c>
      <c r="H109" s="19">
        <v>20</v>
      </c>
      <c r="J109" s="14" t="s">
        <v>3629</v>
      </c>
    </row>
    <row r="110" spans="1:10" x14ac:dyDescent="0.25">
      <c r="A110" s="17" t="s">
        <v>3987</v>
      </c>
      <c r="B110" s="13" t="s">
        <v>4112</v>
      </c>
      <c r="C110" s="13" t="s">
        <v>4131</v>
      </c>
      <c r="D110" s="14" t="str">
        <f t="shared" si="1"/>
        <v>ROY-187-109</v>
      </c>
      <c r="E110" s="13" t="s">
        <v>4103</v>
      </c>
      <c r="F110" s="13">
        <v>32</v>
      </c>
      <c r="G110" s="13" t="s">
        <v>297</v>
      </c>
      <c r="H110" s="19">
        <v>20</v>
      </c>
      <c r="J110" s="14" t="s">
        <v>3629</v>
      </c>
    </row>
    <row r="111" spans="1:10" x14ac:dyDescent="0.25">
      <c r="A111" s="17" t="s">
        <v>3987</v>
      </c>
      <c r="B111" s="13" t="s">
        <v>4119</v>
      </c>
      <c r="C111" s="13" t="s">
        <v>4120</v>
      </c>
      <c r="D111" s="14" t="str">
        <f t="shared" si="1"/>
        <v>ROY-187-110</v>
      </c>
      <c r="E111" s="13" t="s">
        <v>4121</v>
      </c>
      <c r="F111" s="13">
        <v>11</v>
      </c>
      <c r="G111" s="13" t="s">
        <v>297</v>
      </c>
      <c r="H111" s="19">
        <v>20</v>
      </c>
      <c r="J111" s="14" t="s">
        <v>3629</v>
      </c>
    </row>
    <row r="112" spans="1:10" x14ac:dyDescent="0.25">
      <c r="A112" s="17" t="s">
        <v>3987</v>
      </c>
      <c r="B112" s="13" t="s">
        <v>4119</v>
      </c>
      <c r="C112" s="13" t="s">
        <v>4132</v>
      </c>
      <c r="D112" s="14" t="str">
        <f t="shared" si="1"/>
        <v>ROY-187-111</v>
      </c>
      <c r="E112" s="13" t="s">
        <v>4040</v>
      </c>
      <c r="F112" s="13">
        <v>18</v>
      </c>
      <c r="G112" s="13" t="s">
        <v>297</v>
      </c>
      <c r="H112" s="19">
        <v>20</v>
      </c>
      <c r="J112" s="14" t="s">
        <v>3629</v>
      </c>
    </row>
    <row r="113" spans="1:10" x14ac:dyDescent="0.25">
      <c r="A113" s="17" t="s">
        <v>3987</v>
      </c>
      <c r="B113" s="13" t="s">
        <v>4119</v>
      </c>
      <c r="C113" s="13" t="s">
        <v>4133</v>
      </c>
      <c r="D113" s="14" t="str">
        <f t="shared" si="1"/>
        <v>ROY-187-112</v>
      </c>
      <c r="E113" s="13" t="s">
        <v>4134</v>
      </c>
      <c r="F113" s="13">
        <v>33</v>
      </c>
      <c r="G113" s="13" t="s">
        <v>297</v>
      </c>
      <c r="H113" s="19">
        <v>20</v>
      </c>
      <c r="J113" s="14" t="s">
        <v>3629</v>
      </c>
    </row>
    <row r="114" spans="1:10" x14ac:dyDescent="0.25">
      <c r="A114" s="17" t="s">
        <v>3987</v>
      </c>
      <c r="B114" s="13" t="s">
        <v>4119</v>
      </c>
      <c r="C114" s="13" t="s">
        <v>4135</v>
      </c>
      <c r="D114" s="14" t="str">
        <f t="shared" si="1"/>
        <v>ROY-187-113</v>
      </c>
      <c r="E114" s="13" t="s">
        <v>4121</v>
      </c>
      <c r="F114" s="13">
        <v>11</v>
      </c>
      <c r="G114" s="13" t="s">
        <v>297</v>
      </c>
      <c r="H114" s="19">
        <v>20</v>
      </c>
      <c r="J114" s="14" t="s">
        <v>3629</v>
      </c>
    </row>
    <row r="115" spans="1:10" x14ac:dyDescent="0.25">
      <c r="A115" s="17" t="s">
        <v>3987</v>
      </c>
      <c r="B115" s="13" t="s">
        <v>4119</v>
      </c>
      <c r="C115" s="13" t="s">
        <v>4136</v>
      </c>
      <c r="D115" s="14" t="str">
        <f t="shared" si="1"/>
        <v>ROY-187-114</v>
      </c>
      <c r="E115" s="13" t="s">
        <v>4040</v>
      </c>
      <c r="F115" s="13">
        <v>18</v>
      </c>
      <c r="G115" s="13" t="s">
        <v>297</v>
      </c>
      <c r="H115" s="19">
        <v>20</v>
      </c>
      <c r="J115" s="14" t="s">
        <v>3629</v>
      </c>
    </row>
    <row r="116" spans="1:10" x14ac:dyDescent="0.25">
      <c r="A116" s="17" t="s">
        <v>3987</v>
      </c>
      <c r="B116" s="13" t="s">
        <v>4119</v>
      </c>
      <c r="C116" s="13" t="s">
        <v>4137</v>
      </c>
      <c r="D116" s="14" t="str">
        <f t="shared" si="1"/>
        <v>ROY-187-115</v>
      </c>
      <c r="E116" s="13" t="s">
        <v>4134</v>
      </c>
      <c r="F116" s="13">
        <v>33</v>
      </c>
      <c r="G116" s="13" t="s">
        <v>297</v>
      </c>
      <c r="H116" s="19">
        <v>20</v>
      </c>
      <c r="J116" s="14" t="s">
        <v>3629</v>
      </c>
    </row>
    <row r="117" spans="1:10" x14ac:dyDescent="0.25">
      <c r="A117" s="17" t="s">
        <v>3987</v>
      </c>
      <c r="B117" s="13" t="s">
        <v>4119</v>
      </c>
      <c r="C117" s="13" t="s">
        <v>4138</v>
      </c>
      <c r="D117" s="14" t="str">
        <f t="shared" si="1"/>
        <v>ROY-187-116</v>
      </c>
      <c r="E117" s="13" t="s">
        <v>4121</v>
      </c>
      <c r="F117" s="13">
        <v>11</v>
      </c>
      <c r="G117" s="13" t="s">
        <v>297</v>
      </c>
      <c r="H117" s="19">
        <v>20</v>
      </c>
      <c r="J117" s="14" t="s">
        <v>3629</v>
      </c>
    </row>
    <row r="118" spans="1:10" x14ac:dyDescent="0.25">
      <c r="A118" s="17" t="s">
        <v>3987</v>
      </c>
      <c r="B118" s="13" t="s">
        <v>4119</v>
      </c>
      <c r="C118" s="13" t="s">
        <v>4139</v>
      </c>
      <c r="D118" s="14" t="str">
        <f t="shared" si="1"/>
        <v>ROY-187-117</v>
      </c>
      <c r="E118" s="13" t="s">
        <v>4040</v>
      </c>
      <c r="F118" s="13">
        <v>18</v>
      </c>
      <c r="G118" s="13" t="s">
        <v>297</v>
      </c>
      <c r="H118" s="19">
        <v>20</v>
      </c>
      <c r="J118" s="14" t="s">
        <v>3629</v>
      </c>
    </row>
    <row r="119" spans="1:10" x14ac:dyDescent="0.25">
      <c r="A119" s="17" t="s">
        <v>3987</v>
      </c>
      <c r="B119" s="13" t="s">
        <v>4119</v>
      </c>
      <c r="C119" s="13" t="s">
        <v>4140</v>
      </c>
      <c r="D119" s="14" t="str">
        <f t="shared" si="1"/>
        <v>ROY-187-118</v>
      </c>
      <c r="E119" s="13" t="s">
        <v>4134</v>
      </c>
      <c r="F119" s="13">
        <v>33</v>
      </c>
      <c r="G119" s="13" t="s">
        <v>297</v>
      </c>
      <c r="H119" s="19">
        <v>20</v>
      </c>
      <c r="J119" s="14" t="s">
        <v>3629</v>
      </c>
    </row>
    <row r="120" spans="1:10" x14ac:dyDescent="0.25">
      <c r="A120" s="17" t="s">
        <v>3987</v>
      </c>
      <c r="B120" s="13" t="s">
        <v>4119</v>
      </c>
      <c r="C120" s="13" t="s">
        <v>4141</v>
      </c>
      <c r="D120" s="14" t="str">
        <f t="shared" si="1"/>
        <v>ROY-187-119</v>
      </c>
      <c r="E120" s="13" t="s">
        <v>4121</v>
      </c>
      <c r="F120" s="13">
        <v>11</v>
      </c>
      <c r="G120" s="13" t="s">
        <v>297</v>
      </c>
      <c r="H120" s="19">
        <v>20</v>
      </c>
      <c r="J120" s="14" t="s">
        <v>3629</v>
      </c>
    </row>
    <row r="121" spans="1:10" x14ac:dyDescent="0.25">
      <c r="A121" s="17" t="s">
        <v>3987</v>
      </c>
      <c r="B121" s="13" t="s">
        <v>4119</v>
      </c>
      <c r="C121" s="13" t="s">
        <v>4142</v>
      </c>
      <c r="D121" s="14" t="str">
        <f t="shared" si="1"/>
        <v>ROY-187-120</v>
      </c>
      <c r="E121" s="13" t="s">
        <v>4040</v>
      </c>
      <c r="F121" s="13">
        <v>18</v>
      </c>
      <c r="G121" s="13" t="s">
        <v>297</v>
      </c>
      <c r="H121" s="19">
        <v>20</v>
      </c>
      <c r="J121" s="14" t="s">
        <v>3629</v>
      </c>
    </row>
    <row r="122" spans="1:10" x14ac:dyDescent="0.25">
      <c r="A122" s="17" t="s">
        <v>3987</v>
      </c>
      <c r="B122" s="13" t="s">
        <v>4119</v>
      </c>
      <c r="C122" s="13" t="s">
        <v>4143</v>
      </c>
      <c r="D122" s="14" t="str">
        <f t="shared" si="1"/>
        <v>ROY-187-121</v>
      </c>
      <c r="E122" s="13" t="s">
        <v>4134</v>
      </c>
      <c r="F122" s="13">
        <v>33</v>
      </c>
      <c r="G122" s="13" t="s">
        <v>297</v>
      </c>
      <c r="H122" s="19">
        <v>20</v>
      </c>
      <c r="J122" s="14" t="s">
        <v>3629</v>
      </c>
    </row>
    <row r="123" spans="1:10" x14ac:dyDescent="0.25">
      <c r="A123" s="17" t="s">
        <v>3987</v>
      </c>
      <c r="B123" s="13" t="s">
        <v>4119</v>
      </c>
      <c r="C123" s="13" t="s">
        <v>4144</v>
      </c>
      <c r="D123" s="14" t="str">
        <f t="shared" si="1"/>
        <v>ROY-187-122</v>
      </c>
      <c r="E123" s="13" t="s">
        <v>4121</v>
      </c>
      <c r="F123" s="13">
        <v>11</v>
      </c>
      <c r="G123" s="13" t="s">
        <v>297</v>
      </c>
      <c r="H123" s="19">
        <v>20</v>
      </c>
      <c r="J123" s="14" t="s">
        <v>3629</v>
      </c>
    </row>
    <row r="124" spans="1:10" x14ac:dyDescent="0.25">
      <c r="A124" s="17" t="s">
        <v>3987</v>
      </c>
      <c r="B124" s="13" t="s">
        <v>4119</v>
      </c>
      <c r="C124" s="13" t="s">
        <v>4145</v>
      </c>
      <c r="D124" s="14" t="str">
        <f t="shared" si="1"/>
        <v>ROY-187-123</v>
      </c>
      <c r="E124" s="13" t="s">
        <v>4040</v>
      </c>
      <c r="F124" s="13">
        <v>18</v>
      </c>
      <c r="G124" s="13" t="s">
        <v>297</v>
      </c>
      <c r="H124" s="19">
        <v>20</v>
      </c>
      <c r="J124" s="14" t="s">
        <v>3629</v>
      </c>
    </row>
    <row r="125" spans="1:10" x14ac:dyDescent="0.25">
      <c r="A125" s="17" t="s">
        <v>3987</v>
      </c>
      <c r="B125" s="13" t="s">
        <v>4119</v>
      </c>
      <c r="C125" s="13" t="s">
        <v>4146</v>
      </c>
      <c r="D125" s="14" t="str">
        <f t="shared" si="1"/>
        <v>ROY-187-124</v>
      </c>
      <c r="E125" s="13" t="s">
        <v>4134</v>
      </c>
      <c r="F125" s="13">
        <v>33</v>
      </c>
      <c r="G125" s="13" t="s">
        <v>297</v>
      </c>
      <c r="H125" s="19">
        <v>20</v>
      </c>
      <c r="J125" s="14" t="s">
        <v>3629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D74AD-3050-4364-9DD3-856D8E2C8933}">
  <dimension ref="A1:I125"/>
  <sheetViews>
    <sheetView zoomScale="85" zoomScaleNormal="85" workbookViewId="0">
      <pane ySplit="1" topLeftCell="A2" activePane="bottomLeft" state="frozen"/>
      <selection pane="bottomLeft" activeCell="C2" sqref="C2"/>
    </sheetView>
  </sheetViews>
  <sheetFormatPr defaultRowHeight="13.2" x14ac:dyDescent="0.25"/>
  <cols>
    <col min="1" max="1" width="25.6640625" style="13" bestFit="1" customWidth="1"/>
    <col min="2" max="2" width="12.33203125" style="13" bestFit="1" customWidth="1"/>
    <col min="3" max="3" width="89.21875" style="13" bestFit="1" customWidth="1"/>
    <col min="4" max="4" width="15.21875" style="13" customWidth="1"/>
    <col min="5" max="5" width="14.109375" style="13" bestFit="1" customWidth="1"/>
    <col min="6" max="7" width="9.88671875" style="13" customWidth="1"/>
    <col min="8" max="8" width="12.33203125" style="13" bestFit="1" customWidth="1"/>
    <col min="9" max="9" width="11.77734375" style="13" bestFit="1" customWidth="1"/>
    <col min="10" max="16384" width="8.88671875" style="13"/>
  </cols>
  <sheetData>
    <row r="1" spans="1:9" s="16" customFormat="1" ht="12.6" x14ac:dyDescent="0.2">
      <c r="A1" s="15" t="s">
        <v>432</v>
      </c>
      <c r="B1" s="15" t="s">
        <v>494</v>
      </c>
      <c r="C1" s="15" t="s">
        <v>435</v>
      </c>
      <c r="D1" s="15" t="s">
        <v>433</v>
      </c>
      <c r="E1" s="15" t="s">
        <v>3419</v>
      </c>
      <c r="F1" s="15" t="s">
        <v>483</v>
      </c>
      <c r="G1" s="15" t="s">
        <v>484</v>
      </c>
      <c r="H1" s="15" t="s">
        <v>437</v>
      </c>
      <c r="I1" s="15" t="s">
        <v>438</v>
      </c>
    </row>
    <row r="2" spans="1:9" ht="28.8" x14ac:dyDescent="0.3">
      <c r="A2" s="5" t="s">
        <v>404</v>
      </c>
      <c r="B2" s="14" t="s">
        <v>4147</v>
      </c>
      <c r="C2" s="18"/>
      <c r="D2" s="2" t="s">
        <v>4148</v>
      </c>
      <c r="E2" s="19"/>
      <c r="F2" s="19"/>
      <c r="G2" s="19"/>
      <c r="H2" s="20"/>
      <c r="I2" s="14"/>
    </row>
    <row r="3" spans="1:9" x14ac:dyDescent="0.25">
      <c r="A3" s="17"/>
      <c r="B3" s="14"/>
      <c r="C3" s="18"/>
      <c r="D3" s="14" t="str">
        <f t="shared" ref="D3" si="0">LEFT($D$2,FIND("-",$D$2,FIND("-",$D$2)+1)) &amp; TEXT(RIGHT($D$2,3)+ROW(D1),"000")</f>
        <v>FIR-451-002</v>
      </c>
      <c r="E3" s="19"/>
      <c r="G3" s="19"/>
    </row>
    <row r="4" spans="1:9" x14ac:dyDescent="0.25">
      <c r="A4" s="17"/>
      <c r="B4" s="14"/>
      <c r="C4" s="18"/>
      <c r="D4" s="14"/>
      <c r="E4" s="19"/>
      <c r="G4" s="19"/>
    </row>
    <row r="5" spans="1:9" x14ac:dyDescent="0.25">
      <c r="A5" s="17"/>
      <c r="B5" s="14"/>
      <c r="C5" s="18"/>
      <c r="D5" s="14"/>
    </row>
    <row r="6" spans="1:9" x14ac:dyDescent="0.25">
      <c r="A6" s="17"/>
      <c r="B6" s="14"/>
      <c r="C6" s="18"/>
      <c r="D6" s="14"/>
    </row>
    <row r="7" spans="1:9" x14ac:dyDescent="0.25">
      <c r="A7" s="17"/>
      <c r="D7" s="14"/>
    </row>
    <row r="8" spans="1:9" x14ac:dyDescent="0.25">
      <c r="A8" s="17"/>
      <c r="D8" s="14"/>
    </row>
    <row r="9" spans="1:9" x14ac:dyDescent="0.25">
      <c r="A9" s="17"/>
      <c r="D9" s="14"/>
    </row>
    <row r="10" spans="1:9" x14ac:dyDescent="0.25">
      <c r="A10" s="17"/>
      <c r="D10" s="14"/>
    </row>
    <row r="11" spans="1:9" x14ac:dyDescent="0.25">
      <c r="A11" s="17"/>
      <c r="D11" s="14"/>
    </row>
    <row r="12" spans="1:9" x14ac:dyDescent="0.25">
      <c r="A12" s="17"/>
      <c r="D12" s="14"/>
    </row>
    <row r="13" spans="1:9" x14ac:dyDescent="0.25">
      <c r="A13" s="17"/>
      <c r="D13" s="14"/>
    </row>
    <row r="14" spans="1:9" x14ac:dyDescent="0.25">
      <c r="A14" s="17"/>
      <c r="D14" s="14"/>
    </row>
    <row r="15" spans="1:9" x14ac:dyDescent="0.25">
      <c r="A15" s="17"/>
      <c r="D15" s="14"/>
    </row>
    <row r="16" spans="1:9" x14ac:dyDescent="0.25">
      <c r="A16" s="17"/>
      <c r="D16" s="14"/>
    </row>
    <row r="17" spans="1:4" x14ac:dyDescent="0.25">
      <c r="A17" s="17"/>
      <c r="D17" s="14"/>
    </row>
    <row r="18" spans="1:4" x14ac:dyDescent="0.25">
      <c r="A18" s="17"/>
      <c r="D18" s="14"/>
    </row>
    <row r="19" spans="1:4" x14ac:dyDescent="0.25">
      <c r="A19" s="17"/>
      <c r="D19" s="14"/>
    </row>
    <row r="20" spans="1:4" x14ac:dyDescent="0.25">
      <c r="A20" s="17"/>
      <c r="D20" s="14"/>
    </row>
    <row r="21" spans="1:4" x14ac:dyDescent="0.25">
      <c r="A21" s="17"/>
      <c r="D21" s="14"/>
    </row>
    <row r="22" spans="1:4" x14ac:dyDescent="0.25">
      <c r="A22" s="17"/>
      <c r="D22" s="14"/>
    </row>
    <row r="23" spans="1:4" x14ac:dyDescent="0.25">
      <c r="A23" s="17"/>
      <c r="D23" s="14"/>
    </row>
    <row r="24" spans="1:4" x14ac:dyDescent="0.25">
      <c r="A24" s="17"/>
      <c r="D24" s="14"/>
    </row>
    <row r="25" spans="1:4" x14ac:dyDescent="0.25">
      <c r="A25" s="17"/>
      <c r="D25" s="14"/>
    </row>
    <row r="26" spans="1:4" x14ac:dyDescent="0.25">
      <c r="A26" s="17"/>
      <c r="D26" s="14"/>
    </row>
    <row r="27" spans="1:4" x14ac:dyDescent="0.25">
      <c r="A27" s="17"/>
      <c r="D27" s="14"/>
    </row>
    <row r="28" spans="1:4" x14ac:dyDescent="0.25">
      <c r="A28" s="17"/>
      <c r="D28" s="14"/>
    </row>
    <row r="29" spans="1:4" x14ac:dyDescent="0.25">
      <c r="A29" s="17"/>
      <c r="D29" s="14"/>
    </row>
    <row r="30" spans="1:4" x14ac:dyDescent="0.25">
      <c r="A30" s="17"/>
      <c r="D30" s="14"/>
    </row>
    <row r="31" spans="1:4" x14ac:dyDescent="0.25">
      <c r="A31" s="17"/>
      <c r="D31" s="14"/>
    </row>
    <row r="32" spans="1:4" x14ac:dyDescent="0.25">
      <c r="A32" s="17"/>
      <c r="D32" s="14"/>
    </row>
    <row r="33" spans="1:4" x14ac:dyDescent="0.25">
      <c r="A33" s="17"/>
      <c r="D33" s="14"/>
    </row>
    <row r="34" spans="1:4" x14ac:dyDescent="0.25">
      <c r="A34" s="17"/>
      <c r="D34" s="14"/>
    </row>
    <row r="35" spans="1:4" x14ac:dyDescent="0.25">
      <c r="A35" s="17"/>
      <c r="D35" s="14"/>
    </row>
    <row r="36" spans="1:4" x14ac:dyDescent="0.25">
      <c r="A36" s="17"/>
      <c r="D36" s="14"/>
    </row>
    <row r="37" spans="1:4" x14ac:dyDescent="0.25">
      <c r="A37" s="17"/>
      <c r="D37" s="14"/>
    </row>
    <row r="38" spans="1:4" x14ac:dyDescent="0.25">
      <c r="A38" s="17"/>
      <c r="D38" s="14"/>
    </row>
    <row r="39" spans="1:4" x14ac:dyDescent="0.25">
      <c r="A39" s="17"/>
      <c r="D39" s="14"/>
    </row>
    <row r="40" spans="1:4" x14ac:dyDescent="0.25">
      <c r="A40" s="17"/>
      <c r="D40" s="14"/>
    </row>
    <row r="41" spans="1:4" x14ac:dyDescent="0.25">
      <c r="A41" s="17"/>
      <c r="D41" s="14"/>
    </row>
    <row r="42" spans="1:4" x14ac:dyDescent="0.25">
      <c r="A42" s="17"/>
      <c r="D42" s="14"/>
    </row>
    <row r="43" spans="1:4" x14ac:dyDescent="0.25">
      <c r="A43" s="17"/>
      <c r="D43" s="14"/>
    </row>
    <row r="44" spans="1:4" x14ac:dyDescent="0.25">
      <c r="A44" s="17"/>
      <c r="D44" s="14"/>
    </row>
    <row r="45" spans="1:4" x14ac:dyDescent="0.25">
      <c r="A45" s="17"/>
      <c r="D45" s="14"/>
    </row>
    <row r="46" spans="1:4" x14ac:dyDescent="0.25">
      <c r="A46" s="17"/>
      <c r="D46" s="14"/>
    </row>
    <row r="47" spans="1:4" x14ac:dyDescent="0.25">
      <c r="A47" s="17"/>
      <c r="D47" s="14"/>
    </row>
    <row r="48" spans="1:4" x14ac:dyDescent="0.25">
      <c r="A48" s="17"/>
      <c r="D48" s="14"/>
    </row>
    <row r="49" spans="1:4" x14ac:dyDescent="0.25">
      <c r="A49" s="17"/>
      <c r="D49" s="14"/>
    </row>
    <row r="50" spans="1:4" x14ac:dyDescent="0.25">
      <c r="A50" s="17"/>
      <c r="D50" s="14"/>
    </row>
    <row r="51" spans="1:4" x14ac:dyDescent="0.25">
      <c r="A51" s="17"/>
      <c r="D51" s="14"/>
    </row>
    <row r="52" spans="1:4" x14ac:dyDescent="0.25">
      <c r="A52" s="17"/>
      <c r="D52" s="14"/>
    </row>
    <row r="53" spans="1:4" x14ac:dyDescent="0.25">
      <c r="A53" s="17"/>
      <c r="D53" s="14"/>
    </row>
    <row r="54" spans="1:4" x14ac:dyDescent="0.25">
      <c r="A54" s="17"/>
      <c r="D54" s="14"/>
    </row>
    <row r="55" spans="1:4" x14ac:dyDescent="0.25">
      <c r="A55" s="17"/>
      <c r="D55" s="14"/>
    </row>
    <row r="56" spans="1:4" x14ac:dyDescent="0.25">
      <c r="A56" s="17"/>
      <c r="D56" s="14"/>
    </row>
    <row r="57" spans="1:4" x14ac:dyDescent="0.25">
      <c r="A57" s="17"/>
      <c r="D57" s="14"/>
    </row>
    <row r="58" spans="1:4" x14ac:dyDescent="0.25">
      <c r="A58" s="17"/>
      <c r="D58" s="14"/>
    </row>
    <row r="59" spans="1:4" x14ac:dyDescent="0.25">
      <c r="A59" s="17"/>
      <c r="D59" s="14"/>
    </row>
    <row r="60" spans="1:4" x14ac:dyDescent="0.25">
      <c r="A60" s="17"/>
      <c r="D60" s="14"/>
    </row>
    <row r="61" spans="1:4" x14ac:dyDescent="0.25">
      <c r="A61" s="17"/>
      <c r="D61" s="14"/>
    </row>
    <row r="62" spans="1:4" x14ac:dyDescent="0.25">
      <c r="A62" s="17"/>
      <c r="D62" s="14"/>
    </row>
    <row r="63" spans="1:4" x14ac:dyDescent="0.25">
      <c r="A63" s="17"/>
      <c r="D63" s="14"/>
    </row>
    <row r="64" spans="1:4" x14ac:dyDescent="0.25">
      <c r="A64" s="17"/>
      <c r="D64" s="14"/>
    </row>
    <row r="65" spans="1:4" x14ac:dyDescent="0.25">
      <c r="A65" s="17"/>
      <c r="D65" s="14"/>
    </row>
    <row r="66" spans="1:4" x14ac:dyDescent="0.25">
      <c r="A66" s="17"/>
      <c r="D66" s="14"/>
    </row>
    <row r="67" spans="1:4" x14ac:dyDescent="0.25">
      <c r="A67" s="17"/>
      <c r="D67" s="14"/>
    </row>
    <row r="68" spans="1:4" x14ac:dyDescent="0.25">
      <c r="A68" s="17"/>
      <c r="D68" s="14"/>
    </row>
    <row r="69" spans="1:4" x14ac:dyDescent="0.25">
      <c r="A69" s="17"/>
      <c r="D69" s="14"/>
    </row>
    <row r="70" spans="1:4" x14ac:dyDescent="0.25">
      <c r="A70" s="17"/>
      <c r="D70" s="14"/>
    </row>
    <row r="71" spans="1:4" x14ac:dyDescent="0.25">
      <c r="A71" s="17"/>
      <c r="D71" s="14"/>
    </row>
    <row r="72" spans="1:4" x14ac:dyDescent="0.25">
      <c r="A72" s="17"/>
      <c r="D72" s="14"/>
    </row>
    <row r="73" spans="1:4" x14ac:dyDescent="0.25">
      <c r="A73" s="17"/>
      <c r="D73" s="14"/>
    </row>
    <row r="74" spans="1:4" x14ac:dyDescent="0.25">
      <c r="A74" s="17"/>
      <c r="D74" s="14"/>
    </row>
    <row r="75" spans="1:4" x14ac:dyDescent="0.25">
      <c r="A75" s="17"/>
      <c r="D75" s="14"/>
    </row>
    <row r="76" spans="1:4" x14ac:dyDescent="0.25">
      <c r="A76" s="17"/>
      <c r="D76" s="14"/>
    </row>
    <row r="77" spans="1:4" x14ac:dyDescent="0.25">
      <c r="A77" s="17"/>
      <c r="D77" s="14"/>
    </row>
    <row r="78" spans="1:4" x14ac:dyDescent="0.25">
      <c r="A78" s="17"/>
      <c r="D78" s="14"/>
    </row>
    <row r="79" spans="1:4" x14ac:dyDescent="0.25">
      <c r="A79" s="17"/>
      <c r="D79" s="14"/>
    </row>
    <row r="80" spans="1:4" x14ac:dyDescent="0.25">
      <c r="A80" s="17"/>
      <c r="D80" s="14"/>
    </row>
    <row r="81" spans="1:4" x14ac:dyDescent="0.25">
      <c r="A81" s="17"/>
      <c r="D81" s="14"/>
    </row>
    <row r="82" spans="1:4" x14ac:dyDescent="0.25">
      <c r="A82" s="17"/>
      <c r="D82" s="14"/>
    </row>
    <row r="83" spans="1:4" x14ac:dyDescent="0.25">
      <c r="A83" s="17"/>
      <c r="D83" s="14"/>
    </row>
    <row r="84" spans="1:4" x14ac:dyDescent="0.25">
      <c r="A84" s="17"/>
      <c r="D84" s="14"/>
    </row>
    <row r="85" spans="1:4" x14ac:dyDescent="0.25">
      <c r="A85" s="17"/>
      <c r="D85" s="14"/>
    </row>
    <row r="86" spans="1:4" x14ac:dyDescent="0.25">
      <c r="A86" s="17"/>
      <c r="D86" s="14"/>
    </row>
    <row r="87" spans="1:4" x14ac:dyDescent="0.25">
      <c r="A87" s="17"/>
      <c r="D87" s="14"/>
    </row>
    <row r="88" spans="1:4" x14ac:dyDescent="0.25">
      <c r="A88" s="17"/>
      <c r="D88" s="14"/>
    </row>
    <row r="89" spans="1:4" x14ac:dyDescent="0.25">
      <c r="A89" s="17"/>
      <c r="D89" s="14"/>
    </row>
    <row r="90" spans="1:4" x14ac:dyDescent="0.25">
      <c r="A90" s="17"/>
      <c r="D90" s="14"/>
    </row>
    <row r="91" spans="1:4" x14ac:dyDescent="0.25">
      <c r="A91" s="17"/>
      <c r="D91" s="14"/>
    </row>
    <row r="92" spans="1:4" x14ac:dyDescent="0.25">
      <c r="A92" s="17"/>
      <c r="D92" s="14"/>
    </row>
    <row r="93" spans="1:4" x14ac:dyDescent="0.25">
      <c r="A93" s="17"/>
      <c r="D93" s="14"/>
    </row>
    <row r="94" spans="1:4" x14ac:dyDescent="0.25">
      <c r="A94" s="17"/>
      <c r="D94" s="14"/>
    </row>
    <row r="95" spans="1:4" x14ac:dyDescent="0.25">
      <c r="A95" s="17"/>
      <c r="D95" s="14"/>
    </row>
    <row r="96" spans="1:4" x14ac:dyDescent="0.25">
      <c r="A96" s="17"/>
      <c r="D96" s="14"/>
    </row>
    <row r="97" spans="1:4" x14ac:dyDescent="0.25">
      <c r="A97" s="17"/>
      <c r="D97" s="14"/>
    </row>
    <row r="98" spans="1:4" x14ac:dyDescent="0.25">
      <c r="A98" s="17"/>
      <c r="D98" s="14"/>
    </row>
    <row r="99" spans="1:4" x14ac:dyDescent="0.25">
      <c r="A99" s="17"/>
      <c r="D99" s="14"/>
    </row>
    <row r="100" spans="1:4" x14ac:dyDescent="0.25">
      <c r="A100" s="17"/>
      <c r="D100" s="14"/>
    </row>
    <row r="101" spans="1:4" x14ac:dyDescent="0.25">
      <c r="A101" s="17"/>
      <c r="D101" s="14"/>
    </row>
    <row r="102" spans="1:4" x14ac:dyDescent="0.25">
      <c r="A102" s="17"/>
      <c r="D102" s="14"/>
    </row>
    <row r="103" spans="1:4" x14ac:dyDescent="0.25">
      <c r="A103" s="17"/>
      <c r="D103" s="14"/>
    </row>
    <row r="104" spans="1:4" x14ac:dyDescent="0.25">
      <c r="A104" s="17"/>
      <c r="D104" s="14"/>
    </row>
    <row r="105" spans="1:4" x14ac:dyDescent="0.25">
      <c r="A105" s="17"/>
      <c r="D105" s="14"/>
    </row>
    <row r="106" spans="1:4" x14ac:dyDescent="0.25">
      <c r="A106" s="17"/>
      <c r="D106" s="14"/>
    </row>
    <row r="107" spans="1:4" x14ac:dyDescent="0.25">
      <c r="A107" s="17"/>
      <c r="D107" s="14"/>
    </row>
    <row r="108" spans="1:4" x14ac:dyDescent="0.25">
      <c r="A108" s="17"/>
      <c r="D108" s="14"/>
    </row>
    <row r="109" spans="1:4" x14ac:dyDescent="0.25">
      <c r="A109" s="17"/>
      <c r="D109" s="14"/>
    </row>
    <row r="110" spans="1:4" x14ac:dyDescent="0.25">
      <c r="A110" s="17"/>
      <c r="D110" s="14"/>
    </row>
    <row r="111" spans="1:4" x14ac:dyDescent="0.25">
      <c r="A111" s="17"/>
      <c r="D111" s="14"/>
    </row>
    <row r="112" spans="1:4" x14ac:dyDescent="0.25">
      <c r="A112" s="17"/>
      <c r="D112" s="14"/>
    </row>
    <row r="113" spans="1:4" x14ac:dyDescent="0.25">
      <c r="A113" s="17"/>
      <c r="D113" s="14"/>
    </row>
    <row r="114" spans="1:4" x14ac:dyDescent="0.25">
      <c r="A114" s="17"/>
      <c r="D114" s="14"/>
    </row>
    <row r="115" spans="1:4" x14ac:dyDescent="0.25">
      <c r="A115" s="17"/>
      <c r="D115" s="14"/>
    </row>
    <row r="116" spans="1:4" x14ac:dyDescent="0.25">
      <c r="A116" s="17"/>
      <c r="D116" s="14"/>
    </row>
    <row r="117" spans="1:4" x14ac:dyDescent="0.25">
      <c r="A117" s="17"/>
      <c r="D117" s="14"/>
    </row>
    <row r="118" spans="1:4" x14ac:dyDescent="0.25">
      <c r="A118" s="17"/>
      <c r="D118" s="14"/>
    </row>
    <row r="119" spans="1:4" x14ac:dyDescent="0.25">
      <c r="A119" s="17"/>
      <c r="D119" s="14"/>
    </row>
    <row r="120" spans="1:4" x14ac:dyDescent="0.25">
      <c r="A120" s="17"/>
      <c r="D120" s="14"/>
    </row>
    <row r="121" spans="1:4" x14ac:dyDescent="0.25">
      <c r="A121" s="17"/>
      <c r="D121" s="14"/>
    </row>
    <row r="122" spans="1:4" x14ac:dyDescent="0.25">
      <c r="A122" s="17"/>
      <c r="D122" s="14"/>
    </row>
    <row r="123" spans="1:4" x14ac:dyDescent="0.25">
      <c r="A123" s="17"/>
      <c r="D123" s="14"/>
    </row>
    <row r="124" spans="1:4" x14ac:dyDescent="0.25">
      <c r="A124" s="17"/>
      <c r="D124" s="14"/>
    </row>
    <row r="125" spans="1:4" x14ac:dyDescent="0.25">
      <c r="A125" s="17"/>
      <c r="D125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category</vt:lpstr>
      <vt:lpstr>unit</vt:lpstr>
      <vt:lpstr>discount</vt:lpstr>
      <vt:lpstr>SUPPLIERS</vt:lpstr>
      <vt:lpstr>SUPPLIER_ITEMS (1st Tools)</vt:lpstr>
      <vt:lpstr>PRODUCT INVENTORY (1st Tools)</vt:lpstr>
      <vt:lpstr>SUPPLIER_ITEMS (Royu)</vt:lpstr>
      <vt:lpstr>SUPPLIER_ITEMS (Firefly)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 Jane Manalo</dc:creator>
  <cp:lastModifiedBy>Helen Jane Manalo</cp:lastModifiedBy>
  <dcterms:created xsi:type="dcterms:W3CDTF">2025-11-10T04:34:43Z</dcterms:created>
  <dcterms:modified xsi:type="dcterms:W3CDTF">2025-11-19T08:14:29Z</dcterms:modified>
</cp:coreProperties>
</file>