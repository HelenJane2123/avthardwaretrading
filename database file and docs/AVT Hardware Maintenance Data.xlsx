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avthardwaretrading\database file and docs\"/>
    </mc:Choice>
  </mc:AlternateContent>
  <xr:revisionPtr revIDLastSave="0" documentId="13_ncr:1_{3312DACB-8869-4AE5-B4FB-A5A2466F5489}" xr6:coauthVersionLast="47" xr6:coauthVersionMax="47" xr10:uidLastSave="{00000000-0000-0000-0000-000000000000}"/>
  <bookViews>
    <workbookView xWindow="-108" yWindow="-108" windowWidth="23256" windowHeight="13896" activeTab="4" xr2:uid="{2B5D6939-F9AB-48CD-886E-B5DDD1DB4A15}"/>
  </bookViews>
  <sheets>
    <sheet name="category" sheetId="1" r:id="rId1"/>
    <sheet name="unit" sheetId="2" r:id="rId2"/>
    <sheet name="SUPPLIERS" sheetId="3" r:id="rId3"/>
    <sheet name="SUPPLIER_ITEMS (1st Tools)" sheetId="4" r:id="rId4"/>
    <sheet name="PRODUCT INVENTORY (1st tools)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5" l="1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A21" i="5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D34" i="5"/>
  <c r="D33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G199" i="4"/>
  <c r="F199" i="4"/>
  <c r="G198" i="4"/>
  <c r="F198" i="4"/>
  <c r="G197" i="4"/>
  <c r="F197" i="4"/>
  <c r="G196" i="4"/>
  <c r="F196" i="4"/>
  <c r="G195" i="4"/>
  <c r="F195" i="4"/>
  <c r="G194" i="4"/>
  <c r="F194" i="4"/>
  <c r="G193" i="4"/>
  <c r="F193" i="4"/>
  <c r="G192" i="4"/>
  <c r="F192" i="4"/>
  <c r="G191" i="4"/>
  <c r="F191" i="4"/>
  <c r="G190" i="4"/>
  <c r="F190" i="4"/>
  <c r="G189" i="4"/>
  <c r="F189" i="4"/>
  <c r="G188" i="4"/>
  <c r="F188" i="4"/>
  <c r="G187" i="4"/>
  <c r="F187" i="4"/>
  <c r="G186" i="4"/>
  <c r="F186" i="4"/>
  <c r="G185" i="4"/>
  <c r="F185" i="4"/>
  <c r="G184" i="4"/>
  <c r="F184" i="4"/>
  <c r="G183" i="4"/>
  <c r="F183" i="4"/>
  <c r="G182" i="4"/>
  <c r="F182" i="4"/>
  <c r="G181" i="4"/>
  <c r="F181" i="4"/>
  <c r="G180" i="4"/>
  <c r="F180" i="4"/>
  <c r="G179" i="4"/>
  <c r="F179" i="4"/>
  <c r="G178" i="4"/>
  <c r="F178" i="4"/>
  <c r="G177" i="4"/>
  <c r="F177" i="4"/>
  <c r="G176" i="4"/>
  <c r="F176" i="4"/>
  <c r="G175" i="4"/>
  <c r="F175" i="4"/>
  <c r="G174" i="4"/>
  <c r="F174" i="4"/>
  <c r="G173" i="4"/>
  <c r="F173" i="4"/>
  <c r="G172" i="4"/>
  <c r="F172" i="4"/>
  <c r="G171" i="4"/>
  <c r="F171" i="4"/>
  <c r="G170" i="4"/>
  <c r="F170" i="4"/>
  <c r="G169" i="4"/>
  <c r="F169" i="4"/>
  <c r="G168" i="4"/>
  <c r="F168" i="4"/>
  <c r="G167" i="4"/>
  <c r="F167" i="4"/>
  <c r="G166" i="4"/>
  <c r="F166" i="4"/>
  <c r="G165" i="4"/>
  <c r="F165" i="4"/>
  <c r="G164" i="4"/>
  <c r="F164" i="4"/>
  <c r="G163" i="4"/>
  <c r="F163" i="4"/>
  <c r="G162" i="4"/>
  <c r="F162" i="4"/>
  <c r="G161" i="4"/>
  <c r="F161" i="4"/>
  <c r="G160" i="4"/>
  <c r="F160" i="4"/>
  <c r="G159" i="4"/>
  <c r="F159" i="4"/>
  <c r="G158" i="4"/>
  <c r="F158" i="4"/>
  <c r="G157" i="4"/>
  <c r="F157" i="4"/>
  <c r="G156" i="4"/>
  <c r="F156" i="4"/>
  <c r="G155" i="4"/>
  <c r="F155" i="4"/>
  <c r="G154" i="4"/>
  <c r="F154" i="4"/>
  <c r="G153" i="4"/>
  <c r="F153" i="4"/>
  <c r="G152" i="4"/>
  <c r="F152" i="4"/>
  <c r="G151" i="4"/>
  <c r="F151" i="4"/>
  <c r="G150" i="4"/>
  <c r="F150" i="4"/>
  <c r="G149" i="4"/>
  <c r="F149" i="4"/>
  <c r="G148" i="4"/>
  <c r="F148" i="4"/>
  <c r="G147" i="4"/>
  <c r="F147" i="4"/>
  <c r="G146" i="4"/>
  <c r="F146" i="4"/>
  <c r="G145" i="4"/>
  <c r="F145" i="4"/>
  <c r="G144" i="4"/>
  <c r="F144" i="4"/>
  <c r="G143" i="4"/>
  <c r="F143" i="4"/>
  <c r="G142" i="4"/>
  <c r="F142" i="4"/>
  <c r="G141" i="4"/>
  <c r="F141" i="4"/>
  <c r="G140" i="4"/>
  <c r="F140" i="4"/>
  <c r="G139" i="4"/>
  <c r="F139" i="4"/>
  <c r="G138" i="4"/>
  <c r="F138" i="4"/>
  <c r="G137" i="4"/>
  <c r="F137" i="4"/>
  <c r="G136" i="4"/>
  <c r="F136" i="4"/>
  <c r="G135" i="4"/>
  <c r="F135" i="4"/>
  <c r="G134" i="4"/>
  <c r="F134" i="4"/>
  <c r="G133" i="4"/>
  <c r="F133" i="4"/>
  <c r="G132" i="4"/>
  <c r="F132" i="4"/>
  <c r="G131" i="4"/>
  <c r="F131" i="4"/>
  <c r="G130" i="4"/>
  <c r="F130" i="4"/>
  <c r="G129" i="4"/>
  <c r="F129" i="4"/>
  <c r="G128" i="4"/>
  <c r="F128" i="4"/>
  <c r="G127" i="4"/>
  <c r="F127" i="4"/>
  <c r="F124" i="4"/>
  <c r="G124" i="4"/>
  <c r="G126" i="4"/>
  <c r="G125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F66" i="4"/>
  <c r="F126" i="4"/>
  <c r="F125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</calcChain>
</file>

<file path=xl/sharedStrings.xml><?xml version="1.0" encoding="utf-8"?>
<sst xmlns="http://schemas.openxmlformats.org/spreadsheetml/2006/main" count="1768" uniqueCount="992">
  <si>
    <t>STAINLESS STRAINER</t>
  </si>
  <si>
    <t>id</t>
  </si>
  <si>
    <t>name</t>
  </si>
  <si>
    <t>status</t>
  </si>
  <si>
    <t>STAINLESS PIANO HINGES  WITH SCREW</t>
  </si>
  <si>
    <t>PVC COATED CUP HOOK</t>
  </si>
  <si>
    <t>B/P CUP HOOK (BRASS)</t>
  </si>
  <si>
    <t>MAGNETIC DOOR STOPPER</t>
  </si>
  <si>
    <t>DRAWER LOCK</t>
  </si>
  <si>
    <t>BAG-PLATED RED COPPER CABINET DRAWER HANDLES (NEW ARRIVAL)</t>
  </si>
  <si>
    <t>BAG-PLATED BRONZE CABINET DRAWER HANDLES (NEW ARRIVAL)</t>
  </si>
  <si>
    <t>SOLID DOOR</t>
  </si>
  <si>
    <t>T-TYPE STAINLESS HANDLE LIGHT DUTY</t>
  </si>
  <si>
    <t>T-TYPE STAINLESS HANDLE  HEAVY DUTY</t>
  </si>
  <si>
    <t>STAINLESS BOLT W/ STAINLESS SCREW</t>
  </si>
  <si>
    <t>STAINLESS BARREL BOLTS WITH HASP</t>
  </si>
  <si>
    <t>STAINLESS BARREL BOLT W/SCREW</t>
  </si>
  <si>
    <t>POLONET BARREL BOLT CHROME PLATED</t>
  </si>
  <si>
    <t>HEAVY DUTY BOLT</t>
  </si>
  <si>
    <t>SAFETY HASP STAINLESS W/ SCREW</t>
  </si>
  <si>
    <t>SAFETY HASP  W/ SCREW</t>
  </si>
  <si>
    <t>HEAVY DUTY PADLOCK HASP</t>
  </si>
  <si>
    <t>HASP LOCK</t>
  </si>
  <si>
    <t>STAINLESS DUAL HINGE STAINLESS</t>
  </si>
  <si>
    <t>NARROW BUTTS STAINLESS</t>
  </si>
  <si>
    <t>NARROW BUTTS 505-B</t>
  </si>
  <si>
    <t>NARROW BUTTS 838-B</t>
  </si>
  <si>
    <t>NARROW BUTTS BRASS PLATED</t>
  </si>
  <si>
    <t>STAINLESS BALL BEARING HINGES</t>
  </si>
  <si>
    <t>LOOSE PIN HINGES</t>
  </si>
  <si>
    <t>STAINLESS LOOSE PIN HINGES</t>
  </si>
  <si>
    <t>POLOLOCK LOOSE PIN HINGES</t>
  </si>
  <si>
    <t>SOLID BRASS COMBINATION PADLOCK</t>
  </si>
  <si>
    <t>BICYCLE LOCK</t>
  </si>
  <si>
    <t>TOP SECURITY LOCK SHORT &amp; LONG SHACKLE</t>
  </si>
  <si>
    <t>BRASS SIDE KEY PADLOCK</t>
  </si>
  <si>
    <t>POLOLOCK BRASS PADLOCK</t>
  </si>
  <si>
    <t>LAMINATED PADLOCK HEAVY DUTY</t>
  </si>
  <si>
    <t>WATERPROOF PADLOCK</t>
  </si>
  <si>
    <t>LAMINATED PADLOCK LONG</t>
  </si>
  <si>
    <t>LAMINATED PADLOCK SHORT</t>
  </si>
  <si>
    <t>SHELF BRACKET</t>
  </si>
  <si>
    <t>DOOR CLOSER</t>
  </si>
  <si>
    <t>SCREEN DOOR CLOSER</t>
  </si>
  <si>
    <t>DRAWER SLIDE BALL BEARING 3FOLD BLACK</t>
  </si>
  <si>
    <t>DRAWER SLIDE 3FOLD SOFT CLOSING STAINLESS</t>
  </si>
  <si>
    <t>DRAWER SLIDE BALL BEARING 3FOLD BLACK &amp; SILVER</t>
  </si>
  <si>
    <t>CYLINDRICAL HINGES</t>
  </si>
  <si>
    <t>HYDRAULIC CLIP-ON CONCEALED HINGES</t>
  </si>
  <si>
    <t>ORD. CONCEALED HINGES</t>
  </si>
  <si>
    <t>HYDRAULIC PRESSURE CONCEALED HINGES - MATTE BLACK</t>
  </si>
  <si>
    <t>HYDRAULIC CONCEALED HINGES</t>
  </si>
  <si>
    <t>588 LOCK SET</t>
  </si>
  <si>
    <t>POLOLOCK H2D2 HANDLESET LOCK</t>
  </si>
  <si>
    <t>POLOLOCK H2D1 HANDLESET LOCK</t>
  </si>
  <si>
    <t>H1D2 HANDLESET LOCK</t>
  </si>
  <si>
    <t>H1D1 HANDLESET LOCK</t>
  </si>
  <si>
    <t>COMBO LOCKSET</t>
  </si>
  <si>
    <t>576 TUBULAR KNOBSET LOCK</t>
  </si>
  <si>
    <t>587 TUBULAR KNOBSET LOCK</t>
  </si>
  <si>
    <t>HEAVY DUTY TUBULAR LEVERSET LOCK</t>
  </si>
  <si>
    <t>TUBULAR LEVERDOOR LOCK</t>
  </si>
  <si>
    <t>SINGLE CYLINDER DEADBOLT D101 &amp; D102</t>
  </si>
  <si>
    <t>RIM DEADLOCK DOUBLE CYLINDER</t>
  </si>
  <si>
    <t>RIM DEADLOCK SINGLE CYLINDER</t>
  </si>
  <si>
    <t>RIM LOCK</t>
  </si>
  <si>
    <t>CYLINDRICAL KNOBSET 588</t>
  </si>
  <si>
    <t>CYLINDRICAL KNOBSET 587</t>
  </si>
  <si>
    <t>TOX W/ SCREW</t>
  </si>
  <si>
    <t>TOX WALL PLUG W/ STOPPER</t>
  </si>
  <si>
    <t>PIPE CLAMP</t>
  </si>
  <si>
    <t>INSULATED STAPLE</t>
  </si>
  <si>
    <t>HOLE CLAMP</t>
  </si>
  <si>
    <t>ACRYLIC SEALANT</t>
  </si>
  <si>
    <t>SILICON SEALANT</t>
  </si>
  <si>
    <t>GYPSUM TAPE - MESH TAPE</t>
  </si>
  <si>
    <t>FIBER GLASS MESH CLOTH</t>
  </si>
  <si>
    <t>SACKOLINE - BLACK</t>
  </si>
  <si>
    <t>SACKOLINE - ORANGE BLUE</t>
  </si>
  <si>
    <t>BLIND RIVETS POLONET</t>
  </si>
  <si>
    <t>BLIND RIVETS POLOLOCK</t>
  </si>
  <si>
    <t>J-BOLT W/ RUBBER WASHER</t>
  </si>
  <si>
    <t>HEX NUT</t>
  </si>
  <si>
    <t>HANG THE KEEL</t>
  </si>
  <si>
    <t>WALL CLIP</t>
  </si>
  <si>
    <t>SCAFFOLDING CLAMP</t>
  </si>
  <si>
    <t>THREADED ROD</t>
  </si>
  <si>
    <t>TILE DECORATIVE</t>
  </si>
  <si>
    <t>ANNEALED WIRE</t>
  </si>
  <si>
    <t>SERVICE DROP WIRE</t>
  </si>
  <si>
    <t>THYLENE SCREEN</t>
  </si>
  <si>
    <t>HOT DIPPED HARDWARE CLOTH</t>
  </si>
  <si>
    <t>HOT DIPPED WELDED WIRE</t>
  </si>
  <si>
    <t>ALUMINUM SCREEN</t>
  </si>
  <si>
    <t>EXPANDED WIRE</t>
  </si>
  <si>
    <t>COMBAT WIRE</t>
  </si>
  <si>
    <t>HOT DIPPED CYCLONE WIRE</t>
  </si>
  <si>
    <t>CYCLONE WIRE ORD.</t>
  </si>
  <si>
    <t>BARBED WIRE</t>
  </si>
  <si>
    <t>COATED WELDED WIRE</t>
  </si>
  <si>
    <t>GALVANIZED WELDED WIRE ORD.</t>
  </si>
  <si>
    <t>GALVANIZED WELDED WIRE</t>
  </si>
  <si>
    <t>PVC CLAMP</t>
  </si>
  <si>
    <t>CONCRETE SLIM NAIL</t>
  </si>
  <si>
    <t>CONCRETE NAIL</t>
  </si>
  <si>
    <t>PAN HEAD SCREW</t>
  </si>
  <si>
    <t>HARDIFLEX SCREW W/ 8 NIBS</t>
  </si>
  <si>
    <t>LAGSCREW</t>
  </si>
  <si>
    <t>LAG SCREW</t>
  </si>
  <si>
    <t>POLOLOCK TEK SCREW WOOD</t>
  </si>
  <si>
    <t>POLOLOCK TEKSCREW - METAL</t>
  </si>
  <si>
    <t>POLONET TEK SCREW -WOOD</t>
  </si>
  <si>
    <t>POLONET TEK SCREW - METAL</t>
  </si>
  <si>
    <t>GYPSUM SCREW - WOOD</t>
  </si>
  <si>
    <t>GYPSUM SCREW - METAL</t>
  </si>
  <si>
    <t>EXPANSION SHIELD</t>
  </si>
  <si>
    <t>ROOFING NAIL PLAIN</t>
  </si>
  <si>
    <t>POWER SMOOTH NAIL</t>
  </si>
  <si>
    <t>HARDIFLEX NAIL</t>
  </si>
  <si>
    <t>GRIP ANCHOR</t>
  </si>
  <si>
    <t>DYNA BOLT</t>
  </si>
  <si>
    <t>SHIP CHAIN</t>
  </si>
  <si>
    <t>TUBE CUTTER</t>
  </si>
  <si>
    <t>PPR HEATER / FUSHION WELD</t>
  </si>
  <si>
    <t>AMETEK PRESSURE GAUGE</t>
  </si>
  <si>
    <t>ALUMINUM DUCT TAPE</t>
  </si>
  <si>
    <t>CLOTH DUCT TAPE</t>
  </si>
  <si>
    <t>MASKING TAPE</t>
  </si>
  <si>
    <t>POLONET STAPLES</t>
  </si>
  <si>
    <t>STAPLE GUN</t>
  </si>
  <si>
    <t>CHALK STONE</t>
  </si>
  <si>
    <t>FLAP DISC - STAINLESS</t>
  </si>
  <si>
    <t>FLAP DISC - METAL</t>
  </si>
  <si>
    <t>CIRCULAR SAW BLADE</t>
  </si>
  <si>
    <t>CUTTING WHEEL</t>
  </si>
  <si>
    <t>CIRCULAR WIRE BRUSH</t>
  </si>
  <si>
    <t>CUP BRUSH - TWISTED</t>
  </si>
  <si>
    <t>CUP BRUSH -PLAIN</t>
  </si>
  <si>
    <t>SANDING ROLL -METAL</t>
  </si>
  <si>
    <t>SANDING ROLL - FLOOR</t>
  </si>
  <si>
    <t>SAND PAPER</t>
  </si>
  <si>
    <t>WELDING LENS</t>
  </si>
  <si>
    <t>WELDING MASK</t>
  </si>
  <si>
    <t>WELDING ELECTRODES</t>
  </si>
  <si>
    <t>WELDING CABLE</t>
  </si>
  <si>
    <t>WELDING ELECTRODE HOLDER</t>
  </si>
  <si>
    <t>HAND RIVETER</t>
  </si>
  <si>
    <t>NYLON FISHING LINE</t>
  </si>
  <si>
    <t>NYLON ROPE -BLUE</t>
  </si>
  <si>
    <t>NYLON ROPE -ORANGE</t>
  </si>
  <si>
    <t>SAFETY HELMET</t>
  </si>
  <si>
    <t>POLONET SAFETY SHOES</t>
  </si>
  <si>
    <t>SAFETY RAIN SHOES</t>
  </si>
  <si>
    <t>GLOVES</t>
  </si>
  <si>
    <t>GALVANIZED  CABLE CLIP</t>
  </si>
  <si>
    <t>GALVANIZED SHACKLE U-TYPE</t>
  </si>
  <si>
    <t>TACKLE PULLEY -DOUBLE</t>
  </si>
  <si>
    <t>TACKLE PULLEY -SINGLE</t>
  </si>
  <si>
    <t>RUBBER WHEEL W/RIM &amp; BEARING HD</t>
  </si>
  <si>
    <t>TURN BUCKLE</t>
  </si>
  <si>
    <t>PILLOW BLOCK</t>
  </si>
  <si>
    <t>WHEEL BARROW</t>
  </si>
  <si>
    <t>CAULKING GUN</t>
  </si>
  <si>
    <t>HOLE SAW</t>
  </si>
  <si>
    <t>BORING BIT</t>
  </si>
  <si>
    <t>LOCK INSTALLATION KIT</t>
  </si>
  <si>
    <t>HACKSAW FRAME  W/ BLADE</t>
  </si>
  <si>
    <t>HACKSAW  W/ PVC HANDLE</t>
  </si>
  <si>
    <t>HACKSAW FRAME</t>
  </si>
  <si>
    <t>HACKSAW BLADE</t>
  </si>
  <si>
    <t>MAGNETIC TEKSCREW ADAPTOR</t>
  </si>
  <si>
    <t>SCREW DRIVER BIT</t>
  </si>
  <si>
    <t>MASONRY DRILL BIT</t>
  </si>
  <si>
    <t>M2 HSS DRILL BIT</t>
  </si>
  <si>
    <t>PAINT ROLLER</t>
  </si>
  <si>
    <t>PAINT BRUSH</t>
  </si>
  <si>
    <t>TIN SNIP</t>
  </si>
  <si>
    <t>AVIATION SNIP</t>
  </si>
  <si>
    <t>ALLEN KEY WRENCH SET</t>
  </si>
  <si>
    <t>PIPE WRENCH HD</t>
  </si>
  <si>
    <t>PLIERS</t>
  </si>
  <si>
    <t>VISE GRIP</t>
  </si>
  <si>
    <t>PUTTY KNIFE</t>
  </si>
  <si>
    <t>CEMENT TROWEL W/WOOD HANDLE - POLONET / TRICYCLE</t>
  </si>
  <si>
    <t>CEMENT TROWEL W/PLASTIC HANDLE - POLONET / TRICYCLE</t>
  </si>
  <si>
    <t>PLASTERING TROWEL</t>
  </si>
  <si>
    <t>GARDEN RAKE WOODEN HANDLE W/SCREW</t>
  </si>
  <si>
    <t>GARDEN RAKE</t>
  </si>
  <si>
    <t>STEEL BRUSH</t>
  </si>
  <si>
    <t>HOE</t>
  </si>
  <si>
    <t>PICK MATTOCK (PIKO)</t>
  </si>
  <si>
    <t>HOLE DIGGER</t>
  </si>
  <si>
    <t>SHOVEL</t>
  </si>
  <si>
    <t>DIGGING BAR</t>
  </si>
  <si>
    <t>CLAW BAR</t>
  </si>
  <si>
    <t>HAMMER</t>
  </si>
  <si>
    <t>SCRAPPER W/ HANDLE</t>
  </si>
  <si>
    <t>TRI SQUARE</t>
  </si>
  <si>
    <t>ALUMINUM LEVER BAR</t>
  </si>
  <si>
    <t>POLONET MINI LEVEL</t>
  </si>
  <si>
    <t>XC-97</t>
  </si>
  <si>
    <t>G-79</t>
  </si>
  <si>
    <t>G-74</t>
  </si>
  <si>
    <t>XC-33</t>
  </si>
  <si>
    <t>FRANCE COUPLING HOT DIPPED</t>
  </si>
  <si>
    <t>G.I UNION PATENTE</t>
  </si>
  <si>
    <t>G.I TEE REDUCER</t>
  </si>
  <si>
    <t>G.I TEE</t>
  </si>
  <si>
    <t>G.I ST.ELBOW</t>
  </si>
  <si>
    <t>G.I PLUG</t>
  </si>
  <si>
    <t>G.I ELBOW REDUCER</t>
  </si>
  <si>
    <t>G.I ELBOW</t>
  </si>
  <si>
    <t>G.I COUPLING REDUCER</t>
  </si>
  <si>
    <t>G.I COUPLING</t>
  </si>
  <si>
    <t>G.I CAP</t>
  </si>
  <si>
    <t>G.I BUSHING</t>
  </si>
  <si>
    <t>G.I NIPPLE - LIGHT WEIGHT</t>
  </si>
  <si>
    <t>G.I NIPPLE - LIGHT  DUTY</t>
  </si>
  <si>
    <t>G.I NIPPLE</t>
  </si>
  <si>
    <t>G.I HOSE CLAMP</t>
  </si>
  <si>
    <t>P.E COMPRESSION SADDLE CLAMP</t>
  </si>
  <si>
    <t>PE COMPRESSION MALE TEE W/O STAINLESS</t>
  </si>
  <si>
    <t>PE COMPRESSION FEMALE TEE W/ STAINLESS</t>
  </si>
  <si>
    <t>P.E COMPRESSION FEMALE ADAPTOR W/ STAINLESS</t>
  </si>
  <si>
    <t>P.E COMPRESSION MALE ELBOW</t>
  </si>
  <si>
    <t>P.E COMPRESSION FEMALE ELBOW W/ STAINLESS</t>
  </si>
  <si>
    <t>P.E COMPRESSION MALE ADAPTOR W/O STAINLESS</t>
  </si>
  <si>
    <t>P.E COMPRESSION PLUG</t>
  </si>
  <si>
    <t>P.E COMPRESSION TEE REDUCER</t>
  </si>
  <si>
    <t>P.E COMPRESSION COUPLING REDUCER</t>
  </si>
  <si>
    <t>P.E COMPRESSION TEE</t>
  </si>
  <si>
    <t>P.E COMPRESSION ELBOW</t>
  </si>
  <si>
    <t>P.E COMPRESSION COUPLING</t>
  </si>
  <si>
    <t>P.E COMPRESSION  FEMALE TEE</t>
  </si>
  <si>
    <t>P.E COMPRESSION  TEE REDUCER</t>
  </si>
  <si>
    <t>P.E COMPRESSION  TEE</t>
  </si>
  <si>
    <t>P.E COMPRESSION FEMALE ADAPTOR</t>
  </si>
  <si>
    <t>P.E COMPRESSION MALE ADAPTOR</t>
  </si>
  <si>
    <t>P.E COMPRESSION END CAP</t>
  </si>
  <si>
    <t>P.E COMPRESSION FEMALE ELBOW</t>
  </si>
  <si>
    <t>PE COMPRESSION FITTINGS -BLUE P.E COMPRESSION  COUPLING - (SOCKET)</t>
  </si>
  <si>
    <t>PE COMPRESSION FITTINGS -BLUE P.E COMPRESSION  COUPLING REDUCER</t>
  </si>
  <si>
    <t>PE COMPRESSION FITTINGS -BLUE P.E COMPRESSION ELBOW</t>
  </si>
  <si>
    <t>PE COMPRESSION FITTINGS -BLUE P.E COMPRESSION MALE ELBOW</t>
  </si>
  <si>
    <t>PVC BALL VALVE THREADED</t>
  </si>
  <si>
    <t>PVC BALL VALVE</t>
  </si>
  <si>
    <t>PPR FITTINGS PPR  PLASTIC UNION PATENTE</t>
  </si>
  <si>
    <t>PPR FITTINGS PPR PLASTIC BALL VALVE</t>
  </si>
  <si>
    <t>PPR FITTINGS PPR  BRASS BALL VALVE</t>
  </si>
  <si>
    <t>PPR FITTINGS PPR TEE SOCKET</t>
  </si>
  <si>
    <t>PPR FITTINGS PPR TEE REDUCER</t>
  </si>
  <si>
    <t>PPR FITTINGS PPR FEMALE THREAD UNION</t>
  </si>
  <si>
    <t>PPR FITTINGS PPR MALE THREAD UNION</t>
  </si>
  <si>
    <t>PPR FITTINGS PPR STOP VALVE</t>
  </si>
  <si>
    <t>PPR FITTINGS PPR FEMALE THREAD TEE</t>
  </si>
  <si>
    <t>PPR FITTINGS PPR MALE THREAD TEE</t>
  </si>
  <si>
    <t>PPR FITTINGS PPR MALE THREAD ELBOW</t>
  </si>
  <si>
    <t>PPR FITTINGS PPR ELBOW</t>
  </si>
  <si>
    <t>PPR FITTINGS PPR ELBOW REDUCER</t>
  </si>
  <si>
    <t>PPR FITTINGS PPR PIPE CLIP</t>
  </si>
  <si>
    <t>PPR FITTINGS PPR COUPLING REDUCER (SOCKET)</t>
  </si>
  <si>
    <t>PPR FITTINGS PPR END CAP</t>
  </si>
  <si>
    <t>PPR FITTINGS PPR PIPE PLUG</t>
  </si>
  <si>
    <t>PPR FITTINGS PPR  FEMALE THREAD ELBOW</t>
  </si>
  <si>
    <t>PPR FITTINGS PPR FEMALE THREAD SOCKET</t>
  </si>
  <si>
    <t>PPR FITTINGS PPR MALE THREAD SOCKET</t>
  </si>
  <si>
    <t>PPR FITTINGS PPR COUPLING -  (SOCKET)</t>
  </si>
  <si>
    <t>PPR PIPE</t>
  </si>
  <si>
    <t>PPR PIPE ROLL</t>
  </si>
  <si>
    <t>PVC FITTINGS PVC  PLUG</t>
  </si>
  <si>
    <t>PVC FITTINGS PVC END CAP</t>
  </si>
  <si>
    <t>PVC FITTINGS PVC UNION PATENTE</t>
  </si>
  <si>
    <t>PVC FITTINGS PVC MALE ADAPTOR -SOCKET</t>
  </si>
  <si>
    <t>PVC FITTINGS PVC FEMALE THREAD ELBOW</t>
  </si>
  <si>
    <t>PVC FITTINGS PVC FEMALE THREAD TEE</t>
  </si>
  <si>
    <t>PVC FITTINGS PVC COUPLING -SOCKET</t>
  </si>
  <si>
    <t>PVC FITTINGS PVC COUPLING REDUCER -SOCKET</t>
  </si>
  <si>
    <t>PVC FITTINGS PVC FEMALE ADAPTOR -SOCKET</t>
  </si>
  <si>
    <t>PVC FITTINGS PVC ELBOW</t>
  </si>
  <si>
    <t>PVC FITTINGS PVC ELBOW REDUCER</t>
  </si>
  <si>
    <t>PVC FITTINGS PVC TEE</t>
  </si>
  <si>
    <t>PVC FITTINGS PVC TEE REDUCER</t>
  </si>
  <si>
    <t>BRASS SWING CHECK VALVE</t>
  </si>
  <si>
    <t>BRASS FOOT VALVE</t>
  </si>
  <si>
    <t>BRASS VERTICAL CHECK VALVE</t>
  </si>
  <si>
    <t>BRASS GATE VALVE</t>
  </si>
  <si>
    <t>BRASS CORE VALVE</t>
  </si>
  <si>
    <t>STAINLESS SINK FAUCET MATTE BLACK</t>
  </si>
  <si>
    <t>304 SINK FAUCET</t>
  </si>
  <si>
    <t>STAINLESS ANGLE VALVE MATTE BLACK</t>
  </si>
  <si>
    <t>POLOLOCK 304 STAINLESS ANGLE VALVE</t>
  </si>
  <si>
    <t>ANGLE VALVE</t>
  </si>
  <si>
    <t>304 STAINLESS TWO WAY FAUCET - MATTE BLACK</t>
  </si>
  <si>
    <t>304 STAINLESS TWO WAY FAUCET</t>
  </si>
  <si>
    <t>TWO WAY FAUCET</t>
  </si>
  <si>
    <t>FAST OPEN FAUCET - HOSE</t>
  </si>
  <si>
    <t>FAST OPEN FAUCET - PLAIN</t>
  </si>
  <si>
    <t>FAUCET WALL TYPE</t>
  </si>
  <si>
    <t>STAINLESS LAVATORY FAUCET MATTE BLACK</t>
  </si>
  <si>
    <t>POLOLOCK 304 STAINLESS LAVATORY FAUCET</t>
  </si>
  <si>
    <t>LAVATORY FAUCET</t>
  </si>
  <si>
    <t>304 STAINLESS GOOSENECK FAUCET SINK TYPE MATTE BLACK</t>
  </si>
  <si>
    <t>304 STAINLESS GOOSENECK FAUCET SINK TYPE</t>
  </si>
  <si>
    <t>GOOSENECK FAUCET</t>
  </si>
  <si>
    <t>BIDET SET</t>
  </si>
  <si>
    <t>HAND SHOWER SET</t>
  </si>
  <si>
    <t>304 STAINLESS MULTIFUNCTIONAL SHOWER FAUCET SUIT</t>
  </si>
  <si>
    <t>MULTIFUNCTION FAUCET SHOWER SET</t>
  </si>
  <si>
    <t>STAINLESS FLEXIBLE HOSE FOR SHOWER</t>
  </si>
  <si>
    <t>304 STAINLESS FLEXIBLE HOSE W/HANDLE</t>
  </si>
  <si>
    <t>DOWNPIPE SET</t>
  </si>
  <si>
    <t>PIG DRINKER</t>
  </si>
  <si>
    <t>BRASS FAUCET</t>
  </si>
  <si>
    <t>BLUE PLASTIC WATER FAUCET</t>
  </si>
  <si>
    <t>PREMIUM PTFE SEAL TAPE</t>
  </si>
  <si>
    <t>TEFLON TAPE</t>
  </si>
  <si>
    <t>CHROME PIPE</t>
  </si>
  <si>
    <t>F BRASS CONNECTOR</t>
  </si>
  <si>
    <t>PRESSURE SWITCH</t>
  </si>
  <si>
    <t>WATER METER</t>
  </si>
  <si>
    <t>PITCHER PUMP</t>
  </si>
  <si>
    <t>JETMATIC PUMP</t>
  </si>
  <si>
    <t>POWER SPRAYER HOSE BLACK</t>
  </si>
  <si>
    <t>POWER SPRAYER HOSE ORANGE</t>
  </si>
  <si>
    <t>POWER SPRAYER SET</t>
  </si>
  <si>
    <t>CAPACITOR START - ASYNCHRONOUS MOTOR</t>
  </si>
  <si>
    <t>HOT MACHINER</t>
  </si>
  <si>
    <t>WATER PUMP</t>
  </si>
  <si>
    <t>HOSE COUPLING</t>
  </si>
  <si>
    <t>CHEMICAL HOSE</t>
  </si>
  <si>
    <t>CLEAR HOSE</t>
  </si>
  <si>
    <t>EXTRA THICK PLASTIC HOSE</t>
  </si>
  <si>
    <t>GARDEN HOSE</t>
  </si>
  <si>
    <t>KITCHEN SINK</t>
  </si>
  <si>
    <t>HI-GRADE STAINLESS FLOOR STRAINER</t>
  </si>
  <si>
    <t>pc</t>
  </si>
  <si>
    <t>set</t>
  </si>
  <si>
    <t>roll</t>
  </si>
  <si>
    <t>pcs/ctn</t>
  </si>
  <si>
    <t>pcs/bag</t>
  </si>
  <si>
    <t>boxes/ctn</t>
  </si>
  <si>
    <t>pcs/sack</t>
  </si>
  <si>
    <t>doz</t>
  </si>
  <si>
    <t>pair</t>
  </si>
  <si>
    <t>pack</t>
  </si>
  <si>
    <t>ctn</t>
  </si>
  <si>
    <t>box</t>
  </si>
  <si>
    <t>bag</t>
  </si>
  <si>
    <t>card</t>
  </si>
  <si>
    <t>grs</t>
  </si>
  <si>
    <t>supplier_code</t>
  </si>
  <si>
    <t>mobile</t>
  </si>
  <si>
    <t>address</t>
  </si>
  <si>
    <t>details</t>
  </si>
  <si>
    <t>tax</t>
  </si>
  <si>
    <t>email</t>
  </si>
  <si>
    <t>previous_balance</t>
  </si>
  <si>
    <t>1ST-194</t>
  </si>
  <si>
    <t>1ST TOOLS TRADING INC.</t>
  </si>
  <si>
    <t>AIM-229</t>
  </si>
  <si>
    <t>AIMATCO BUILDERS SUPPLY INC.</t>
  </si>
  <si>
    <t>8364-41-37</t>
  </si>
  <si>
    <t>58 E. FERNANDEZ ST. BATIS 1500 CITY OF SAN JUAN NCR</t>
  </si>
  <si>
    <t>8364-41-37 / 8361-41-57 / 8364-22-70 / 8364-43-54 / 8364-41-59</t>
  </si>
  <si>
    <t>606-012-675-00002</t>
  </si>
  <si>
    <t>ALA-683</t>
  </si>
  <si>
    <t>ALASCO VINYL CORPORATION</t>
  </si>
  <si>
    <t>0917-803-3905</t>
  </si>
  <si>
    <t>665 7TH AVENUE BRGY. 121 GRACE PARK ZONE 11 1400 CALOOCAN CITY</t>
  </si>
  <si>
    <t>(632) 8292.222 / (632) 8291.1415 / 0917-803-3905 / 0922-842-6371 / 0999-888-6371</t>
  </si>
  <si>
    <t>000-302-886-00000</t>
  </si>
  <si>
    <t>AMA-932</t>
  </si>
  <si>
    <t>AMAZON MANUFACTURING CORPORATION</t>
  </si>
  <si>
    <t>8983-7519</t>
  </si>
  <si>
    <t>109 PASOLO ROAD, PASOLO, VALENZUELA CITY</t>
  </si>
  <si>
    <t>8983-7519 /3440-6042 / 3456-8150 / 0922-880-9595 / 0917-626-3288</t>
  </si>
  <si>
    <t>000-240-178-00000</t>
  </si>
  <si>
    <t>DRE-779</t>
  </si>
  <si>
    <t>DREAM DOOR PHILS. ENTERPRISES</t>
  </si>
  <si>
    <t>8716-2112</t>
  </si>
  <si>
    <t>4 TRINIDAD ST. DIST. 1 1447, VALENZUELA CITY</t>
  </si>
  <si>
    <t>8716-2112 / 0932-716-5396</t>
  </si>
  <si>
    <t>103-961-945-00004</t>
  </si>
  <si>
    <t>ERE-562</t>
  </si>
  <si>
    <t>EREANTIC CORPORATION</t>
  </si>
  <si>
    <t>978 ALIW-IW ST. MORNINGSIDE TERRACE SUBD. STA. MESA, MANILA</t>
  </si>
  <si>
    <t>JER-890</t>
  </si>
  <si>
    <t>JERICSON MARKETING</t>
  </si>
  <si>
    <t>0917-878-7987</t>
  </si>
  <si>
    <t>BANCAL, FVIC, MEYCAUAYAN CITY</t>
  </si>
  <si>
    <t>LIT-749</t>
  </si>
  <si>
    <t>LITELUX MARKETING</t>
  </si>
  <si>
    <t>0966-629-1657</t>
  </si>
  <si>
    <t>PNM-208</t>
  </si>
  <si>
    <t>PNM MARKETING COMPANY</t>
  </si>
  <si>
    <t>11 ATIMOYA ST., POTRERO MALABON</t>
  </si>
  <si>
    <t>(632) 6461182</t>
  </si>
  <si>
    <t>POL-650</t>
  </si>
  <si>
    <t>POLYLINE INDUSTRIES CORPORATED</t>
  </si>
  <si>
    <t>107 F. MARIANO AVE. BRGY. DE LA PAZ, PASIG CITY</t>
  </si>
  <si>
    <t>000-285-920-000</t>
  </si>
  <si>
    <t>QP-865</t>
  </si>
  <si>
    <t>QP INDUSTRIAL CORPORATTION</t>
  </si>
  <si>
    <t>93 PARADA ROAD, MAYSAN, VALENZUELA CITY</t>
  </si>
  <si>
    <t>003-509-622-000</t>
  </si>
  <si>
    <t>SAN-919</t>
  </si>
  <si>
    <t>SANTECH INDUSTRIAL CORPORATION</t>
  </si>
  <si>
    <t>8293-3238</t>
  </si>
  <si>
    <t>8293-9523 / 8292-8373 / 8293-3238 / 8291-3731 / 8292-7652</t>
  </si>
  <si>
    <t>STE-984</t>
  </si>
  <si>
    <t>STEELWORLD MANUFACTURING CORPORATION</t>
  </si>
  <si>
    <t>16 INDUSTRIAL ROAD BRGY. KARUHATAN DIST. 2, 1441 VALENZUELA CITY NCR</t>
  </si>
  <si>
    <t>000-297-245-00000</t>
  </si>
  <si>
    <t>STR-308</t>
  </si>
  <si>
    <t>STRAIGHTDEAL MARKETING INC.</t>
  </si>
  <si>
    <t>NO. 35 SAPOCOY STREET MANRESA 1115 QUEZON CITY</t>
  </si>
  <si>
    <t>609-297-357-00000</t>
  </si>
  <si>
    <t>TIG-351</t>
  </si>
  <si>
    <t>TIGER INDUSTRIES</t>
  </si>
  <si>
    <t>0961-500-6091</t>
  </si>
  <si>
    <t>CALOOCAN CITY</t>
  </si>
  <si>
    <t>0961-500-6091 / 0995-772-2378</t>
  </si>
  <si>
    <t>VOR-931</t>
  </si>
  <si>
    <t>VORSC WIRES AND CABLES CORPORATION</t>
  </si>
  <si>
    <t>WIN-505</t>
  </si>
  <si>
    <t>WINWAY/HAPPY DAY TRADING</t>
  </si>
  <si>
    <t>02-82776885</t>
  </si>
  <si>
    <t>02-82774174 / 02-82776885</t>
  </si>
  <si>
    <t>ZYT-591</t>
  </si>
  <si>
    <t>ZYTEC TRADING</t>
  </si>
  <si>
    <t>NO. 23 5TH STREET, 6TH AVENUE, CALOOCAN CITY</t>
  </si>
  <si>
    <t>COC-556</t>
  </si>
  <si>
    <t>COCO COUNTRY ENTERPRISE</t>
  </si>
  <si>
    <t>8-363-7865</t>
  </si>
  <si>
    <t>PUROK 4, DULONG BARRIO, B O S INDUSTRIAL COMP., MATUNGAO, BULACAN, BULACAN</t>
  </si>
  <si>
    <t>217-137-592-00000</t>
  </si>
  <si>
    <t>IND-852</t>
  </si>
  <si>
    <t>INDUSTRIAL WELDING CORPORATION</t>
  </si>
  <si>
    <t>8789-1000</t>
  </si>
  <si>
    <t>17 MC ARTHUR HI-WAY BRGY. POTRERO, DISTRICT II, MALABON CITY</t>
  </si>
  <si>
    <t>000-236-850-001</t>
  </si>
  <si>
    <t>FIR-451</t>
  </si>
  <si>
    <t>FIREFLY ELECTRIC &amp; LIGHTING CORPORATION</t>
  </si>
  <si>
    <t>55 T. SANTIAGO COR. P. GREGORIO ST. LINGUNAN 1446 VALENZUELA CITY</t>
  </si>
  <si>
    <t>210-714-705-00000</t>
  </si>
  <si>
    <t>DEV-105</t>
  </si>
  <si>
    <t>DEVELOPMENT TRADING WHOLESALER &amp; DISTRIBUTOR OF ELECTRICAL SUPPLY</t>
  </si>
  <si>
    <t>02-898-41380</t>
  </si>
  <si>
    <t>LAWA, MALHACAN, MEYCAUAYAN, BULACAN</t>
  </si>
  <si>
    <t>02-899-84992 / 02-898-41380</t>
  </si>
  <si>
    <t>108-996-008-000</t>
  </si>
  <si>
    <t>MAR-525</t>
  </si>
  <si>
    <t>MARCH RESOURCES MANUFACTURING CORPORATION</t>
  </si>
  <si>
    <t>8241-8428</t>
  </si>
  <si>
    <t>#90 RUBBER MASTER ROAD, LINGUNAN, VALENZUELA CITY</t>
  </si>
  <si>
    <t>8241-8428 / 8243-1415 / 8242-4351 / 8242-5443</t>
  </si>
  <si>
    <t>002-033-338-00000</t>
  </si>
  <si>
    <t>MAR-452</t>
  </si>
  <si>
    <t>MARSWIN MARKETING INC.</t>
  </si>
  <si>
    <t>355 7777</t>
  </si>
  <si>
    <t>408 SAN NICOLAS ST., BINONDO, MANILA</t>
  </si>
  <si>
    <t>(63-2) 355 7777</t>
  </si>
  <si>
    <t>TOM-310</t>
  </si>
  <si>
    <t>TOMITA INDUSTRIAL &amp; MACHINERY, INC.</t>
  </si>
  <si>
    <t>8288-38-98</t>
  </si>
  <si>
    <t>5TH FLOOR TOYOMA GROUP CENTER, #22 TIMOG AVE. LAGING HANDA, QUEZON CITY</t>
  </si>
  <si>
    <t>8288-38-98 / 8288-97-90 / 8287-45-27 / 0932-857-9888 / 0927-529-8842</t>
  </si>
  <si>
    <t>209-659-388-0000</t>
  </si>
  <si>
    <t>SUN-136</t>
  </si>
  <si>
    <t>SUNVIEW ENTERPRISES</t>
  </si>
  <si>
    <t>supplier_id</t>
  </si>
  <si>
    <t>item_code</t>
  </si>
  <si>
    <t>category_id</t>
  </si>
  <si>
    <t>item_description</t>
  </si>
  <si>
    <t>item_price</t>
  </si>
  <si>
    <t>unit_id</t>
  </si>
  <si>
    <t>volume_less</t>
  </si>
  <si>
    <t>regular_less</t>
  </si>
  <si>
    <t>1ST-358-001</t>
  </si>
  <si>
    <t>PL22050-1 STAINLESS BASKET STRAINER 2-1/2 DUPLEX STRAINER</t>
  </si>
  <si>
    <t>PL22050-2 (LTSN011) STAINLESS BASKET STRAINER 4- 1/2</t>
  </si>
  <si>
    <t>Net</t>
  </si>
  <si>
    <t>ASSTD ORDER 10 CTN + 1 CTN FREE</t>
  </si>
  <si>
    <t>90/PC</t>
  </si>
  <si>
    <t>13/PC ASSTD ORDER 10CTN</t>
  </si>
  <si>
    <t>27/PC ASSTD ORDER 10/CTN</t>
  </si>
  <si>
    <t>152/PC ASSTD ORDER  5CTN</t>
  </si>
  <si>
    <t>75/PC ASSTD ORDER  5CTN</t>
  </si>
  <si>
    <t>PL22041-00 21"*17"*6.5 PLAIN STAINLESS KITCHEN SINK</t>
  </si>
  <si>
    <t>168/PC</t>
  </si>
  <si>
    <t>PL22041-10  48"*20"*7.5"-DOUBLE BOWL RIGHT DRAIN STAINLESS KITCHEN SINK</t>
  </si>
  <si>
    <t>PL22041-11 48"*20"*7.5"-DOUBLE BOWL LEFT DRAIN STAINLESS KITCHEN SINK</t>
  </si>
  <si>
    <t>PL22042-01 22"*18"*8.5" SINGLE STAINLESS STEEL HAND SINK SATIN</t>
  </si>
  <si>
    <t>PL22090-1 (LT22014-G1) GARDEN HOSE GREEN 1/2"*90M</t>
  </si>
  <si>
    <t>ASSTD ORDER</t>
  </si>
  <si>
    <t>50 ROLLS, 1 ROLL FREE</t>
  </si>
  <si>
    <t>PL22091-1 (LT22015-1) EXTRA THICK HOSE 1/4"*150M</t>
  </si>
  <si>
    <t>1030/ROLL</t>
  </si>
  <si>
    <t>PL22091-3 (LT22015-3) EXTRA THICK HOSE 3/8"*150M</t>
  </si>
  <si>
    <t>PL22091-4 (LT22015-4) EXTRA THICK HOSE 1/2"*150M</t>
  </si>
  <si>
    <t>750/ROLL</t>
  </si>
  <si>
    <t>675/ROLL ASSTD ORDER 20 ROLLS</t>
  </si>
  <si>
    <t>800/ROLL ASSTD ORDER 20 ROLLS</t>
  </si>
  <si>
    <t>1080/ROLL ASSTD ORDER 20 ROLLS</t>
  </si>
  <si>
    <t>1480/ROLL ASSTD ORDER 20 ROLLS</t>
  </si>
  <si>
    <t>PL22091-2 (LT22015-2) EXTRA THICK HOSE 5/16"*150M</t>
  </si>
  <si>
    <t>ASSTD ORDER 30 ROLLS, 1 ROLL 3/8" FREE</t>
  </si>
  <si>
    <t>PLWM001 PPR HOT MACHINER FAN A. 20-32 LIGHT - WELDING MACHINE</t>
  </si>
  <si>
    <t>300/BOX</t>
  </si>
  <si>
    <t>270/BOX ORDER 10 CTN</t>
  </si>
  <si>
    <t>K31DJ1.5 BGPHASE CAPACITOR START - ASYNCHRONOUS MOTOR YC90L-4</t>
  </si>
  <si>
    <t>2050/SET ORDER 50 SETS</t>
  </si>
  <si>
    <t>PL22140 (PLMA001) POLOLOCK JETMATIC PUMP</t>
  </si>
  <si>
    <t>PL22141 POLOLOCK PITCHER PUMP</t>
  </si>
  <si>
    <t>172/PC ORDER 10CTN</t>
  </si>
  <si>
    <t>1000/PC ORDER 50 PCS</t>
  </si>
  <si>
    <t>PL22160 POLONET PRESSURE SWITCH</t>
  </si>
  <si>
    <t>ORDER 10 CTNS + 1 CTN FREE</t>
  </si>
  <si>
    <t>PL22161 F BRASS CONNECT 1/4''</t>
  </si>
  <si>
    <t>113/PC ORDER 3CTN</t>
  </si>
  <si>
    <t>5% ASSTD ORDER 100 BDL</t>
  </si>
  <si>
    <t>350/SET ASSTD ORDER 5 CTNS</t>
  </si>
  <si>
    <t>PL22188-01 304 STAINLESS MULTIFUNCTIONAL SHOWER FAUCET SUIT</t>
  </si>
  <si>
    <t>555/PC ORDER 2 CTN</t>
  </si>
  <si>
    <t>item price</t>
  </si>
  <si>
    <t>unit</t>
  </si>
  <si>
    <t>2150/SET</t>
  </si>
  <si>
    <t>118/PC</t>
  </si>
  <si>
    <t>9.5/PC</t>
  </si>
  <si>
    <t>PL22188-10 304 STAINLESS TWO WAY FAUCET 多功能- TWO WAY</t>
  </si>
  <si>
    <t>280/PC</t>
  </si>
  <si>
    <t>260/PC ASSTD ORDER 3 CTN</t>
  </si>
  <si>
    <t>PL22188-59 STAINLESS TWO WAY FAUCET MATTE BLACK 多功能-TWO WAY</t>
  </si>
  <si>
    <t>290/PC</t>
  </si>
  <si>
    <t>270/PC ASSTD ORDER 2 CTN</t>
  </si>
  <si>
    <t>category</t>
  </si>
  <si>
    <t>52/PC</t>
  </si>
  <si>
    <t>14/PC</t>
  </si>
  <si>
    <t>PL22150-2 4''*4 POLONET STAINLESS STRAINER</t>
  </si>
  <si>
    <t>28/PC</t>
  </si>
  <si>
    <t>PL22151-1 HI-GRADE STAINLESS FLOOR STRAINER 4"*4"</t>
  </si>
  <si>
    <t>82/PC</t>
  </si>
  <si>
    <t>PL22151-2  HI-GRADE STAINLESS FLOOR STRAINER 6"*6"</t>
  </si>
  <si>
    <t>PL22040-00 STAINLESS KITCHEN SINK 15"*20</t>
  </si>
  <si>
    <t>PL22040-01 STAINLESS KITCHEN SINK 16"*24"</t>
  </si>
  <si>
    <t>180/PC</t>
  </si>
  <si>
    <t>275/PC</t>
  </si>
  <si>
    <t>PL22041-01 30"*16"*5"RIGHT DRAIN STAINLESS KITCHEN SINK</t>
  </si>
  <si>
    <t>345/PC</t>
  </si>
  <si>
    <t>PL22041-02 30"*16"*5"-LEFT DRAIN STAINLESS KITCHEN SINK</t>
  </si>
  <si>
    <t>PL22041-03 30"*18"*7" RIGHT DRAIN STAINLESS KITCHEN SINK</t>
  </si>
  <si>
    <t>515/PC</t>
  </si>
  <si>
    <t>PL22041-04 30"*18"*7"-LEFT DRAIN STAINLESS KITCHEN SINK</t>
  </si>
  <si>
    <t>PL22041-05 31"*17"*6.5" DOUBLE BOWL STAINLESS KITCHEN SINK</t>
  </si>
  <si>
    <t>615/PC</t>
  </si>
  <si>
    <t>PL22041-06 40"*20"*6" RIGHT DRAIN STAINLESS KITCHEN SINK</t>
  </si>
  <si>
    <t>555/PC</t>
  </si>
  <si>
    <t>PL22041-07 40"*20"*6"-LEFT DRAIN STAINLESS KITCHEN SINK</t>
  </si>
  <si>
    <t>PL22041-08 POLONET STAINLESS KITCHEN SINK 15"*15"*6</t>
  </si>
  <si>
    <t>205/PC</t>
  </si>
  <si>
    <t>PL22041-09 19"*19"*6.5" STAINLESS KITCHEN SINK</t>
  </si>
  <si>
    <t>1055/PC</t>
  </si>
  <si>
    <t>1250/PC</t>
  </si>
  <si>
    <t>PL22042-02 22"*18"*8.5" SINGLE SINK STAINLESS STEEL HAND SINK BLACK</t>
  </si>
  <si>
    <t>1550/PC</t>
  </si>
  <si>
    <t>PL22042-03 24"*18"*8.5" SINGLE SINK STAINLESS STEEL HAND SINK SATIN</t>
  </si>
  <si>
    <t>1350/PC</t>
  </si>
  <si>
    <t>PL22042-04 24"*18"*8.5"    SINGLE SINK STAINLESS STEEL HAND SINK BLACK</t>
  </si>
  <si>
    <t>1650/PC</t>
  </si>
  <si>
    <t>PL22042-05 26"*18"*8.5" SINGLE SINK STAINLESS STEEL HAND SINK SATIN</t>
  </si>
  <si>
    <t>1385/PC</t>
  </si>
  <si>
    <t>PL22042-06 26"*18"*8.5" SINGLE SINK STAINLESS STEEL HAND SINK BLACK</t>
  </si>
  <si>
    <t>1685/PC</t>
  </si>
  <si>
    <t>PL22042-07 31"*17"*8.5" DOUBLE SINK STAINLESS STEEL HAND SINK SATIN</t>
  </si>
  <si>
    <t>1750/PC</t>
  </si>
  <si>
    <t>PL22042-08 31"*17"*8.5" DOUBLE SINK STAINLESS STEEL HAND SINK BLACK</t>
  </si>
  <si>
    <t>2150/PC</t>
  </si>
  <si>
    <t>PL22042-09 33"*18"*8.5" DOUBLE SINK STAINLESS STEEL HAND SINK SATIN</t>
  </si>
  <si>
    <t>1950/PC</t>
  </si>
  <si>
    <t>PL22042-10 33"*18"*8.5" DOUBLE SINK STAINLESS STEEL HAND SINK BLACK</t>
  </si>
  <si>
    <t>2250/PC</t>
  </si>
  <si>
    <t>PL22043-01 304 STAINLESS STEEL KITCHEN SINK 18”*18”*8”45*45*20CM</t>
  </si>
  <si>
    <t>2600/SET</t>
  </si>
  <si>
    <t>PL22043-02 304 STAINLESS STEEL KITCHEN SINK 30"*18"*8"*76"*45*20CM</t>
  </si>
  <si>
    <t>3500/SET</t>
  </si>
  <si>
    <t>PL22043-1 304 STAINLESS STEEL KITCHEN SINK 32"*18"*8"82"*45*20CM</t>
  </si>
  <si>
    <t>4000/SET</t>
  </si>
  <si>
    <t>800/ROLL</t>
  </si>
  <si>
    <t>930/ROLL</t>
  </si>
  <si>
    <t>1385/ROLL</t>
  </si>
  <si>
    <t>900/ROLL</t>
  </si>
  <si>
    <t>1200/ROLL</t>
  </si>
  <si>
    <t>1650/ROLL</t>
  </si>
  <si>
    <t>PL22092-1 (LT22011-1) CLEAR HOSE 1/8"*300M</t>
  </si>
  <si>
    <t>250/ROLL</t>
  </si>
  <si>
    <t>PL22092-2 (LT22011-2) CLEAR HOSE 3/16"*300M</t>
  </si>
  <si>
    <t>405/ROLL</t>
  </si>
  <si>
    <t>PL22092-3 (LT22011-3) CLEAR HOSE 1/4"*300M</t>
  </si>
  <si>
    <t>485/ROLL</t>
  </si>
  <si>
    <t>PL22092-4 (LT22011-4) CLEAR HOSE 5/16"*300M</t>
  </si>
  <si>
    <t>845/ROLL</t>
  </si>
  <si>
    <t>PL22092-5 (LT22011-5) CLEAR HOSE 3/8"*150M</t>
  </si>
  <si>
    <t>555/ROLL</t>
  </si>
  <si>
    <t>PL22092-6 (LT22011-6) CLEAR HOSE 1/2"*150M</t>
  </si>
  <si>
    <t>825/ROLL</t>
  </si>
  <si>
    <t>PL22092-7 (LT22011-7) CLEAR HOSE 5/8"*150M</t>
  </si>
  <si>
    <t>1350/ROLL</t>
  </si>
  <si>
    <t>PL22093-00 CHEMICAL HOSE 1/4"*90M</t>
  </si>
  <si>
    <t>PL22093-01 CHEMICAL HOSE 5/16"*90M</t>
  </si>
  <si>
    <t>990/ROLL</t>
  </si>
  <si>
    <t>PL22093-02 CHEMICAL HOSE 3/8"*90M</t>
  </si>
  <si>
    <t>1190/ROLL</t>
  </si>
  <si>
    <t>PL22093-03 CHEMICAL HOSE 1/2"*90M</t>
  </si>
  <si>
    <t>1620/ROLL</t>
  </si>
  <si>
    <t>PL22093-04 CHEMICAL HOSE 5/8"*90M</t>
  </si>
  <si>
    <t>1965/ROLL</t>
  </si>
  <si>
    <t>PL22093-05 CHEMICAL HOSE 3/4"*50M</t>
  </si>
  <si>
    <t>2125/ROLL</t>
  </si>
  <si>
    <t>PL22093-06 CHEMICAL HOSE  1"*50M</t>
  </si>
  <si>
    <t>2420/ROLL</t>
  </si>
  <si>
    <t>PL22093-07 CHEMICAL HOSE 1-1/4"*40M</t>
  </si>
  <si>
    <t>2800/ROLL</t>
  </si>
  <si>
    <t>PL22093-08 CHEMICAL HOSE 1-1/2"*40M</t>
  </si>
  <si>
    <t>3700/ROLL</t>
  </si>
  <si>
    <t>PL22093-09 CHEMICAL HOSE 2"*40M</t>
  </si>
  <si>
    <t>6480/ROLL</t>
  </si>
  <si>
    <t>PL22250-1 1/2" HOSE COUPLING</t>
  </si>
  <si>
    <t>18.5/PC</t>
  </si>
  <si>
    <t>PL22250-2 5/8" HOSE COUPLING</t>
  </si>
  <si>
    <t>19.5/PC</t>
  </si>
  <si>
    <t>PL22250-3 3/4" HOSE COUPLING</t>
  </si>
  <si>
    <t>20.5/PC</t>
  </si>
  <si>
    <t>PL22120 (LTMA001-0.5HP) 0.5HP QB60 WATER PUMP</t>
  </si>
  <si>
    <t>1150/PC</t>
  </si>
  <si>
    <t>PL22132 1HP JET100L WATER PUMP</t>
  </si>
  <si>
    <t>2200/PC</t>
  </si>
  <si>
    <t>2900/PC</t>
  </si>
  <si>
    <t>PL22200 POWER SPRAYER</t>
  </si>
  <si>
    <t>PL22200-FRAME POWER SPRAYER FRAME</t>
  </si>
  <si>
    <t>PL22200-SPRAY GUN POWER SPRAYER GUN</t>
  </si>
  <si>
    <t>PL22210-1 POWER SPRAYER HOSE 10m-ORANGE</t>
  </si>
  <si>
    <t>205/ROLL</t>
  </si>
  <si>
    <t>PL22210-2 POWER SPRAYER HOSE 15m-ORANGE</t>
  </si>
  <si>
    <t>285/ROLL</t>
  </si>
  <si>
    <t>PL22210-3 POWER SPRAYER HOSE 20m-ORANGE</t>
  </si>
  <si>
    <t>365/ROLL</t>
  </si>
  <si>
    <t>PL22210-4 POWER SPRAYER HOSE 30m-ORANGE</t>
  </si>
  <si>
    <t>455/ROLL</t>
  </si>
  <si>
    <t>PL22210-5 POWER SPRAYER HOSE 50m-ORANGE</t>
  </si>
  <si>
    <t>720/ROLL</t>
  </si>
  <si>
    <t>PL22210- 6 POWER SPRAYER HOSE 100m-ORANGE</t>
  </si>
  <si>
    <t>1400/ROLL</t>
  </si>
  <si>
    <t>PL22211-1 POWER SPRAYER HOSE 10m-BLACK</t>
  </si>
  <si>
    <t>PL22211-2 POWER SPRAYER HOSE  15m-BLACK</t>
  </si>
  <si>
    <t>PL22211-3 POWER SPRAYER HOSE  20m-BLACK</t>
  </si>
  <si>
    <t>PL22211-4 POWER SPRAYER HOSE 30m-BLACK</t>
  </si>
  <si>
    <t>PL22211-5 POWER SPRAYER HOSE 50m-BLACK</t>
  </si>
  <si>
    <t>PL22211-6 POWER SPRAYER HOSE 100m-BLACK</t>
  </si>
  <si>
    <t>1050/PC</t>
  </si>
  <si>
    <t>PL22100  15MM -1/2" ABS WATER METER</t>
  </si>
  <si>
    <t>PL22101-1/2"BRASS WATER METER</t>
  </si>
  <si>
    <t>299/PC</t>
  </si>
  <si>
    <t>125/PC</t>
  </si>
  <si>
    <t>57/PC</t>
  </si>
  <si>
    <t>85.5/PC</t>
  </si>
  <si>
    <t>123.5/PC</t>
  </si>
  <si>
    <t>2.50/PC</t>
  </si>
  <si>
    <t>3.70/PC</t>
  </si>
  <si>
    <t>4.50/PC</t>
  </si>
  <si>
    <t>5/ROLL</t>
  </si>
  <si>
    <t>7/ROLL</t>
  </si>
  <si>
    <t>9/ROLL</t>
  </si>
  <si>
    <t>PL22020-01 BLUE PLASTIC WATER FAUCET PLAIN</t>
  </si>
  <si>
    <t>PL22020-02 BLUE PLASTIC WATER FAUCET HOSE</t>
  </si>
  <si>
    <t>PL22021-1 BRASS FAUCET PB 1/2"-PLAIN</t>
  </si>
  <si>
    <t>109/PC</t>
  </si>
  <si>
    <t>PL22021-2 BRASS FAUCET HB 1/2"-HOSE</t>
  </si>
  <si>
    <t>PL22030-1 (LTSN004-S) SMALL POLONET STAINLESS STEEL PIG DRINKER</t>
  </si>
  <si>
    <t>38/PC</t>
  </si>
  <si>
    <t>PL22030-2 (LTSN004-B) BIG POLONET STAINLESS STEEL PIG DRINKER</t>
  </si>
  <si>
    <t>PL22051-1 DOWNPIPE SET FOR SINGLE BOWL (SINGLE LAUNCH)</t>
  </si>
  <si>
    <t>30/SET</t>
  </si>
  <si>
    <t>PL22051-2 DOWNPIPE SET FOR DOUBLE BOWL (DOUBLE LAUNCH)</t>
  </si>
  <si>
    <t>85/SET</t>
  </si>
  <si>
    <t>PL22170-1 304 STAINLESS FLEXIBLE HOSE WITH HANDLE 1/2"*1/2"*12"</t>
  </si>
  <si>
    <t>42/PC</t>
  </si>
  <si>
    <t>PL22170-2 304 STAINLESS FLEXIBLE HOSE WITH HANDLE 1/2"*1/2"*14"</t>
  </si>
  <si>
    <t>45/PC</t>
  </si>
  <si>
    <t>PL22170-3 304 STAINLESS FLEXIBLE HOSE WITH HANDLE 1/2"*1/2"*16"</t>
  </si>
  <si>
    <t>47/PC</t>
  </si>
  <si>
    <t>PL22170-4 304 STAINLESS FLEXIBLE HOSE WITH HANDLE 1/2"*1/2"*18"</t>
  </si>
  <si>
    <t>49/PC</t>
  </si>
  <si>
    <t>PL22170-5 304 STAINLESS FLEXIBLE HOSE WITH HANDLE 1/2"*1/2"*20"</t>
  </si>
  <si>
    <t>PL22170-6 304 STAINLESS FLEXIBLE HOSE WITH HANDLE 1/2"*1/2"*22"</t>
  </si>
  <si>
    <t>54/PC</t>
  </si>
  <si>
    <t>PL22170-7 304 STAINLESS FLEXIBLE HOSE WITH HANDLE 1/2"*1/2"*24"</t>
  </si>
  <si>
    <t>PL22180-01 STAINLESS FLEXIBLE HOSE FOR BIDET 1/2"*120CM</t>
  </si>
  <si>
    <t>78/PC</t>
  </si>
  <si>
    <t>PL22180-02 STAINLESS FLEXIBLE HOSE FOR SHOWER 1/2"*150CM</t>
  </si>
  <si>
    <t>80/PC</t>
  </si>
  <si>
    <t>375/SET</t>
  </si>
  <si>
    <t>620/PC</t>
  </si>
  <si>
    <t>95/PC</t>
  </si>
  <si>
    <t>160/PC</t>
  </si>
  <si>
    <t>170/PC</t>
  </si>
  <si>
    <t>PL22182-01 POLONET ABS BIDET SET</t>
  </si>
  <si>
    <t>115/SET</t>
  </si>
  <si>
    <t>PL22182-02 POLONET ABS BIDET SET</t>
  </si>
  <si>
    <t>145/SET</t>
  </si>
  <si>
    <t>PL22182-03 POLONET 304 STAINLESS  BIDET SET</t>
  </si>
  <si>
    <t>170/SET</t>
  </si>
  <si>
    <t>156/PC</t>
  </si>
  <si>
    <t>149/PC</t>
  </si>
  <si>
    <t>204/PC</t>
  </si>
  <si>
    <t>147/PC</t>
  </si>
  <si>
    <t>169/PC</t>
  </si>
  <si>
    <t>167/PC</t>
  </si>
  <si>
    <t>212/PC</t>
  </si>
  <si>
    <t>310/PC</t>
  </si>
  <si>
    <t>380/PC</t>
  </si>
  <si>
    <t>460/PC</t>
  </si>
  <si>
    <t>250/PC</t>
  </si>
  <si>
    <t>320/PC</t>
  </si>
  <si>
    <t>370/PC</t>
  </si>
  <si>
    <t>390/PC</t>
  </si>
  <si>
    <t>PL22184-01 POLONET LAVATORY FAUCET 248G</t>
  </si>
  <si>
    <t>152/PC</t>
  </si>
  <si>
    <t>PL22184-02 POLONET LAVATORY FAUCET 237G</t>
  </si>
  <si>
    <t>PL22184-03 POLONET LAVATORY FAUCET 308G</t>
  </si>
  <si>
    <t>162/PC</t>
  </si>
  <si>
    <t>PL22184-04 POLONET LAVATORY FAUCET 285G</t>
  </si>
  <si>
    <t>235/PC</t>
  </si>
  <si>
    <t>255/PC</t>
  </si>
  <si>
    <t>PL22185-01 POLONET  FAUCET WALL TYPE  1/2''*2'' SINGLE HANDLE</t>
  </si>
  <si>
    <t>PL22185-02 POLONET  FAUCET WALL TYPE  1/2''*4'' SINGLE HANDLE</t>
  </si>
  <si>
    <t>PL22185-03  POLONET  FAUCET WALL TYPE  1/2''*6'' SINGLE HANDLE</t>
  </si>
  <si>
    <t>PL22185-04 POLONET  FAUCET WALL TYPE 1/2''*2''(57MM) CROSS HANDLE</t>
  </si>
  <si>
    <t>76/PC</t>
  </si>
  <si>
    <t>PL22185-05POLONET  FAUCET WALL TYPE 1/2''*4''(84MM) CROSS HANDLE</t>
  </si>
  <si>
    <t>87/PC</t>
  </si>
  <si>
    <t>PL22185-06 POLONET  FAUCET WALL TYPE 1/2''*6''(130MM) CROSS HANDLE</t>
  </si>
  <si>
    <t>108/PC</t>
  </si>
  <si>
    <t>PL22185-07 PLAIN FAST OPEN FAUCET</t>
  </si>
  <si>
    <t>PL22185-08 1/2"*2"-PLAIN FAST OPEN FAUCET</t>
  </si>
  <si>
    <t>50/PC</t>
  </si>
  <si>
    <t>PL22185-09 1/2"*4"-PLAIN FAST OPEN FAUCET</t>
  </si>
  <si>
    <t>60/PC</t>
  </si>
  <si>
    <t>PL22185-10 1/2"*6"-PLAIN FAST OPEN FAUCET</t>
  </si>
  <si>
    <t>70/PC</t>
  </si>
  <si>
    <t>PL22185-11 HOSE FAST OPEN FAUCET</t>
  </si>
  <si>
    <t>48/PC</t>
  </si>
  <si>
    <t>PL22185-12 1/2"*2"-HOSE FAST OPEN FAUCET</t>
  </si>
  <si>
    <t>55/PC</t>
  </si>
  <si>
    <t>PL22185-13 1/2"*4"-HOSE FAST OPEN FAUCET</t>
  </si>
  <si>
    <t>65/PC</t>
  </si>
  <si>
    <t>PL22185-14 1/2"*6"-HOSE FAST OPEN FAUCET</t>
  </si>
  <si>
    <t>75/PC</t>
  </si>
  <si>
    <t>PL22186-01  POLONET TWO WAY FAUCET 290G (CIRCLE HANDLE)</t>
  </si>
  <si>
    <t>145/PC</t>
  </si>
  <si>
    <t>PL22186-02 POLONET TWO WAY FAUCIT 263G (CROSS HANDLE)</t>
  </si>
  <si>
    <t>PL22187-01 ANGLE VALVE 1/2"*1/2"</t>
  </si>
  <si>
    <t>PL22187-02 ANGLE VALVE 1/2"*1/2"*1/2"</t>
  </si>
  <si>
    <t>PL22187-03 ANGLE VALVE 1/2"*1/2"*1/2" 90°</t>
  </si>
  <si>
    <t>85/PC</t>
  </si>
  <si>
    <t>PL22188-18 304 STAINLESS ANGLE VALVE 1/2"*1/2"</t>
  </si>
  <si>
    <t>120/PC</t>
  </si>
  <si>
    <t>PL22188-19 304 STAINLESS ANGLE VALVE 1/2"*1/2"*1/2"-180°</t>
  </si>
  <si>
    <t>135/PC</t>
  </si>
  <si>
    <t>PL22188-20 304 STAINLESS ANGLE VALVE 1/2"*1/2"*1/2"-90°</t>
  </si>
  <si>
    <t>175/PC</t>
  </si>
  <si>
    <t>140/PC</t>
  </si>
  <si>
    <t>STAINLESS ANGLE VALVE MATTE BLACK 1/2"*1/2"*1/2"- 180°</t>
  </si>
  <si>
    <t>PL22188-70 STAINLESS ANGLE VALVE MATTE BLACK 1/2"*1/2"*1/2"-90°</t>
  </si>
  <si>
    <r>
      <rPr>
        <b/>
        <sz val="11"/>
        <color rgb="FF006FC0"/>
        <rFont val="Century Gothic"/>
        <family val="2"/>
      </rPr>
      <t>PL22150-1 4"*4" POLONET STRAINER</t>
    </r>
  </si>
  <si>
    <r>
      <t xml:space="preserve">250/PC </t>
    </r>
    <r>
      <rPr>
        <b/>
        <sz val="11"/>
        <color rgb="FFFF0000"/>
        <rFont val="Century Gothic"/>
        <family val="2"/>
      </rPr>
      <t>ASSTD ORDER ALL SINK 10CTN</t>
    </r>
  </si>
  <si>
    <r>
      <t xml:space="preserve">320/PC </t>
    </r>
    <r>
      <rPr>
        <b/>
        <sz val="11"/>
        <color rgb="FFFF0000"/>
        <rFont val="Century Gothic"/>
        <family val="2"/>
      </rPr>
      <t>ASSTD ORDER ALL SINK 10CTN</t>
    </r>
  </si>
  <si>
    <r>
      <t xml:space="preserve">490/PC </t>
    </r>
    <r>
      <rPr>
        <b/>
        <sz val="11"/>
        <color rgb="FFFF0000"/>
        <rFont val="Century Gothic"/>
        <family val="2"/>
      </rPr>
      <t>ASSTD ORDER ALL SINK 10CTN</t>
    </r>
  </si>
  <si>
    <r>
      <t xml:space="preserve">600/PC </t>
    </r>
    <r>
      <rPr>
        <b/>
        <sz val="11"/>
        <color rgb="FFFF0000"/>
        <rFont val="Century Gothic"/>
        <family val="2"/>
      </rPr>
      <t>ASSTD ORDER ALL SINK 10CTN</t>
    </r>
  </si>
  <si>
    <r>
      <t xml:space="preserve">500/PC </t>
    </r>
    <r>
      <rPr>
        <b/>
        <sz val="11"/>
        <color rgb="FFFF0000"/>
        <rFont val="Century Gothic"/>
        <family val="2"/>
      </rPr>
      <t>ASSTD ORDER ALL SINK 10CTN</t>
    </r>
  </si>
  <si>
    <r>
      <t xml:space="preserve">205/PC </t>
    </r>
    <r>
      <rPr>
        <b/>
        <sz val="11"/>
        <color rgb="FFFF0000"/>
        <rFont val="Century Gothic"/>
        <family val="2"/>
      </rPr>
      <t>ASSTD ORDER ALL SINK 10CTN</t>
    </r>
  </si>
  <si>
    <r>
      <t xml:space="preserve">990/PC </t>
    </r>
    <r>
      <rPr>
        <b/>
        <sz val="11"/>
        <color rgb="FFFF0000"/>
        <rFont val="Century Gothic"/>
        <family val="2"/>
      </rPr>
      <t>ASSTD ORDER ALL SINK 10CTN</t>
    </r>
  </si>
  <si>
    <r>
      <t xml:space="preserve">1200/PC </t>
    </r>
    <r>
      <rPr>
        <b/>
        <sz val="11"/>
        <color rgb="FFFF0000"/>
        <rFont val="Century Gothic"/>
        <family val="2"/>
      </rPr>
      <t>ASSTD ORDER ALL SINK 10CTN</t>
    </r>
  </si>
  <si>
    <r>
      <t xml:space="preserve">1485/PC </t>
    </r>
    <r>
      <rPr>
        <b/>
        <sz val="11"/>
        <color rgb="FFFF0000"/>
        <rFont val="Century Gothic"/>
        <family val="2"/>
      </rPr>
      <t>ASSTD ORDER ALL SINK 10CTN</t>
    </r>
  </si>
  <si>
    <r>
      <t xml:space="preserve">1275/PC </t>
    </r>
    <r>
      <rPr>
        <b/>
        <sz val="11"/>
        <color rgb="FFFF0000"/>
        <rFont val="Century Gothic"/>
        <family val="2"/>
      </rPr>
      <t>ASSTD ORDER ALL SINK 10CTN</t>
    </r>
  </si>
  <si>
    <r>
      <t xml:space="preserve">1560/PC </t>
    </r>
    <r>
      <rPr>
        <b/>
        <sz val="11"/>
        <color rgb="FFFF0000"/>
        <rFont val="Century Gothic"/>
        <family val="2"/>
      </rPr>
      <t>ASSTD ORDER ALL SINK 10CTN</t>
    </r>
  </si>
  <si>
    <r>
      <t xml:space="preserve">1300/PC </t>
    </r>
    <r>
      <rPr>
        <b/>
        <sz val="11"/>
        <color rgb="FFFF0000"/>
        <rFont val="Century Gothic"/>
        <family val="2"/>
      </rPr>
      <t>ASSTD ORDER ALL SINK 10CTN</t>
    </r>
  </si>
  <si>
    <r>
      <t xml:space="preserve">1600/PC </t>
    </r>
    <r>
      <rPr>
        <b/>
        <sz val="11"/>
        <color rgb="FFFF0000"/>
        <rFont val="Century Gothic"/>
        <family val="2"/>
      </rPr>
      <t>ASSTD ORDER ALL SINK 10CTN</t>
    </r>
  </si>
  <si>
    <r>
      <t xml:space="preserve">1670/PC </t>
    </r>
    <r>
      <rPr>
        <b/>
        <sz val="11"/>
        <color rgb="FFFF0000"/>
        <rFont val="Century Gothic"/>
        <family val="2"/>
      </rPr>
      <t>ASSTD ORDER ALL SINK 10CTN</t>
    </r>
  </si>
  <si>
    <r>
      <t xml:space="preserve">2000/PC </t>
    </r>
    <r>
      <rPr>
        <b/>
        <sz val="11"/>
        <color rgb="FFFF0000"/>
        <rFont val="Century Gothic"/>
        <family val="2"/>
      </rPr>
      <t>ASSTD ORDER ALL SINK 10CTN</t>
    </r>
  </si>
  <si>
    <r>
      <t xml:space="preserve">1800/PC </t>
    </r>
    <r>
      <rPr>
        <b/>
        <sz val="11"/>
        <color rgb="FFFF0000"/>
        <rFont val="Century Gothic"/>
        <family val="2"/>
      </rPr>
      <t>ASSTD ORDER ALL SINK 10CTN</t>
    </r>
  </si>
  <si>
    <r>
      <t xml:space="preserve">2150/PC </t>
    </r>
    <r>
      <rPr>
        <b/>
        <sz val="11"/>
        <color rgb="FFFF0000"/>
        <rFont val="Century Gothic"/>
        <family val="2"/>
      </rPr>
      <t>ASSTD ORDER ALL SINK 10CTN</t>
    </r>
  </si>
  <si>
    <r>
      <t xml:space="preserve">2350/SET </t>
    </r>
    <r>
      <rPr>
        <b/>
        <sz val="11"/>
        <color rgb="FFFF0000"/>
        <rFont val="Century Gothic"/>
        <family val="2"/>
      </rPr>
      <t>ASSTD ORDER 5 CTN</t>
    </r>
  </si>
  <si>
    <r>
      <t xml:space="preserve">3150/SET </t>
    </r>
    <r>
      <rPr>
        <b/>
        <sz val="11"/>
        <color rgb="FFFF0000"/>
        <rFont val="Century Gothic"/>
        <family val="2"/>
      </rPr>
      <t>ASSTD ORDER 5 CTN</t>
    </r>
  </si>
  <si>
    <r>
      <t xml:space="preserve">3600/SET </t>
    </r>
    <r>
      <rPr>
        <b/>
        <sz val="11"/>
        <color rgb="FFFF0000"/>
        <rFont val="Century Gothic"/>
        <family val="2"/>
      </rPr>
      <t>ASSTD ORDER 5 CTN</t>
    </r>
  </si>
  <si>
    <r>
      <rPr>
        <b/>
        <sz val="11"/>
        <color rgb="FF006FC0"/>
        <rFont val="Century Gothic"/>
        <family val="2"/>
      </rPr>
      <t>PL22090-2 (LT22014-G2) GARDEN HOSE GREEN 5/8"*90M</t>
    </r>
  </si>
  <si>
    <r>
      <rPr>
        <b/>
        <sz val="11"/>
        <color rgb="FF006FC0"/>
        <rFont val="Century Gothic"/>
        <family val="2"/>
      </rPr>
      <t>PL22090-3 (LT22014-G3)GARDEN HOSE GREEN 3/4"*60M</t>
    </r>
  </si>
  <si>
    <r>
      <rPr>
        <b/>
        <sz val="11"/>
        <color rgb="FF006FC0"/>
        <rFont val="Century Gothic"/>
        <family val="2"/>
      </rPr>
      <t>PL22090-4 (LT22014-G4) GARDEN HOSE GREEN 1"*60M</t>
    </r>
  </si>
  <si>
    <r>
      <rPr>
        <b/>
        <sz val="11"/>
        <color rgb="FF006FC0"/>
        <rFont val="Century Gothic"/>
        <family val="2"/>
      </rPr>
      <t>PL22090-5 (LT22014-R1)GARDEN HOSE RED 1/2"*90M</t>
    </r>
  </si>
  <si>
    <r>
      <rPr>
        <b/>
        <sz val="11"/>
        <color rgb="FF006FC0"/>
        <rFont val="Century Gothic"/>
        <family val="2"/>
      </rPr>
      <t>PL22090-6 (LT22014-R2) GARDEN HOSE RED 5/8"*90M</t>
    </r>
  </si>
  <si>
    <r>
      <rPr>
        <b/>
        <sz val="11"/>
        <color rgb="FF006FC0"/>
        <rFont val="Century Gothic"/>
        <family val="2"/>
      </rPr>
      <t>PL22090-7 (LT22014-R3)GARDEN HOSE RED 3/4"*60M</t>
    </r>
  </si>
  <si>
    <r>
      <rPr>
        <b/>
        <sz val="11"/>
        <color rgb="FF006FC0"/>
        <rFont val="Century Gothic"/>
        <family val="2"/>
      </rPr>
      <t>PL22090-8 (LT22014-R4) GARDEN HOSE RED 1"*60M</t>
    </r>
  </si>
  <si>
    <r>
      <rPr>
        <b/>
        <sz val="11"/>
        <color rgb="FFFF0000"/>
        <rFont val="Century Gothic"/>
        <family val="2"/>
      </rPr>
      <t xml:space="preserve">810/ROLL </t>
    </r>
    <r>
      <rPr>
        <b/>
        <sz val="11"/>
        <color rgb="FF000000"/>
        <rFont val="Century Gothic"/>
        <family val="2"/>
      </rPr>
      <t>ASSTD ORDER 20 ROLLS</t>
    </r>
  </si>
  <si>
    <r>
      <rPr>
        <b/>
        <sz val="11"/>
        <color rgb="FFFF0000"/>
        <rFont val="Century Gothic"/>
        <family val="2"/>
      </rPr>
      <t xml:space="preserve">900/ROLL </t>
    </r>
    <r>
      <rPr>
        <b/>
        <sz val="11"/>
        <color rgb="FF000000"/>
        <rFont val="Century Gothic"/>
        <family val="2"/>
      </rPr>
      <t>ASSTD ORDER 20 ROLLS</t>
    </r>
  </si>
  <si>
    <r>
      <rPr>
        <b/>
        <sz val="11"/>
        <color rgb="FFFF0000"/>
        <rFont val="Century Gothic"/>
        <family val="2"/>
      </rPr>
      <t xml:space="preserve">1070/ROLL </t>
    </r>
    <r>
      <rPr>
        <b/>
        <sz val="11"/>
        <color rgb="FF000000"/>
        <rFont val="Century Gothic"/>
        <family val="2"/>
      </rPr>
      <t>ASSTD ORDER 20 ROLLS</t>
    </r>
  </si>
  <si>
    <r>
      <rPr>
        <b/>
        <sz val="11"/>
        <color rgb="FFFF0000"/>
        <rFont val="Century Gothic"/>
        <family val="2"/>
      </rPr>
      <t xml:space="preserve">1460/ROLL </t>
    </r>
    <r>
      <rPr>
        <b/>
        <sz val="11"/>
        <color rgb="FF000000"/>
        <rFont val="Century Gothic"/>
        <family val="2"/>
      </rPr>
      <t>ASSTD ORDER 20 ROLLS</t>
    </r>
  </si>
  <si>
    <r>
      <rPr>
        <b/>
        <sz val="11"/>
        <color rgb="FFFF0000"/>
        <rFont val="Century Gothic"/>
        <family val="2"/>
      </rPr>
      <t xml:space="preserve">1770/ROLL </t>
    </r>
    <r>
      <rPr>
        <b/>
        <sz val="11"/>
        <color rgb="FF000000"/>
        <rFont val="Century Gothic"/>
        <family val="2"/>
      </rPr>
      <t>ASSTD ORDER 20 ROLLS</t>
    </r>
  </si>
  <si>
    <r>
      <rPr>
        <b/>
        <sz val="11"/>
        <color rgb="FFFF0000"/>
        <rFont val="Century Gothic"/>
        <family val="2"/>
      </rPr>
      <t xml:space="preserve">1910/ROLL </t>
    </r>
    <r>
      <rPr>
        <b/>
        <sz val="11"/>
        <color rgb="FF000000"/>
        <rFont val="Century Gothic"/>
        <family val="2"/>
      </rPr>
      <t>ASSTD ORDER 20 ROLLS</t>
    </r>
  </si>
  <si>
    <r>
      <rPr>
        <b/>
        <sz val="11"/>
        <color rgb="FFFF0000"/>
        <rFont val="Century Gothic"/>
        <family val="2"/>
      </rPr>
      <t xml:space="preserve">2180/ROLL </t>
    </r>
    <r>
      <rPr>
        <b/>
        <sz val="11"/>
        <color rgb="FF000000"/>
        <rFont val="Century Gothic"/>
        <family val="2"/>
      </rPr>
      <t>ASSTD ORDER 20 ROLLS</t>
    </r>
  </si>
  <si>
    <r>
      <rPr>
        <b/>
        <sz val="11"/>
        <color rgb="FFFF0000"/>
        <rFont val="Century Gothic"/>
        <family val="2"/>
      </rPr>
      <t xml:space="preserve">2500/ROLL </t>
    </r>
    <r>
      <rPr>
        <b/>
        <sz val="11"/>
        <color rgb="FF000000"/>
        <rFont val="Century Gothic"/>
        <family val="2"/>
      </rPr>
      <t>ASSTD ORDER 20 ROLL</t>
    </r>
  </si>
  <si>
    <r>
      <rPr>
        <b/>
        <sz val="11"/>
        <color rgb="FFFF0000"/>
        <rFont val="Century Gothic"/>
        <family val="2"/>
      </rPr>
      <t xml:space="preserve">3300/ROLL </t>
    </r>
    <r>
      <rPr>
        <b/>
        <sz val="11"/>
        <color rgb="FF000000"/>
        <rFont val="Century Gothic"/>
        <family val="2"/>
      </rPr>
      <t>ASSTD ORDER 20 ROLL</t>
    </r>
  </si>
  <si>
    <r>
      <rPr>
        <b/>
        <sz val="11"/>
        <color rgb="FFFF0000"/>
        <rFont val="Century Gothic"/>
        <family val="2"/>
      </rPr>
      <t xml:space="preserve">5800/ROLL </t>
    </r>
    <r>
      <rPr>
        <b/>
        <sz val="11"/>
        <color rgb="FF000000"/>
        <rFont val="Century Gothic"/>
        <family val="2"/>
      </rPr>
      <t>ASSTD ORDER 20 ROLLS</t>
    </r>
  </si>
  <si>
    <r>
      <t xml:space="preserve">17.5/PC </t>
    </r>
    <r>
      <rPr>
        <b/>
        <sz val="11"/>
        <color rgb="FFFF0000"/>
        <rFont val="Century Gothic"/>
        <family val="2"/>
      </rPr>
      <t>ASSTD ORDER 5 CTN</t>
    </r>
  </si>
  <si>
    <r>
      <t xml:space="preserve">18.5/PC </t>
    </r>
    <r>
      <rPr>
        <b/>
        <sz val="11"/>
        <color rgb="FFFF0000"/>
        <rFont val="Century Gothic"/>
        <family val="2"/>
      </rPr>
      <t>ASSTD ORDER 5 CTN</t>
    </r>
  </si>
  <si>
    <r>
      <t xml:space="preserve">19.5/PC </t>
    </r>
    <r>
      <rPr>
        <b/>
        <sz val="11"/>
        <color rgb="FFFF0000"/>
        <rFont val="Century Gothic"/>
        <family val="2"/>
      </rPr>
      <t>ASSTD ORDER 5 CTN</t>
    </r>
  </si>
  <si>
    <r>
      <t xml:space="preserve">1100/PC </t>
    </r>
    <r>
      <rPr>
        <b/>
        <sz val="11"/>
        <color rgb="FFFF0000"/>
        <rFont val="Century Gothic"/>
        <family val="2"/>
      </rPr>
      <t>ASSTD ORDER 10 CTN</t>
    </r>
  </si>
  <si>
    <r>
      <t xml:space="preserve">2130/PC </t>
    </r>
    <r>
      <rPr>
        <b/>
        <sz val="11"/>
        <color rgb="FFFF0000"/>
        <rFont val="Century Gothic"/>
        <family val="2"/>
      </rPr>
      <t>ASSTD ORDER 10 CTN</t>
    </r>
  </si>
  <si>
    <r>
      <t xml:space="preserve">185/ROLL </t>
    </r>
    <r>
      <rPr>
        <b/>
        <sz val="11"/>
        <color rgb="FFFF0000"/>
        <rFont val="Century Gothic"/>
        <family val="2"/>
      </rPr>
      <t>ASSTD ORDER 50 ROLLS</t>
    </r>
  </si>
  <si>
    <r>
      <t xml:space="preserve">255/ROLL </t>
    </r>
    <r>
      <rPr>
        <b/>
        <sz val="11"/>
        <color rgb="FFFF0000"/>
        <rFont val="Century Gothic"/>
        <family val="2"/>
      </rPr>
      <t>ASSTD ORDER 50 ROLLS</t>
    </r>
  </si>
  <si>
    <r>
      <t xml:space="preserve">330/ROLL </t>
    </r>
    <r>
      <rPr>
        <b/>
        <sz val="11"/>
        <color rgb="FFFF0000"/>
        <rFont val="Century Gothic"/>
        <family val="2"/>
      </rPr>
      <t>ASSTD ORDER 50 ROLLS</t>
    </r>
  </si>
  <si>
    <r>
      <t xml:space="preserve">430/ROLL </t>
    </r>
    <r>
      <rPr>
        <b/>
        <sz val="11"/>
        <color rgb="FFFF0000"/>
        <rFont val="Century Gothic"/>
        <family val="2"/>
      </rPr>
      <t>ASSTD ORDER 50 ROLLS</t>
    </r>
  </si>
  <si>
    <r>
      <t xml:space="preserve">685/ROLL </t>
    </r>
    <r>
      <rPr>
        <b/>
        <sz val="11"/>
        <color rgb="FFFF0000"/>
        <rFont val="Century Gothic"/>
        <family val="2"/>
      </rPr>
      <t>ASSTD ORDER 50 ROLLS</t>
    </r>
  </si>
  <si>
    <r>
      <rPr>
        <b/>
        <sz val="11"/>
        <color rgb="FF000000"/>
        <rFont val="Century Gothic"/>
        <family val="2"/>
      </rPr>
      <t xml:space="preserve">1330/ROLL </t>
    </r>
    <r>
      <rPr>
        <b/>
        <sz val="11"/>
        <color rgb="FFFF0000"/>
        <rFont val="Century Gothic"/>
        <family val="2"/>
      </rPr>
      <t>ASSTD ORDER
50 ROLLS</t>
    </r>
  </si>
  <si>
    <r>
      <rPr>
        <b/>
        <sz val="11"/>
        <color rgb="FF000000"/>
        <rFont val="Century Gothic"/>
        <family val="2"/>
      </rPr>
      <t xml:space="preserve">185/ROLL </t>
    </r>
    <r>
      <rPr>
        <b/>
        <sz val="11"/>
        <color rgb="FFFF0000"/>
        <rFont val="Century Gothic"/>
        <family val="2"/>
      </rPr>
      <t>ASSTD ORDER
50 ROLLS</t>
    </r>
  </si>
  <si>
    <r>
      <rPr>
        <b/>
        <sz val="11"/>
        <color rgb="FF000000"/>
        <rFont val="Century Gothic"/>
        <family val="2"/>
      </rPr>
      <t xml:space="preserve">255/ROLL </t>
    </r>
    <r>
      <rPr>
        <b/>
        <sz val="11"/>
        <color rgb="FFFF0000"/>
        <rFont val="Century Gothic"/>
        <family val="2"/>
      </rPr>
      <t>ASSTD ORDER
50 ROLLS</t>
    </r>
  </si>
  <si>
    <r>
      <rPr>
        <b/>
        <sz val="11"/>
        <color rgb="FF000000"/>
        <rFont val="Century Gothic"/>
        <family val="2"/>
      </rPr>
      <t xml:space="preserve">330/ROLL </t>
    </r>
    <r>
      <rPr>
        <b/>
        <sz val="11"/>
        <color rgb="FFFF0000"/>
        <rFont val="Century Gothic"/>
        <family val="2"/>
      </rPr>
      <t>ASSTD ORDER
50 ROLLS</t>
    </r>
  </si>
  <si>
    <r>
      <rPr>
        <b/>
        <sz val="11"/>
        <color rgb="FF000000"/>
        <rFont val="Century Gothic"/>
        <family val="2"/>
      </rPr>
      <t xml:space="preserve">430/ROLL </t>
    </r>
    <r>
      <rPr>
        <b/>
        <sz val="11"/>
        <color rgb="FFFF0000"/>
        <rFont val="Century Gothic"/>
        <family val="2"/>
      </rPr>
      <t>ASSTD ORDER
50 ROLLS</t>
    </r>
  </si>
  <si>
    <r>
      <rPr>
        <b/>
        <sz val="11"/>
        <color rgb="FF000000"/>
        <rFont val="Century Gothic"/>
        <family val="2"/>
      </rPr>
      <t xml:space="preserve">685/ROLL </t>
    </r>
    <r>
      <rPr>
        <b/>
        <sz val="11"/>
        <color rgb="FFFF0000"/>
        <rFont val="Century Gothic"/>
        <family val="2"/>
      </rPr>
      <t>ASSTD ORDER
50 ROLLS</t>
    </r>
  </si>
  <si>
    <r>
      <rPr>
        <b/>
        <sz val="11"/>
        <color rgb="FF000000"/>
        <rFont val="Century Gothic"/>
        <family val="2"/>
      </rPr>
      <t xml:space="preserve">1330/ ROLL </t>
    </r>
    <r>
      <rPr>
        <b/>
        <sz val="11"/>
        <color rgb="FFFF0000"/>
        <rFont val="Century Gothic"/>
        <family val="2"/>
      </rPr>
      <t>ASSTD ORDER
50 ROLLS</t>
    </r>
  </si>
  <si>
    <r>
      <rPr>
        <b/>
        <sz val="11"/>
        <color rgb="FF006FC0"/>
        <rFont val="Century Gothic"/>
        <family val="2"/>
      </rPr>
      <t>PL22060-1 CHROME PIPE 1/2"</t>
    </r>
  </si>
  <si>
    <r>
      <rPr>
        <b/>
        <sz val="11"/>
        <color rgb="FF006FC0"/>
        <rFont val="Century Gothic"/>
        <family val="2"/>
      </rPr>
      <t>PL22060-2 CHROME PIPE 3/4"</t>
    </r>
  </si>
  <si>
    <r>
      <rPr>
        <b/>
        <sz val="11"/>
        <color rgb="FF006FC0"/>
        <rFont val="Century Gothic"/>
        <family val="2"/>
      </rPr>
      <t>PL22060-3 CHROME PIPE 1"</t>
    </r>
  </si>
  <si>
    <r>
      <rPr>
        <b/>
        <sz val="11"/>
        <color rgb="FF006FC0"/>
        <rFont val="Century Gothic"/>
        <family val="2"/>
      </rPr>
      <t>PL22010-1 (LTSN001-12) 1/2 POLONET TEFLON TAPE</t>
    </r>
  </si>
  <si>
    <r>
      <rPr>
        <b/>
        <sz val="11"/>
        <color rgb="FF006FC0"/>
        <rFont val="Century Gothic"/>
        <family val="2"/>
      </rPr>
      <t>PL22010-2 (LTSN002-34) 3/4 POLONET TEFLON TAPE</t>
    </r>
  </si>
  <si>
    <r>
      <rPr>
        <b/>
        <sz val="11"/>
        <color rgb="FF006FC0"/>
        <rFont val="Century Gothic"/>
        <family val="2"/>
      </rPr>
      <t>PL22010-3 (LTSN002-1) 1" POLONET TEFLON TAPE</t>
    </r>
  </si>
  <si>
    <r>
      <rPr>
        <b/>
        <sz val="11"/>
        <color rgb="FF000000"/>
        <rFont val="Century Gothic"/>
        <family val="2"/>
      </rPr>
      <t>PL22011-1 PREMIUM PTFE SEAL TAPE 1/2"-
12mm*0.075mm*10m*0.35g/cm3</t>
    </r>
  </si>
  <si>
    <r>
      <rPr>
        <b/>
        <sz val="11"/>
        <color rgb="FF000000"/>
        <rFont val="Century Gothic"/>
        <family val="2"/>
      </rPr>
      <t>PL22011-2 PREMIUM PTFE SEAL TAPE 3/4"-
19mm*0.075mm*10m*0.35g/cm3</t>
    </r>
  </si>
  <si>
    <r>
      <rPr>
        <b/>
        <sz val="11"/>
        <color rgb="FF000000"/>
        <rFont val="Century Gothic"/>
        <family val="2"/>
      </rPr>
      <t>PL22011-3 PREMIUM PTFE SEAL TAPE 1"-
25mm*0.075mm*10m*0.35g/cm3</t>
    </r>
  </si>
  <si>
    <r>
      <t xml:space="preserve">40/PC </t>
    </r>
    <r>
      <rPr>
        <b/>
        <sz val="11"/>
        <color rgb="FFFF0000"/>
        <rFont val="Century Gothic"/>
        <family val="2"/>
      </rPr>
      <t>ASSTD ORDER 10CTN</t>
    </r>
  </si>
  <si>
    <r>
      <t xml:space="preserve">43PC </t>
    </r>
    <r>
      <rPr>
        <b/>
        <sz val="11"/>
        <color rgb="FFFF0000"/>
        <rFont val="Century Gothic"/>
        <family val="2"/>
      </rPr>
      <t>ASSTD ORDER 10CTN</t>
    </r>
  </si>
  <si>
    <r>
      <t xml:space="preserve">45/PC </t>
    </r>
    <r>
      <rPr>
        <b/>
        <sz val="11"/>
        <color rgb="FFFF0000"/>
        <rFont val="Century Gothic"/>
        <family val="2"/>
      </rPr>
      <t>ASSTD ORDER 10CTN</t>
    </r>
  </si>
  <si>
    <r>
      <t xml:space="preserve">47/PC </t>
    </r>
    <r>
      <rPr>
        <b/>
        <sz val="11"/>
        <color rgb="FFFF0000"/>
        <rFont val="Century Gothic"/>
        <family val="2"/>
      </rPr>
      <t>ASSTD ORDER 10CTN</t>
    </r>
  </si>
  <si>
    <r>
      <t xml:space="preserve">49/PC </t>
    </r>
    <r>
      <rPr>
        <b/>
        <sz val="11"/>
        <color rgb="FFFF0000"/>
        <rFont val="Century Gothic"/>
        <family val="2"/>
      </rPr>
      <t>ASSTD ORDER 10CTN</t>
    </r>
  </si>
  <si>
    <r>
      <t xml:space="preserve">52/PC </t>
    </r>
    <r>
      <rPr>
        <b/>
        <sz val="11"/>
        <color rgb="FFFF0000"/>
        <rFont val="Century Gothic"/>
        <family val="2"/>
      </rPr>
      <t>ASSTD ORDER 10CTN</t>
    </r>
  </si>
  <si>
    <r>
      <t xml:space="preserve">55/PC </t>
    </r>
    <r>
      <rPr>
        <b/>
        <sz val="11"/>
        <color rgb="FFFF0000"/>
        <rFont val="Century Gothic"/>
        <family val="2"/>
      </rPr>
      <t>ASSTD ORDER 10CTN</t>
    </r>
  </si>
  <si>
    <r>
      <t xml:space="preserve">72/PC </t>
    </r>
    <r>
      <rPr>
        <b/>
        <sz val="11"/>
        <color rgb="FFFF0000"/>
        <rFont val="Century Gothic"/>
        <family val="2"/>
      </rPr>
      <t>ASSTD ORDER  5CTN</t>
    </r>
  </si>
  <si>
    <r>
      <t xml:space="preserve">75/PC </t>
    </r>
    <r>
      <rPr>
        <b/>
        <sz val="11"/>
        <color rgb="FFFF0000"/>
        <rFont val="Century Gothic"/>
        <family val="2"/>
      </rPr>
      <t>ASSTD ORDER  5CTN</t>
    </r>
  </si>
  <si>
    <r>
      <rPr>
        <b/>
        <sz val="11"/>
        <color rgb="FF000000"/>
        <rFont val="Century Gothic"/>
        <family val="2"/>
      </rPr>
      <t>PL22181-01  POLONET MULTIFUNCTION FAUCET
SHOWER SET</t>
    </r>
    <r>
      <rPr>
        <sz val="11"/>
        <color rgb="FF000000"/>
        <rFont val="Century Gothic"/>
        <family val="2"/>
      </rPr>
      <t>内管三元乙两</t>
    </r>
  </si>
  <si>
    <r>
      <rPr>
        <b/>
        <sz val="11"/>
        <color rgb="FF000000"/>
        <rFont val="Century Gothic"/>
        <family val="2"/>
      </rPr>
      <t>PL22181-02 POLONET  MULTIFUNCTION FAUCET SHOWER SET</t>
    </r>
    <r>
      <rPr>
        <sz val="11"/>
        <color rgb="FF000000"/>
        <rFont val="Century Gothic"/>
        <family val="2"/>
      </rPr>
      <t>内管</t>
    </r>
    <r>
      <rPr>
        <b/>
        <sz val="11"/>
        <color rgb="FF000000"/>
        <rFont val="Century Gothic"/>
        <family val="2"/>
      </rPr>
      <t>PVC</t>
    </r>
  </si>
  <si>
    <r>
      <rPr>
        <b/>
        <sz val="11"/>
        <color rgb="FF000000"/>
        <rFont val="Century Gothic"/>
        <family val="2"/>
      </rPr>
      <t xml:space="preserve">PL22181-03 </t>
    </r>
    <r>
      <rPr>
        <sz val="11"/>
        <color rgb="FF000000"/>
        <rFont val="Century Gothic"/>
        <family val="2"/>
      </rPr>
      <t>小</t>
    </r>
    <r>
      <rPr>
        <b/>
        <sz val="11"/>
        <color rgb="FF000000"/>
        <rFont val="Century Gothic"/>
        <family val="2"/>
      </rPr>
      <t>5</t>
    </r>
    <r>
      <rPr>
        <sz val="11"/>
        <color rgb="FF000000"/>
        <rFont val="Century Gothic"/>
        <family val="2"/>
      </rPr>
      <t xml:space="preserve">档花洒手喷 </t>
    </r>
    <r>
      <rPr>
        <b/>
        <sz val="11"/>
        <color rgb="FF000000"/>
        <rFont val="Century Gothic"/>
        <family val="2"/>
      </rPr>
      <t>HAND SHOWER SET</t>
    </r>
  </si>
  <si>
    <r>
      <rPr>
        <b/>
        <sz val="11"/>
        <color rgb="FF000000"/>
        <rFont val="Century Gothic"/>
        <family val="2"/>
      </rPr>
      <t xml:space="preserve">90/PC </t>
    </r>
    <r>
      <rPr>
        <b/>
        <sz val="11"/>
        <color rgb="FFFF0000"/>
        <rFont val="Century Gothic"/>
        <family val="2"/>
      </rPr>
      <t>ASSTD ORDER
5 CTN</t>
    </r>
  </si>
  <si>
    <r>
      <rPr>
        <b/>
        <sz val="11"/>
        <color rgb="FF000000"/>
        <rFont val="Century Gothic"/>
        <family val="2"/>
      </rPr>
      <t>PL22181-04 5</t>
    </r>
    <r>
      <rPr>
        <sz val="11"/>
        <color rgb="FF000000"/>
        <rFont val="Century Gothic"/>
        <family val="2"/>
      </rPr>
      <t xml:space="preserve">档花洒手喷 </t>
    </r>
    <r>
      <rPr>
        <b/>
        <sz val="11"/>
        <color rgb="FF000000"/>
        <rFont val="Century Gothic"/>
        <family val="2"/>
      </rPr>
      <t>HAND SHOWER SET</t>
    </r>
  </si>
  <si>
    <r>
      <t xml:space="preserve">152/PC </t>
    </r>
    <r>
      <rPr>
        <b/>
        <sz val="11"/>
        <color rgb="FFFF0000"/>
        <rFont val="Century Gothic"/>
        <family val="2"/>
      </rPr>
      <t>ASSTD ORDER 5 CTN</t>
    </r>
  </si>
  <si>
    <r>
      <rPr>
        <b/>
        <sz val="11"/>
        <color rgb="FF000000"/>
        <rFont val="Century Gothic"/>
        <family val="2"/>
      </rPr>
      <t xml:space="preserve">PL22181-05 </t>
    </r>
    <r>
      <rPr>
        <sz val="11"/>
        <color rgb="FF000000"/>
        <rFont val="Century Gothic"/>
        <family val="2"/>
      </rPr>
      <t xml:space="preserve">增压一键止水花洒手喷 </t>
    </r>
    <r>
      <rPr>
        <b/>
        <sz val="11"/>
        <color rgb="FF000000"/>
        <rFont val="Century Gothic"/>
        <family val="2"/>
      </rPr>
      <t>HAND SHOWER SET ( BOX - GREEN/BLACK/SILVER)</t>
    </r>
  </si>
  <si>
    <r>
      <t xml:space="preserve">162/PC </t>
    </r>
    <r>
      <rPr>
        <b/>
        <sz val="11"/>
        <color rgb="FFFF0000"/>
        <rFont val="Century Gothic"/>
        <family val="2"/>
      </rPr>
      <t>ASSTD ORDER 5 CTN</t>
    </r>
  </si>
  <si>
    <r>
      <t xml:space="preserve">105/SET </t>
    </r>
    <r>
      <rPr>
        <b/>
        <sz val="11"/>
        <color rgb="FFFF0000"/>
        <rFont val="Century Gothic"/>
        <family val="2"/>
      </rPr>
      <t>ASSTD ORDER 5CTN</t>
    </r>
  </si>
  <si>
    <r>
      <t xml:space="preserve">130/SET </t>
    </r>
    <r>
      <rPr>
        <b/>
        <sz val="11"/>
        <color rgb="FFFF0000"/>
        <rFont val="Century Gothic"/>
        <family val="2"/>
      </rPr>
      <t>ASSTD ORDER 5CTN</t>
    </r>
  </si>
  <si>
    <r>
      <t xml:space="preserve">155/SET </t>
    </r>
    <r>
      <rPr>
        <b/>
        <sz val="11"/>
        <color rgb="FFFF0000"/>
        <rFont val="Century Gothic"/>
        <family val="2"/>
      </rPr>
      <t>ASSTD ORDER  5CTN</t>
    </r>
  </si>
  <si>
    <r>
      <rPr>
        <b/>
        <sz val="11"/>
        <color rgb="FF000000"/>
        <rFont val="Century Gothic"/>
        <family val="2"/>
      </rPr>
      <t>PL22183-01 POLONET GOOSENECK FAUCET WALL TYPE
270G</t>
    </r>
  </si>
  <si>
    <r>
      <rPr>
        <b/>
        <sz val="11"/>
        <color rgb="FF000000"/>
        <rFont val="Century Gothic"/>
        <family val="2"/>
      </rPr>
      <t xml:space="preserve">150/PC
</t>
    </r>
    <r>
      <rPr>
        <b/>
        <sz val="11"/>
        <color rgb="FFFF0000"/>
        <rFont val="Century Gothic"/>
        <family val="2"/>
      </rPr>
      <t>ASSTD ORDER 5CTN</t>
    </r>
  </si>
  <si>
    <r>
      <rPr>
        <b/>
        <sz val="11"/>
        <color rgb="FF000000"/>
        <rFont val="Century Gothic"/>
        <family val="2"/>
      </rPr>
      <t>PL22183-02 POLONET GOOSENECK FAUCET WALL TYPE
235G</t>
    </r>
  </si>
  <si>
    <r>
      <rPr>
        <b/>
        <sz val="11"/>
        <color rgb="FF000000"/>
        <rFont val="Century Gothic"/>
        <family val="2"/>
      </rPr>
      <t xml:space="preserve">143/PC
</t>
    </r>
    <r>
      <rPr>
        <b/>
        <sz val="11"/>
        <color rgb="FFFF0000"/>
        <rFont val="Century Gothic"/>
        <family val="2"/>
      </rPr>
      <t>ASSTD ORDER 5CTN</t>
    </r>
  </si>
  <si>
    <r>
      <rPr>
        <b/>
        <sz val="11"/>
        <color rgb="FF000000"/>
        <rFont val="Century Gothic"/>
        <family val="2"/>
      </rPr>
      <t>PL22183-03POLONET GOOSENECK FAUCET WALL TYPE
482G</t>
    </r>
  </si>
  <si>
    <r>
      <rPr>
        <b/>
        <sz val="11"/>
        <color rgb="FF000000"/>
        <rFont val="Century Gothic"/>
        <family val="2"/>
      </rPr>
      <t xml:space="preserve">196/PC
</t>
    </r>
    <r>
      <rPr>
        <b/>
        <sz val="11"/>
        <color rgb="FFFF0000"/>
        <rFont val="Century Gothic"/>
        <family val="2"/>
      </rPr>
      <t>ASSTD ORDER 5CTN</t>
    </r>
  </si>
  <si>
    <r>
      <rPr>
        <b/>
        <sz val="11"/>
        <color rgb="FF000000"/>
        <rFont val="Century Gothic"/>
        <family val="2"/>
      </rPr>
      <t>PL22183-04 POLONET GOOSENECK FAUCET WALL TYPE
250G</t>
    </r>
  </si>
  <si>
    <r>
      <rPr>
        <b/>
        <sz val="11"/>
        <color rgb="FF000000"/>
        <rFont val="Century Gothic"/>
        <family val="2"/>
      </rPr>
      <t xml:space="preserve">141/PC
</t>
    </r>
    <r>
      <rPr>
        <b/>
        <sz val="11"/>
        <color rgb="FFFF0000"/>
        <rFont val="Century Gothic"/>
        <family val="2"/>
      </rPr>
      <t>ASSTD ORDER</t>
    </r>
  </si>
  <si>
    <r>
      <rPr>
        <b/>
        <sz val="11"/>
        <color rgb="FF000000"/>
        <rFont val="Century Gothic"/>
        <family val="2"/>
      </rPr>
      <t>PL22183-05 POLONET GOOSENECK FAUCET WALL TYPE
302G</t>
    </r>
  </si>
  <si>
    <r>
      <rPr>
        <b/>
        <sz val="11"/>
        <color rgb="FF000000"/>
        <rFont val="Century Gothic"/>
        <family val="2"/>
      </rPr>
      <t xml:space="preserve">162/PC
</t>
    </r>
    <r>
      <rPr>
        <b/>
        <sz val="11"/>
        <color rgb="FFFF0000"/>
        <rFont val="Century Gothic"/>
        <family val="2"/>
      </rPr>
      <t>ASSTD ORDER</t>
    </r>
  </si>
  <si>
    <r>
      <rPr>
        <b/>
        <sz val="11"/>
        <color rgb="FF000000"/>
        <rFont val="Century Gothic"/>
        <family val="2"/>
      </rPr>
      <t>PL22183-06 POLONET GOOSENECK FAUCET WALL TYPE
310G</t>
    </r>
  </si>
  <si>
    <r>
      <rPr>
        <b/>
        <sz val="11"/>
        <color rgb="FF000000"/>
        <rFont val="Century Gothic"/>
        <family val="2"/>
      </rPr>
      <t xml:space="preserve">160/PC
</t>
    </r>
    <r>
      <rPr>
        <b/>
        <sz val="11"/>
        <color rgb="FFFF0000"/>
        <rFont val="Century Gothic"/>
        <family val="2"/>
      </rPr>
      <t>ASSTD ORDER 5CTN</t>
    </r>
  </si>
  <si>
    <r>
      <rPr>
        <b/>
        <sz val="11"/>
        <color rgb="FF000000"/>
        <rFont val="Century Gothic"/>
        <family val="2"/>
      </rPr>
      <t>PL22183-07 POLONET GOOSENECK FAUCET WALL TYPE
495G</t>
    </r>
  </si>
  <si>
    <r>
      <rPr>
        <b/>
        <sz val="11"/>
        <color rgb="FF000000"/>
        <rFont val="Century Gothic"/>
        <family val="2"/>
      </rPr>
      <t xml:space="preserve">205/PC
</t>
    </r>
    <r>
      <rPr>
        <b/>
        <sz val="11"/>
        <color rgb="FFFF0000"/>
        <rFont val="Century Gothic"/>
        <family val="2"/>
      </rPr>
      <t>ASSTD ORDER 5CTN</t>
    </r>
  </si>
  <si>
    <r>
      <rPr>
        <b/>
        <sz val="11"/>
        <color rgb="FF000000"/>
        <rFont val="Century Gothic"/>
        <family val="2"/>
      </rPr>
      <t xml:space="preserve">PL22188-02 304 STAINLESS GOOSENECK FAUCET </t>
    </r>
    <r>
      <rPr>
        <sz val="11"/>
        <color rgb="FF000000"/>
        <rFont val="Century Gothic"/>
        <family val="2"/>
      </rPr>
      <t xml:space="preserve">立式 </t>
    </r>
    <r>
      <rPr>
        <b/>
        <sz val="11"/>
        <color rgb="FF000000"/>
        <rFont val="Century Gothic"/>
        <family val="2"/>
      </rPr>
      <t>SINK TYPE</t>
    </r>
  </si>
  <si>
    <r>
      <t xml:space="preserve">280/PC </t>
    </r>
    <r>
      <rPr>
        <b/>
        <sz val="11"/>
        <color rgb="FFFF0000"/>
        <rFont val="Century Gothic"/>
        <family val="2"/>
      </rPr>
      <t>ASSTD ORDER 5CTN</t>
    </r>
  </si>
  <si>
    <r>
      <rPr>
        <b/>
        <sz val="11"/>
        <color rgb="FF000000"/>
        <rFont val="Century Gothic"/>
        <family val="2"/>
      </rPr>
      <t xml:space="preserve">PL22188-03 304 STAINLESS GOOSENECK FAUCET </t>
    </r>
    <r>
      <rPr>
        <sz val="11"/>
        <color rgb="FF000000"/>
        <rFont val="Century Gothic"/>
        <family val="2"/>
      </rPr>
      <t xml:space="preserve">立式 </t>
    </r>
    <r>
      <rPr>
        <b/>
        <sz val="11"/>
        <color rgb="FF000000"/>
        <rFont val="Century Gothic"/>
        <family val="2"/>
      </rPr>
      <t>SINK TYPE</t>
    </r>
  </si>
  <si>
    <r>
      <rPr>
        <b/>
        <sz val="11"/>
        <color rgb="FF000000"/>
        <rFont val="Century Gothic"/>
        <family val="2"/>
      </rPr>
      <t xml:space="preserve">PL22188-04 304 STAINLESS GOOSENECK FAUCET </t>
    </r>
    <r>
      <rPr>
        <sz val="11"/>
        <color rgb="FF000000"/>
        <rFont val="Century Gothic"/>
        <family val="2"/>
      </rPr>
      <t xml:space="preserve">立式 </t>
    </r>
    <r>
      <rPr>
        <b/>
        <sz val="11"/>
        <color rgb="FF000000"/>
        <rFont val="Century Gothic"/>
        <family val="2"/>
      </rPr>
      <t>SINK TYPE</t>
    </r>
  </si>
  <si>
    <r>
      <t xml:space="preserve">340/PC </t>
    </r>
    <r>
      <rPr>
        <b/>
        <sz val="11"/>
        <color rgb="FFFF0000"/>
        <rFont val="Century Gothic"/>
        <family val="2"/>
      </rPr>
      <t>ASSTD ORDER 5CTN</t>
    </r>
  </si>
  <si>
    <r>
      <rPr>
        <b/>
        <sz val="11"/>
        <color rgb="FF000000"/>
        <rFont val="Century Gothic"/>
        <family val="2"/>
      </rPr>
      <t xml:space="preserve">PL22188-05 304 STAINLESS GOOSENECK FAUCET </t>
    </r>
    <r>
      <rPr>
        <sz val="11"/>
        <color rgb="FF000000"/>
        <rFont val="Century Gothic"/>
        <family val="2"/>
      </rPr>
      <t xml:space="preserve">立式 </t>
    </r>
    <r>
      <rPr>
        <b/>
        <sz val="11"/>
        <color rgb="FF000000"/>
        <rFont val="Century Gothic"/>
        <family val="2"/>
      </rPr>
      <t>SINK TYPE</t>
    </r>
  </si>
  <si>
    <r>
      <t xml:space="preserve">415/PC </t>
    </r>
    <r>
      <rPr>
        <b/>
        <sz val="11"/>
        <color rgb="FFFF0000"/>
        <rFont val="Century Gothic"/>
        <family val="2"/>
      </rPr>
      <t>ASSTD ORDER 5CTN</t>
    </r>
  </si>
  <si>
    <r>
      <rPr>
        <b/>
        <sz val="11"/>
        <color rgb="FF000000"/>
        <rFont val="Century Gothic"/>
        <family val="2"/>
      </rPr>
      <t xml:space="preserve">PL22188-06 304 STAINLESS GOOSENECK FAUCET </t>
    </r>
    <r>
      <rPr>
        <sz val="11"/>
        <color rgb="FF000000"/>
        <rFont val="Century Gothic"/>
        <family val="2"/>
      </rPr>
      <t>横式</t>
    </r>
    <r>
      <rPr>
        <b/>
        <sz val="11"/>
        <color rgb="FF000000"/>
        <rFont val="Century Gothic"/>
        <family val="2"/>
      </rPr>
      <t>-WALL TYPE</t>
    </r>
  </si>
  <si>
    <r>
      <t xml:space="preserve">225/PC </t>
    </r>
    <r>
      <rPr>
        <b/>
        <sz val="11"/>
        <color rgb="FFFF0000"/>
        <rFont val="Century Gothic"/>
        <family val="2"/>
      </rPr>
      <t>ASSTD ORDER 5CTN</t>
    </r>
  </si>
  <si>
    <r>
      <rPr>
        <b/>
        <sz val="11"/>
        <color rgb="FF000000"/>
        <rFont val="Century Gothic"/>
        <family val="2"/>
      </rPr>
      <t xml:space="preserve">PL22188-07 304 STAINLESS GOOSENECK FAUCET </t>
    </r>
    <r>
      <rPr>
        <sz val="11"/>
        <color rgb="FF000000"/>
        <rFont val="Century Gothic"/>
        <family val="2"/>
      </rPr>
      <t>横式</t>
    </r>
    <r>
      <rPr>
        <b/>
        <sz val="11"/>
        <color rgb="FF000000"/>
        <rFont val="Century Gothic"/>
        <family val="2"/>
      </rPr>
      <t>-WALL TYPE</t>
    </r>
  </si>
  <si>
    <r>
      <rPr>
        <b/>
        <sz val="11"/>
        <color rgb="FF000000"/>
        <rFont val="Century Gothic"/>
        <family val="2"/>
      </rPr>
      <t xml:space="preserve">PL22188-08 304 STAINLESS GOOSENECK FAUCET </t>
    </r>
    <r>
      <rPr>
        <sz val="11"/>
        <color rgb="FF000000"/>
        <rFont val="Century Gothic"/>
        <family val="2"/>
      </rPr>
      <t>横式</t>
    </r>
    <r>
      <rPr>
        <b/>
        <sz val="11"/>
        <color rgb="FF000000"/>
        <rFont val="Century Gothic"/>
        <family val="2"/>
      </rPr>
      <t>-WALL TYPE</t>
    </r>
  </si>
  <si>
    <r>
      <rPr>
        <b/>
        <sz val="11"/>
        <color rgb="FF000000"/>
        <rFont val="Century Gothic"/>
        <family val="2"/>
      </rPr>
      <t xml:space="preserve">PL22188-09 304 STAINLESS GOOSENECK FAUCET </t>
    </r>
    <r>
      <rPr>
        <sz val="11"/>
        <color rgb="FF000000"/>
        <rFont val="Century Gothic"/>
        <family val="2"/>
      </rPr>
      <t>横式</t>
    </r>
    <r>
      <rPr>
        <b/>
        <sz val="11"/>
        <color rgb="FF000000"/>
        <rFont val="Century Gothic"/>
        <family val="2"/>
      </rPr>
      <t>-WALL TYPE</t>
    </r>
  </si>
  <si>
    <r>
      <rPr>
        <b/>
        <sz val="11"/>
        <color rgb="FF000000"/>
        <rFont val="Century Gothic"/>
        <family val="2"/>
      </rPr>
      <t xml:space="preserve">PL22188-51 STAINLESS GOOSENECK FAUCET MATTE BLACK
</t>
    </r>
    <r>
      <rPr>
        <sz val="11"/>
        <color rgb="FF000000"/>
        <rFont val="Century Gothic"/>
        <family val="2"/>
      </rPr>
      <t xml:space="preserve">立式 </t>
    </r>
    <r>
      <rPr>
        <b/>
        <sz val="11"/>
        <color rgb="FF000000"/>
        <rFont val="Century Gothic"/>
        <family val="2"/>
      </rPr>
      <t>SINK TYPE</t>
    </r>
  </si>
  <si>
    <r>
      <t xml:space="preserve">290/PC </t>
    </r>
    <r>
      <rPr>
        <b/>
        <sz val="11"/>
        <color rgb="FFFF0000"/>
        <rFont val="Century Gothic"/>
        <family val="2"/>
      </rPr>
      <t>ASSTD ORDER 5CTN</t>
    </r>
  </si>
  <si>
    <r>
      <rPr>
        <b/>
        <sz val="11"/>
        <color rgb="FF000000"/>
        <rFont val="Century Gothic"/>
        <family val="2"/>
      </rPr>
      <t xml:space="preserve">PL22188-52 STAINLESS GOOSENECK FAUCET MATTE BLACK
</t>
    </r>
    <r>
      <rPr>
        <sz val="11"/>
        <color rgb="FF000000"/>
        <rFont val="Century Gothic"/>
        <family val="2"/>
      </rPr>
      <t xml:space="preserve">立式 </t>
    </r>
    <r>
      <rPr>
        <b/>
        <sz val="11"/>
        <color rgb="FF000000"/>
        <rFont val="Century Gothic"/>
        <family val="2"/>
      </rPr>
      <t>SINK TYPE</t>
    </r>
  </si>
  <si>
    <r>
      <rPr>
        <b/>
        <sz val="11"/>
        <color rgb="FF000000"/>
        <rFont val="Century Gothic"/>
        <family val="2"/>
      </rPr>
      <t xml:space="preserve">PL22188-53 STAINLESS GOOSENECK FAUCET MATTE BLACK
</t>
    </r>
    <r>
      <rPr>
        <sz val="11"/>
        <color rgb="FF000000"/>
        <rFont val="Century Gothic"/>
        <family val="2"/>
      </rPr>
      <t xml:space="preserve">立式 </t>
    </r>
    <r>
      <rPr>
        <b/>
        <sz val="11"/>
        <color rgb="FF000000"/>
        <rFont val="Century Gothic"/>
        <family val="2"/>
      </rPr>
      <t>SINK TYPE</t>
    </r>
  </si>
  <si>
    <r>
      <t xml:space="preserve">335/PC </t>
    </r>
    <r>
      <rPr>
        <b/>
        <sz val="11"/>
        <color rgb="FFFF0000"/>
        <rFont val="Century Gothic"/>
        <family val="2"/>
      </rPr>
      <t>ASSTD ORDER 5CTN</t>
    </r>
  </si>
  <si>
    <r>
      <rPr>
        <b/>
        <sz val="11"/>
        <color rgb="FF000000"/>
        <rFont val="Century Gothic"/>
        <family val="2"/>
      </rPr>
      <t xml:space="preserve">PL22188-54 STAINLESS GOOSENECK FAUCET MATTE BLACK
</t>
    </r>
    <r>
      <rPr>
        <sz val="11"/>
        <color rgb="FF000000"/>
        <rFont val="Century Gothic"/>
        <family val="2"/>
      </rPr>
      <t xml:space="preserve">立式 </t>
    </r>
    <r>
      <rPr>
        <b/>
        <sz val="11"/>
        <color rgb="FF000000"/>
        <rFont val="Century Gothic"/>
        <family val="2"/>
      </rPr>
      <t>SINK TYPE</t>
    </r>
  </si>
  <si>
    <r>
      <t xml:space="preserve">350/PC </t>
    </r>
    <r>
      <rPr>
        <b/>
        <sz val="11"/>
        <color rgb="FFFF0000"/>
        <rFont val="Century Gothic"/>
        <family val="2"/>
      </rPr>
      <t>ASSTD ORDER 5CTN</t>
    </r>
  </si>
  <si>
    <r>
      <rPr>
        <b/>
        <sz val="11"/>
        <color rgb="FF000000"/>
        <rFont val="Century Gothic"/>
        <family val="2"/>
      </rPr>
      <t xml:space="preserve">PL22188-55 STAINLESS GOOSENECK FAUCET MATTE BLACK
</t>
    </r>
    <r>
      <rPr>
        <sz val="11"/>
        <color rgb="FF000000"/>
        <rFont val="Century Gothic"/>
        <family val="2"/>
      </rPr>
      <t>横式</t>
    </r>
    <r>
      <rPr>
        <b/>
        <sz val="11"/>
        <color rgb="FF000000"/>
        <rFont val="Century Gothic"/>
        <family val="2"/>
      </rPr>
      <t>-WALL TYPE</t>
    </r>
  </si>
  <si>
    <r>
      <rPr>
        <b/>
        <sz val="11"/>
        <color rgb="FF000000"/>
        <rFont val="Century Gothic"/>
        <family val="2"/>
      </rPr>
      <t xml:space="preserve">PL22188-56 STAINLESS GOOSENECK FAUCET MATTE BLACK
</t>
    </r>
    <r>
      <rPr>
        <sz val="11"/>
        <color rgb="FF000000"/>
        <rFont val="Century Gothic"/>
        <family val="2"/>
      </rPr>
      <t>横式</t>
    </r>
    <r>
      <rPr>
        <b/>
        <sz val="11"/>
        <color rgb="FF000000"/>
        <rFont val="Century Gothic"/>
        <family val="2"/>
      </rPr>
      <t>-WALL TYPE</t>
    </r>
  </si>
  <si>
    <r>
      <rPr>
        <b/>
        <sz val="11"/>
        <color rgb="FF000000"/>
        <rFont val="Century Gothic"/>
        <family val="2"/>
      </rPr>
      <t xml:space="preserve">PL22188-57 STAINLESS GOOSENECK FAUCET MATTE BLACK
</t>
    </r>
    <r>
      <rPr>
        <sz val="11"/>
        <color rgb="FF000000"/>
        <rFont val="Century Gothic"/>
        <family val="2"/>
      </rPr>
      <t>横式</t>
    </r>
    <r>
      <rPr>
        <b/>
        <sz val="11"/>
        <color rgb="FF000000"/>
        <rFont val="Century Gothic"/>
        <family val="2"/>
      </rPr>
      <t>-WALL TYPE</t>
    </r>
  </si>
  <si>
    <r>
      <rPr>
        <b/>
        <sz val="11"/>
        <color rgb="FF000000"/>
        <rFont val="Century Gothic"/>
        <family val="2"/>
      </rPr>
      <t xml:space="preserve">PL22188-58 STAINLESS GOOSENECK FAUCET MATTE BLACK
</t>
    </r>
    <r>
      <rPr>
        <sz val="11"/>
        <color rgb="FF000000"/>
        <rFont val="Century Gothic"/>
        <family val="2"/>
      </rPr>
      <t>横式</t>
    </r>
    <r>
      <rPr>
        <b/>
        <sz val="11"/>
        <color rgb="FF000000"/>
        <rFont val="Century Gothic"/>
        <family val="2"/>
      </rPr>
      <t>-WALL TYPE</t>
    </r>
  </si>
  <si>
    <r>
      <t xml:space="preserve">143/PC </t>
    </r>
    <r>
      <rPr>
        <b/>
        <sz val="11"/>
        <color rgb="FFFF0000"/>
        <rFont val="Century Gothic"/>
        <family val="2"/>
      </rPr>
      <t>ASSTD ORDER 5 CTNS</t>
    </r>
  </si>
  <si>
    <r>
      <t xml:space="preserve">153/PC </t>
    </r>
    <r>
      <rPr>
        <b/>
        <sz val="11"/>
        <color rgb="FFFF0000"/>
        <rFont val="Century Gothic"/>
        <family val="2"/>
      </rPr>
      <t>ASSTD ORDER 5 CTNS</t>
    </r>
  </si>
  <si>
    <r>
      <rPr>
        <b/>
        <sz val="11"/>
        <color rgb="FF000000"/>
        <rFont val="Century Gothic"/>
        <family val="2"/>
      </rPr>
      <t xml:space="preserve">PL22188-11 304 STAINLESS LAVATORY FAUCET </t>
    </r>
    <r>
      <rPr>
        <sz val="11"/>
        <color rgb="FF000000"/>
        <rFont val="Century Gothic"/>
        <family val="2"/>
      </rPr>
      <t>弯嘴</t>
    </r>
  </si>
  <si>
    <r>
      <t xml:space="preserve">220/PC </t>
    </r>
    <r>
      <rPr>
        <b/>
        <sz val="11"/>
        <color rgb="FFFF0000"/>
        <rFont val="Century Gothic"/>
        <family val="2"/>
      </rPr>
      <t>ASSTD ORDER 3 CTN</t>
    </r>
  </si>
  <si>
    <r>
      <rPr>
        <b/>
        <sz val="11"/>
        <color rgb="FF000000"/>
        <rFont val="Century Gothic"/>
        <family val="2"/>
      </rPr>
      <t xml:space="preserve">PL22188-12 304 STAINLESS LAVATORY FAUCET </t>
    </r>
    <r>
      <rPr>
        <sz val="11"/>
        <color rgb="FF000000"/>
        <rFont val="Century Gothic"/>
        <family val="2"/>
      </rPr>
      <t>直嘴</t>
    </r>
  </si>
  <si>
    <r>
      <t xml:space="preserve">235/PC </t>
    </r>
    <r>
      <rPr>
        <b/>
        <sz val="11"/>
        <color rgb="FFFF0000"/>
        <rFont val="Century Gothic"/>
        <family val="2"/>
      </rPr>
      <t>ASSTD ORDER 3 CTN</t>
    </r>
  </si>
  <si>
    <r>
      <rPr>
        <b/>
        <sz val="11"/>
        <color rgb="FF000000"/>
        <rFont val="Century Gothic"/>
        <family val="2"/>
      </rPr>
      <t xml:space="preserve">PL22188-60 STAINLESS LAVATORY FAUCET MATTE BLACK </t>
    </r>
    <r>
      <rPr>
        <sz val="11"/>
        <color rgb="FF000000"/>
        <rFont val="Century Gothic"/>
        <family val="2"/>
      </rPr>
      <t>弯嘴</t>
    </r>
  </si>
  <si>
    <r>
      <t xml:space="preserve">235/PC </t>
    </r>
    <r>
      <rPr>
        <b/>
        <sz val="11"/>
        <color rgb="FFFF0000"/>
        <rFont val="Century Gothic"/>
        <family val="2"/>
      </rPr>
      <t>ASSTD ORDER 2 CTN</t>
    </r>
  </si>
  <si>
    <r>
      <rPr>
        <b/>
        <sz val="11"/>
        <color rgb="FF000000"/>
        <rFont val="Century Gothic"/>
        <family val="2"/>
      </rPr>
      <t xml:space="preserve">PL22188-61 STAINLESS LAVATORY FAUCET MATTE BLACK </t>
    </r>
    <r>
      <rPr>
        <sz val="11"/>
        <color rgb="FF000000"/>
        <rFont val="Century Gothic"/>
        <family val="2"/>
      </rPr>
      <t>直嘴</t>
    </r>
  </si>
  <si>
    <r>
      <t xml:space="preserve">255/PC </t>
    </r>
    <r>
      <rPr>
        <b/>
        <sz val="11"/>
        <color rgb="FFFF0000"/>
        <rFont val="Century Gothic"/>
        <family val="2"/>
      </rPr>
      <t>ASSTD ORDER 2 CTN</t>
    </r>
  </si>
  <si>
    <r>
      <t xml:space="preserve">43/PC  </t>
    </r>
    <r>
      <rPr>
        <b/>
        <sz val="11"/>
        <color rgb="FFFF0000"/>
        <rFont val="Century Gothic"/>
        <family val="2"/>
      </rPr>
      <t>ASSTD ORDER 5CTN</t>
    </r>
  </si>
  <si>
    <r>
      <t xml:space="preserve">50/PC  </t>
    </r>
    <r>
      <rPr>
        <b/>
        <sz val="11"/>
        <color rgb="FFFF0000"/>
        <rFont val="Century Gothic"/>
        <family val="2"/>
      </rPr>
      <t>ASSTD ORDER 5CTN</t>
    </r>
  </si>
  <si>
    <r>
      <t xml:space="preserve">52/PC  </t>
    </r>
    <r>
      <rPr>
        <b/>
        <sz val="11"/>
        <color rgb="FFFF0000"/>
        <rFont val="Century Gothic"/>
        <family val="2"/>
      </rPr>
      <t>ASSTD ORDER 5CTN</t>
    </r>
  </si>
  <si>
    <r>
      <t xml:space="preserve">73/PC  </t>
    </r>
    <r>
      <rPr>
        <b/>
        <sz val="11"/>
        <color rgb="FFFF0000"/>
        <rFont val="Century Gothic"/>
        <family val="2"/>
      </rPr>
      <t>ASSTD ORDER 5CTN</t>
    </r>
  </si>
  <si>
    <r>
      <t xml:space="preserve">83/PC  </t>
    </r>
    <r>
      <rPr>
        <b/>
        <sz val="11"/>
        <color rgb="FFFF0000"/>
        <rFont val="Century Gothic"/>
        <family val="2"/>
      </rPr>
      <t>ASSTD ORDER 5CTN</t>
    </r>
  </si>
  <si>
    <r>
      <t xml:space="preserve">103/PC </t>
    </r>
    <r>
      <rPr>
        <b/>
        <sz val="11"/>
        <color rgb="FFFF0000"/>
        <rFont val="Century Gothic"/>
        <family val="2"/>
      </rPr>
      <t>ASSTD ORDER 5CTN</t>
    </r>
  </si>
  <si>
    <r>
      <rPr>
        <b/>
        <sz val="11"/>
        <color rgb="FF000000"/>
        <rFont val="Century Gothic"/>
        <family val="2"/>
      </rPr>
      <t xml:space="preserve">43/PC
</t>
    </r>
    <r>
      <rPr>
        <b/>
        <sz val="11"/>
        <color rgb="FFFF0000"/>
        <rFont val="Century Gothic"/>
        <family val="2"/>
      </rPr>
      <t>ASSTD ORDER 5 CTN</t>
    </r>
  </si>
  <si>
    <r>
      <rPr>
        <b/>
        <sz val="11"/>
        <color rgb="FF000000"/>
        <rFont val="Century Gothic"/>
        <family val="2"/>
      </rPr>
      <t xml:space="preserve">47/PC
</t>
    </r>
    <r>
      <rPr>
        <b/>
        <sz val="11"/>
        <color rgb="FFFF0000"/>
        <rFont val="Century Gothic"/>
        <family val="2"/>
      </rPr>
      <t>ASSTD ORDER 5 CTN</t>
    </r>
  </si>
  <si>
    <r>
      <rPr>
        <b/>
        <sz val="11"/>
        <color rgb="FF000000"/>
        <rFont val="Century Gothic"/>
        <family val="2"/>
      </rPr>
      <t xml:space="preserve">58/PC
</t>
    </r>
    <r>
      <rPr>
        <b/>
        <sz val="11"/>
        <color rgb="FFFF0000"/>
        <rFont val="Century Gothic"/>
        <family val="2"/>
      </rPr>
      <t>ASSTD ORDER 5 CTN</t>
    </r>
  </si>
  <si>
    <r>
      <t xml:space="preserve">68//PC </t>
    </r>
    <r>
      <rPr>
        <b/>
        <sz val="11"/>
        <color rgb="FFFF0000"/>
        <rFont val="Century Gothic"/>
        <family val="2"/>
      </rPr>
      <t>ASSTD ORDER 5 CTN</t>
    </r>
  </si>
  <si>
    <r>
      <rPr>
        <b/>
        <sz val="11"/>
        <color rgb="FF000000"/>
        <rFont val="Century Gothic"/>
        <family val="2"/>
      </rPr>
      <t xml:space="preserve">46/PC
</t>
    </r>
    <r>
      <rPr>
        <b/>
        <sz val="11"/>
        <color rgb="FFFF0000"/>
        <rFont val="Century Gothic"/>
        <family val="2"/>
      </rPr>
      <t>ASSTD ORDER 5 CTN</t>
    </r>
  </si>
  <si>
    <r>
      <rPr>
        <b/>
        <sz val="11"/>
        <color rgb="FF000000"/>
        <rFont val="Century Gothic"/>
        <family val="2"/>
      </rPr>
      <t xml:space="preserve">52/PC
</t>
    </r>
    <r>
      <rPr>
        <b/>
        <sz val="11"/>
        <color rgb="FFFF0000"/>
        <rFont val="Century Gothic"/>
        <family val="2"/>
      </rPr>
      <t>ASSTD ORDER 5 CTN</t>
    </r>
  </si>
  <si>
    <r>
      <rPr>
        <b/>
        <sz val="11"/>
        <color rgb="FF000000"/>
        <rFont val="Century Gothic"/>
        <family val="2"/>
      </rPr>
      <t xml:space="preserve">61/PC
</t>
    </r>
    <r>
      <rPr>
        <b/>
        <sz val="11"/>
        <color rgb="FFFF0000"/>
        <rFont val="Century Gothic"/>
        <family val="2"/>
      </rPr>
      <t>ASSTD ORDER 5 CTN</t>
    </r>
  </si>
  <si>
    <r>
      <rPr>
        <b/>
        <sz val="11"/>
        <color rgb="FF000000"/>
        <rFont val="Century Gothic"/>
        <family val="2"/>
      </rPr>
      <t xml:space="preserve">71/PC
</t>
    </r>
    <r>
      <rPr>
        <b/>
        <sz val="11"/>
        <color rgb="FFFF0000"/>
        <rFont val="Century Gothic"/>
        <family val="2"/>
      </rPr>
      <t>ASSTD ORDER 5 CTN</t>
    </r>
  </si>
  <si>
    <r>
      <t xml:space="preserve">136/PC </t>
    </r>
    <r>
      <rPr>
        <b/>
        <sz val="11"/>
        <color rgb="FFFF0000"/>
        <rFont val="Century Gothic"/>
        <family val="2"/>
      </rPr>
      <t>ASSTD ORDER 5 CTNS</t>
    </r>
  </si>
  <si>
    <r>
      <t xml:space="preserve">60/PC </t>
    </r>
    <r>
      <rPr>
        <b/>
        <sz val="11"/>
        <color rgb="FFFF0000"/>
        <rFont val="Century Gothic"/>
        <family val="2"/>
      </rPr>
      <t>ASSTD ORDER 5CTN</t>
    </r>
  </si>
  <si>
    <r>
      <t xml:space="preserve">68/PC </t>
    </r>
    <r>
      <rPr>
        <b/>
        <sz val="11"/>
        <color rgb="FFFF0000"/>
        <rFont val="Century Gothic"/>
        <family val="2"/>
      </rPr>
      <t>ASSTD ORDER 5CTN</t>
    </r>
  </si>
  <si>
    <r>
      <t xml:space="preserve">78/PC </t>
    </r>
    <r>
      <rPr>
        <b/>
        <sz val="11"/>
        <color rgb="FFFF0000"/>
        <rFont val="Century Gothic"/>
        <family val="2"/>
      </rPr>
      <t>ASSTD ORDER 5CTN</t>
    </r>
  </si>
  <si>
    <r>
      <rPr>
        <b/>
        <sz val="11"/>
        <color rgb="FF000000"/>
        <rFont val="Century Gothic"/>
        <family val="2"/>
      </rPr>
      <t xml:space="preserve">110/PC </t>
    </r>
    <r>
      <rPr>
        <b/>
        <sz val="11"/>
        <color rgb="FFFF0000"/>
        <rFont val="Century Gothic"/>
        <family val="2"/>
      </rPr>
      <t>ASSTD ORDER
5 CTN</t>
    </r>
  </si>
  <si>
    <r>
      <rPr>
        <b/>
        <sz val="11"/>
        <color rgb="FF000000"/>
        <rFont val="Century Gothic"/>
        <family val="2"/>
      </rPr>
      <t xml:space="preserve">125/PC
</t>
    </r>
    <r>
      <rPr>
        <b/>
        <sz val="11"/>
        <color rgb="FFFF0000"/>
        <rFont val="Century Gothic"/>
        <family val="2"/>
      </rPr>
      <t>ASSTD ORDER 5 CTN</t>
    </r>
  </si>
  <si>
    <r>
      <rPr>
        <b/>
        <sz val="11"/>
        <color rgb="FF000000"/>
        <rFont val="Century Gothic"/>
        <family val="2"/>
      </rPr>
      <t>PL22188-21 304 STAINLESS ANGLE VALVE
1/2"*1/2"*1/2"*1/2"</t>
    </r>
  </si>
  <si>
    <r>
      <rPr>
        <b/>
        <sz val="11"/>
        <color rgb="FF000000"/>
        <rFont val="Century Gothic"/>
        <family val="2"/>
      </rPr>
      <t xml:space="preserve">150/PC </t>
    </r>
    <r>
      <rPr>
        <b/>
        <sz val="11"/>
        <color rgb="FFFF0000"/>
        <rFont val="Century Gothic"/>
        <family val="2"/>
      </rPr>
      <t>ASSTD ORDER
5 CTN</t>
    </r>
  </si>
  <si>
    <r>
      <rPr>
        <b/>
        <sz val="11"/>
        <color rgb="FF000000"/>
        <rFont val="Century Gothic"/>
        <family val="2"/>
      </rPr>
      <t>PL22188-22 304 STAINLESS ANGLE VALVE
1/2"*1/2"*1/2"*1/2"*1/2"</t>
    </r>
  </si>
  <si>
    <r>
      <rPr>
        <b/>
        <sz val="11"/>
        <color rgb="FF000000"/>
        <rFont val="Century Gothic"/>
        <family val="2"/>
      </rPr>
      <t xml:space="preserve">165/PC </t>
    </r>
    <r>
      <rPr>
        <b/>
        <sz val="11"/>
        <color rgb="FFFF0000"/>
        <rFont val="Century Gothic"/>
        <family val="2"/>
      </rPr>
      <t>ASSTD ORDER
5 CTN</t>
    </r>
  </si>
  <si>
    <r>
      <rPr>
        <b/>
        <sz val="11"/>
        <color rgb="FF000000"/>
        <rFont val="Century Gothic"/>
        <family val="2"/>
      </rPr>
      <t>PL22188-67 STAINLESS ANGLE VALVE MATTE BLACK
1/2"*1/2"</t>
    </r>
  </si>
  <si>
    <r>
      <t xml:space="preserve">125/PC </t>
    </r>
    <r>
      <rPr>
        <b/>
        <sz val="11"/>
        <color rgb="FFFF0000"/>
        <rFont val="Century Gothic"/>
        <family val="2"/>
      </rPr>
      <t>ASSTD ORDER 5 CTN</t>
    </r>
  </si>
  <si>
    <r>
      <t xml:space="preserve">130/PC </t>
    </r>
    <r>
      <rPr>
        <b/>
        <sz val="11"/>
        <color rgb="FFFF0000"/>
        <rFont val="Century Gothic"/>
        <family val="2"/>
      </rPr>
      <t>ASSTD ORDER 5 CTN</t>
    </r>
  </si>
  <si>
    <r>
      <rPr>
        <b/>
        <sz val="11"/>
        <color rgb="FF000000"/>
        <rFont val="Century Gothic"/>
        <family val="2"/>
      </rPr>
      <t>PL22188-69 STAINLESS ANGLE VALVE MATTE BLACK
1/2"*1/2"*1/2"</t>
    </r>
  </si>
  <si>
    <r>
      <t xml:space="preserve">145/PC </t>
    </r>
    <r>
      <rPr>
        <b/>
        <sz val="11"/>
        <color rgb="FFFF0000"/>
        <rFont val="Century Gothic"/>
        <family val="2"/>
      </rPr>
      <t>ASSTD ORDER 5 CTN</t>
    </r>
  </si>
  <si>
    <r>
      <rPr>
        <b/>
        <sz val="11"/>
        <color rgb="FF000000"/>
        <rFont val="Century Gothic"/>
        <family val="2"/>
      </rPr>
      <t>PL22188-71 STAINLESS ANGLE VALVE MATTE BLACK
1/2"*1/2"*1/2"*1/2"</t>
    </r>
  </si>
  <si>
    <r>
      <rPr>
        <b/>
        <sz val="11"/>
        <color rgb="FF000000"/>
        <rFont val="Century Gothic"/>
        <family val="2"/>
      </rPr>
      <t>PL22188-72 STAINLESS ANGLE VALVE MATTE BLACK
1/2"*1/2"*1/2"*1/2"*1/2"</t>
    </r>
  </si>
  <si>
    <r>
      <t xml:space="preserve">160/PC </t>
    </r>
    <r>
      <rPr>
        <b/>
        <sz val="11"/>
        <color rgb="FFFF0000"/>
        <rFont val="Century Gothic"/>
        <family val="2"/>
      </rPr>
      <t>ASSTD ORDER 5 CTN</t>
    </r>
  </si>
  <si>
    <r>
      <rPr>
        <b/>
        <sz val="9"/>
        <color rgb="FF000000"/>
        <rFont val="Calibri"/>
        <family val="2"/>
      </rPr>
      <t xml:space="preserve">PL22188-64 STAINLESS SINK FAUCET MATTE BLACK
</t>
    </r>
    <r>
      <rPr>
        <b/>
        <sz val="9"/>
        <color rgb="FF000000"/>
        <rFont val="Calibri"/>
        <family val="2"/>
      </rPr>
      <t>1/2"*33mm</t>
    </r>
  </si>
  <si>
    <r>
      <rPr>
        <b/>
        <sz val="9"/>
        <color rgb="FF000000"/>
        <rFont val="Calibri"/>
        <family val="2"/>
      </rPr>
      <t xml:space="preserve">PL22188-65 STAINLESS SINK FAUCET MATTE BLACK
</t>
    </r>
    <r>
      <rPr>
        <b/>
        <sz val="9"/>
        <color rgb="FF000000"/>
        <rFont val="Calibri"/>
        <family val="2"/>
      </rPr>
      <t>1/2"*67mm</t>
    </r>
  </si>
  <si>
    <r>
      <rPr>
        <b/>
        <sz val="9"/>
        <color rgb="FF000000"/>
        <rFont val="Calibri"/>
        <family val="2"/>
      </rPr>
      <t xml:space="preserve">PL22188-66 STAINLESS SINK FAUCET MATTE BLACK
</t>
    </r>
    <r>
      <rPr>
        <b/>
        <sz val="9"/>
        <color rgb="FF000000"/>
        <rFont val="Calibri"/>
        <family val="2"/>
      </rPr>
      <t>1/2"*97mm</t>
    </r>
  </si>
  <si>
    <t>PL22188-13 304 STAINLESS SINK FAUCET 1/2"*38mm</t>
  </si>
  <si>
    <t>304 STAINLESS SINK FAUCET 1/2"*68mm</t>
  </si>
  <si>
    <r>
      <rPr>
        <b/>
        <sz val="11"/>
        <color rgb="FF000000"/>
        <rFont val="Century Gothic"/>
        <family val="2"/>
      </rPr>
      <t>PL22188-64 STAINLESS SINK FAUCET MATTE BLACK
1/2"*33mm</t>
    </r>
  </si>
  <si>
    <r>
      <rPr>
        <b/>
        <sz val="11"/>
        <color rgb="FF000000"/>
        <rFont val="Century Gothic"/>
        <family val="2"/>
      </rPr>
      <t>PL22188-65 STAINLESS SINK FAUCET MATTE BLACK
1/2"*67mm</t>
    </r>
  </si>
  <si>
    <r>
      <rPr>
        <b/>
        <sz val="11"/>
        <color rgb="FF000000"/>
        <rFont val="Century Gothic"/>
        <family val="2"/>
      </rPr>
      <t>PL22188-66 STAINLESS SINK FAUCET MATTE BLACK
1/2"*97mm</t>
    </r>
  </si>
  <si>
    <t>163/PC</t>
  </si>
  <si>
    <t>172/PC</t>
  </si>
  <si>
    <t>203/PC</t>
  </si>
  <si>
    <t>228/PC</t>
  </si>
  <si>
    <r>
      <t xml:space="preserve">137/PC </t>
    </r>
    <r>
      <rPr>
        <b/>
        <sz val="11"/>
        <color rgb="FFFF0000"/>
        <rFont val="Century Gothic"/>
        <family val="2"/>
      </rPr>
      <t>ASSTD ORDER 5 CTN</t>
    </r>
  </si>
  <si>
    <r>
      <t xml:space="preserve">147/PC </t>
    </r>
    <r>
      <rPr>
        <b/>
        <sz val="11"/>
        <color rgb="FFFF0000"/>
        <rFont val="Century Gothic"/>
        <family val="2"/>
      </rPr>
      <t>ASSTD ORDER 5 CTN</t>
    </r>
  </si>
  <si>
    <r>
      <t xml:space="preserve">155/PC </t>
    </r>
    <r>
      <rPr>
        <b/>
        <sz val="11"/>
        <color rgb="FFFF0000"/>
        <rFont val="Century Gothic"/>
        <family val="2"/>
      </rPr>
      <t>ASSTD ORDER 5 CTN</t>
    </r>
  </si>
  <si>
    <r>
      <t xml:space="preserve">183/PC </t>
    </r>
    <r>
      <rPr>
        <b/>
        <sz val="11"/>
        <color rgb="FFFF0000"/>
        <rFont val="Century Gothic"/>
        <family val="2"/>
      </rPr>
      <t>ASSTD ORDER 5 CTN</t>
    </r>
  </si>
  <si>
    <r>
      <t xml:space="preserve">205/PC </t>
    </r>
    <r>
      <rPr>
        <b/>
        <sz val="11"/>
        <color rgb="FFFF0000"/>
        <rFont val="Century Gothic"/>
        <family val="2"/>
      </rPr>
      <t>ASSTD ORDER 5 CTN</t>
    </r>
  </si>
  <si>
    <r>
      <rPr>
        <b/>
        <sz val="9"/>
        <color rgb="FF000000"/>
        <rFont val="Calibri"/>
        <family val="2"/>
      </rPr>
      <t xml:space="preserve">PL22188-62 STAINLESS SINK FAUCET MATTE BLACK
</t>
    </r>
    <r>
      <rPr>
        <b/>
        <sz val="9"/>
        <color rgb="FF000000"/>
        <rFont val="Calibri"/>
        <family val="2"/>
      </rPr>
      <t>1/2"*38mm</t>
    </r>
  </si>
  <si>
    <r>
      <rPr>
        <b/>
        <sz val="9"/>
        <color rgb="FF000000"/>
        <rFont val="Calibri"/>
        <family val="2"/>
      </rPr>
      <t xml:space="preserve">PL22188-63 STAINLESS SINK FAUCET MATTE BLACK
</t>
    </r>
    <r>
      <rPr>
        <b/>
        <sz val="9"/>
        <color rgb="FF000000"/>
        <rFont val="Calibri"/>
        <family val="2"/>
      </rPr>
      <t>1/2"*68mm</t>
    </r>
  </si>
  <si>
    <r>
      <rPr>
        <b/>
        <sz val="9"/>
        <color theme="1"/>
        <rFont val="Calibri"/>
        <family val="2"/>
      </rPr>
      <t>155/PC</t>
    </r>
  </si>
  <si>
    <r>
      <rPr>
        <b/>
        <sz val="9"/>
        <color theme="1"/>
        <rFont val="Calibri"/>
        <family val="2"/>
      </rPr>
      <t>165/PC</t>
    </r>
  </si>
  <si>
    <r>
      <rPr>
        <b/>
        <sz val="9"/>
        <color theme="1"/>
        <rFont val="Calibri"/>
        <family val="2"/>
      </rPr>
      <t>190/PC</t>
    </r>
  </si>
  <si>
    <r>
      <rPr>
        <b/>
        <sz val="9"/>
        <color theme="1"/>
        <rFont val="Calibri"/>
        <family val="2"/>
      </rPr>
      <t>205/PC</t>
    </r>
  </si>
  <si>
    <r>
      <rPr>
        <b/>
        <sz val="9"/>
        <color theme="1"/>
        <rFont val="Calibri"/>
        <family val="2"/>
      </rPr>
      <t>235/PC</t>
    </r>
  </si>
  <si>
    <r>
      <rPr>
        <b/>
        <sz val="9"/>
        <color theme="1"/>
        <rFont val="Calibri"/>
        <family val="2"/>
      </rPr>
      <t xml:space="preserve">145/PC </t>
    </r>
    <r>
      <rPr>
        <b/>
        <sz val="9"/>
        <color rgb="FFFF0000"/>
        <rFont val="Calibri"/>
        <family val="2"/>
      </rPr>
      <t>ASSTD ORDER 3 CTN</t>
    </r>
  </si>
  <si>
    <r>
      <rPr>
        <b/>
        <sz val="9"/>
        <color theme="1"/>
        <rFont val="Calibri"/>
        <family val="2"/>
      </rPr>
      <t xml:space="preserve">155/PC </t>
    </r>
    <r>
      <rPr>
        <b/>
        <sz val="9"/>
        <color rgb="FFFF0000"/>
        <rFont val="Calibri"/>
        <family val="2"/>
      </rPr>
      <t>ASSTD ORDER 3 CTN</t>
    </r>
  </si>
  <si>
    <r>
      <rPr>
        <b/>
        <sz val="9"/>
        <color theme="1"/>
        <rFont val="Calibri"/>
        <family val="2"/>
      </rPr>
      <t xml:space="preserve">175/PC </t>
    </r>
    <r>
      <rPr>
        <b/>
        <sz val="9"/>
        <color rgb="FFFF0000"/>
        <rFont val="Calibri"/>
        <family val="2"/>
      </rPr>
      <t>ASSTD ORDER 3 CTN</t>
    </r>
  </si>
  <si>
    <r>
      <rPr>
        <b/>
        <sz val="9"/>
        <color theme="1"/>
        <rFont val="Calibri"/>
        <family val="2"/>
      </rPr>
      <t xml:space="preserve">190/PC </t>
    </r>
    <r>
      <rPr>
        <b/>
        <sz val="9"/>
        <color rgb="FFFF0000"/>
        <rFont val="Calibri"/>
        <family val="2"/>
      </rPr>
      <t>ASSTD ORDER 3 CTN</t>
    </r>
  </si>
  <si>
    <r>
      <rPr>
        <b/>
        <sz val="9"/>
        <color theme="1"/>
        <rFont val="Calibri"/>
        <family val="2"/>
      </rPr>
      <t xml:space="preserve">220/PC </t>
    </r>
    <r>
      <rPr>
        <b/>
        <sz val="9"/>
        <color rgb="FFFF0000"/>
        <rFont val="Calibri"/>
        <family val="2"/>
      </rPr>
      <t>ASSTD ORDER 3 CTN</t>
    </r>
  </si>
  <si>
    <t>product_code</t>
  </si>
  <si>
    <t>supplier_product_code</t>
  </si>
  <si>
    <t>product_name</t>
  </si>
  <si>
    <t>serial_number</t>
  </si>
  <si>
    <t>model</t>
  </si>
  <si>
    <t>sales_price</t>
  </si>
  <si>
    <t>quantity</t>
  </si>
  <si>
    <t>remaining_stock</t>
  </si>
  <si>
    <t>AVT0000001</t>
  </si>
  <si>
    <r>
      <rPr>
        <b/>
        <sz val="10"/>
        <color rgb="FF212121"/>
        <rFont val="Calibri"/>
        <family val="2"/>
      </rPr>
      <t>PL22091-1 (LT22015-1) EXTRA THICK HOSE 1/4"*150M</t>
    </r>
  </si>
  <si>
    <r>
      <rPr>
        <b/>
        <sz val="10"/>
        <color rgb="FF212121"/>
        <rFont val="Calibri"/>
        <family val="2"/>
      </rPr>
      <t>PL22091-2 (LT22015-2) EXTRA THICK HOSE 5/16"*150M</t>
    </r>
  </si>
  <si>
    <r>
      <rPr>
        <b/>
        <sz val="10"/>
        <color rgb="FF212121"/>
        <rFont val="Calibri"/>
        <family val="2"/>
      </rPr>
      <t>PL22091-3 (LT22015-3) EXTRA THICK HOSE 3/8"*150M</t>
    </r>
  </si>
  <si>
    <r>
      <rPr>
        <b/>
        <sz val="10"/>
        <color rgb="FF212121"/>
        <rFont val="Calibri"/>
        <family val="2"/>
      </rPr>
      <t>PL22091-4 (LT22015-4) EXTRA THICK HOSE 1/2"*150M</t>
    </r>
  </si>
  <si>
    <t>EXTRA THICK HOSE</t>
  </si>
  <si>
    <t>PL22090-2 (LT22014-G2) GARDEN HOSE GREEN 5/8"*90M</t>
  </si>
  <si>
    <t>PL22090-3 (LT22014-G3)GARDEN HOSE GREEN 3/4"*60M</t>
  </si>
  <si>
    <t>PL22090-4 (LT22014-G4) GARDEN HOSE GREEN 1"*60M</t>
  </si>
  <si>
    <t>PL22090-5 (LT22014-R1)GARDEN HOSE RED 1/2"*90M</t>
  </si>
  <si>
    <t>PL22090-6 (LT22014-R2) GARDEN HOSE RED 5/8"*90M</t>
  </si>
  <si>
    <t>PL22090-7 (LT22014-R3)GARDEN HOSE RED 3/4"*60M</t>
  </si>
  <si>
    <t>PL22090-8 (LT22014-R4) GARDEN HOSE RED 1"*60M</t>
  </si>
  <si>
    <t>avt product name</t>
  </si>
  <si>
    <t>discount</t>
  </si>
  <si>
    <r>
      <rPr>
        <b/>
        <sz val="10"/>
        <rFont val="Calibri"/>
        <family val="1"/>
      </rPr>
      <t>PL22250-1 1/2" HOSE COUPLING</t>
    </r>
  </si>
  <si>
    <r>
      <rPr>
        <b/>
        <sz val="10"/>
        <rFont val="Calibri"/>
        <family val="1"/>
      </rPr>
      <t>PL22250-2 5/8" HOSE COUPLING</t>
    </r>
  </si>
  <si>
    <r>
      <rPr>
        <b/>
        <sz val="10"/>
        <rFont val="Calibri"/>
        <family val="1"/>
      </rPr>
      <t>PL22250-3 3/4" HOSE COUPLING</t>
    </r>
  </si>
  <si>
    <t>pc/ctn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</si>
</sst>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10"/>
      <color rgb="FF000000"/>
      <name val="Times New Roman"/>
      <family val="1"/>
    </font>
    <font>
      <b/>
      <sz val="9"/>
      <color rgb="FFFF0000"/>
      <name val="Calibri"/>
      <family val="2"/>
    </font>
    <font>
      <b/>
      <sz val="9"/>
      <color rgb="FF000000"/>
      <name val="Calibri"/>
      <family val="2"/>
    </font>
    <font>
      <b/>
      <sz val="9"/>
      <color theme="1"/>
      <name val="Calibri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rgb="FF000000"/>
      <name val="Century Gothic"/>
      <family val="2"/>
    </font>
    <font>
      <b/>
      <sz val="11"/>
      <color rgb="FF006FC0"/>
      <name val="Century Gothic"/>
      <family val="2"/>
    </font>
    <font>
      <b/>
      <sz val="11"/>
      <color rgb="FFFF0000"/>
      <name val="Century Gothic"/>
      <family val="2"/>
    </font>
    <font>
      <sz val="11"/>
      <color rgb="FF000000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1"/>
    </font>
    <font>
      <b/>
      <sz val="10"/>
      <name val="Calibri"/>
      <family val="1"/>
    </font>
    <font>
      <b/>
      <sz val="10"/>
      <name val="Calibri"/>
      <family val="2"/>
    </font>
    <font>
      <b/>
      <sz val="10"/>
      <color rgb="FF21212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49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5" fillId="0" borderId="2" xfId="0" applyFont="1" applyBorder="1" applyAlignment="1">
      <alignment vertical="top" wrapText="1"/>
    </xf>
    <xf numFmtId="0" fontId="1" fillId="0" borderId="0" xfId="0" applyFont="1"/>
    <xf numFmtId="0" fontId="8" fillId="0" borderId="2" xfId="0" applyFont="1" applyBorder="1" applyAlignment="1">
      <alignment vertical="top" wrapText="1"/>
    </xf>
    <xf numFmtId="0" fontId="9" fillId="0" borderId="1" xfId="0" applyFont="1" applyBorder="1" applyAlignment="1">
      <alignment horizontal="left"/>
    </xf>
    <xf numFmtId="0" fontId="9" fillId="0" borderId="0" xfId="0" applyFont="1"/>
    <xf numFmtId="0" fontId="10" fillId="0" borderId="2" xfId="0" applyFont="1" applyBorder="1" applyAlignment="1">
      <alignment vertical="center" wrapText="1"/>
    </xf>
    <xf numFmtId="0" fontId="10" fillId="0" borderId="2" xfId="0" applyFont="1" applyBorder="1" applyAlignment="1">
      <alignment vertical="top" wrapText="1"/>
    </xf>
    <xf numFmtId="0" fontId="14" fillId="0" borderId="2" xfId="0" applyFont="1" applyBorder="1" applyAlignment="1">
      <alignment vertical="top" wrapText="1"/>
    </xf>
    <xf numFmtId="0" fontId="9" fillId="0" borderId="1" xfId="0" applyFont="1" applyBorder="1"/>
    <xf numFmtId="0" fontId="10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center" wrapText="1"/>
    </xf>
    <xf numFmtId="0" fontId="9" fillId="0" borderId="1" xfId="0" applyFont="1" applyBorder="1" applyAlignment="1">
      <alignment wrapText="1"/>
    </xf>
    <xf numFmtId="0" fontId="11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top" wrapText="1"/>
    </xf>
    <xf numFmtId="0" fontId="14" fillId="0" borderId="1" xfId="0" applyFont="1" applyBorder="1" applyAlignment="1">
      <alignment vertical="top" wrapText="1"/>
    </xf>
    <xf numFmtId="0" fontId="15" fillId="0" borderId="1" xfId="0" applyFont="1" applyBorder="1" applyAlignment="1">
      <alignment horizontal="center" vertical="top"/>
    </xf>
    <xf numFmtId="0" fontId="17" fillId="0" borderId="1" xfId="0" applyFont="1" applyBorder="1" applyAlignment="1">
      <alignment horizontal="center" vertical="top"/>
    </xf>
    <xf numFmtId="0" fontId="18" fillId="0" borderId="3" xfId="0" applyFont="1" applyBorder="1" applyAlignment="1">
      <alignment horizontal="left" vertical="top" wrapText="1"/>
    </xf>
    <xf numFmtId="43" fontId="2" fillId="0" borderId="3" xfId="1" applyFont="1" applyBorder="1" applyAlignment="1">
      <alignment horizontal="center" vertical="top" wrapText="1"/>
    </xf>
    <xf numFmtId="0" fontId="20" fillId="0" borderId="3" xfId="0" applyFont="1" applyBorder="1" applyAlignment="1">
      <alignment horizontal="left" vertical="top" wrapText="1"/>
    </xf>
    <xf numFmtId="0" fontId="20" fillId="0" borderId="4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 wrapText="1"/>
    </xf>
    <xf numFmtId="43" fontId="20" fillId="0" borderId="3" xfId="1" applyFont="1" applyBorder="1" applyAlignment="1">
      <alignment horizontal="center" vertical="top" wrapText="1"/>
    </xf>
    <xf numFmtId="43" fontId="20" fillId="0" borderId="4" xfId="1" applyFont="1" applyBorder="1" applyAlignment="1">
      <alignment horizontal="center" vertical="top" wrapText="1"/>
    </xf>
    <xf numFmtId="43" fontId="20" fillId="0" borderId="1" xfId="1" applyFont="1" applyBorder="1" applyAlignment="1">
      <alignment horizontal="center" vertical="top" wrapText="1"/>
    </xf>
    <xf numFmtId="43" fontId="20" fillId="0" borderId="3" xfId="1" applyFont="1" applyBorder="1" applyAlignment="1">
      <alignment horizontal="center" vertical="center" wrapText="1"/>
    </xf>
    <xf numFmtId="43" fontId="20" fillId="0" borderId="4" xfId="1" applyFont="1" applyBorder="1" applyAlignment="1">
      <alignment horizontal="center" vertical="center" wrapText="1"/>
    </xf>
    <xf numFmtId="43" fontId="20" fillId="0" borderId="1" xfId="1" applyFont="1" applyBorder="1" applyAlignment="1">
      <alignment horizontal="center" vertical="center" wrapText="1"/>
    </xf>
    <xf numFmtId="0" fontId="19" fillId="0" borderId="3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1" xfId="0" applyFont="1" applyBorder="1" applyAlignment="1">
      <alignment horizontal="left" vertical="top" wrapText="1"/>
    </xf>
    <xf numFmtId="0" fontId="18" fillId="0" borderId="0" xfId="0" applyFont="1" applyBorder="1" applyAlignment="1">
      <alignment horizontal="left" vertical="top" wrapText="1"/>
    </xf>
    <xf numFmtId="0" fontId="20" fillId="0" borderId="3" xfId="0" applyFont="1" applyBorder="1" applyAlignment="1">
      <alignment horizontal="left" vertical="center" wrapText="1"/>
    </xf>
    <xf numFmtId="43" fontId="20" fillId="0" borderId="3" xfId="1" applyFont="1" applyFill="1" applyBorder="1" applyAlignment="1">
      <alignment horizontal="center" vertical="top" wrapText="1"/>
    </xf>
    <xf numFmtId="43" fontId="20" fillId="0" borderId="3" xfId="1" applyFont="1" applyFill="1" applyBorder="1" applyAlignment="1">
      <alignment horizontal="center" vertical="center" wrapText="1"/>
    </xf>
    <xf numFmtId="43" fontId="20" fillId="0" borderId="5" xfId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27510-E0DF-46B7-8133-82A8CA643171}">
  <dimension ref="A1:C334"/>
  <sheetViews>
    <sheetView topLeftCell="A303" workbookViewId="0">
      <selection activeCell="B327" sqref="B327"/>
    </sheetView>
  </sheetViews>
  <sheetFormatPr defaultRowHeight="14.4" x14ac:dyDescent="0.3"/>
  <cols>
    <col min="2" max="2" width="64.77734375" bestFit="1" customWidth="1"/>
    <col min="3" max="3" width="10.88671875" bestFit="1" customWidth="1"/>
  </cols>
  <sheetData>
    <row r="1" spans="1:3" x14ac:dyDescent="0.3">
      <c r="A1" s="13" t="s">
        <v>1</v>
      </c>
      <c r="B1" s="13" t="s">
        <v>2</v>
      </c>
      <c r="C1" s="13" t="s">
        <v>472</v>
      </c>
    </row>
    <row r="2" spans="1:3" x14ac:dyDescent="0.3">
      <c r="A2">
        <v>1</v>
      </c>
      <c r="B2" t="s">
        <v>4</v>
      </c>
      <c r="C2">
        <v>1</v>
      </c>
    </row>
    <row r="3" spans="1:3" x14ac:dyDescent="0.3">
      <c r="A3">
        <v>2</v>
      </c>
      <c r="B3" t="s">
        <v>5</v>
      </c>
      <c r="C3">
        <v>2</v>
      </c>
    </row>
    <row r="4" spans="1:3" x14ac:dyDescent="0.3">
      <c r="A4">
        <v>3</v>
      </c>
      <c r="B4" t="s">
        <v>6</v>
      </c>
      <c r="C4">
        <v>3</v>
      </c>
    </row>
    <row r="5" spans="1:3" x14ac:dyDescent="0.3">
      <c r="A5">
        <v>4</v>
      </c>
      <c r="B5" t="s">
        <v>7</v>
      </c>
      <c r="C5">
        <v>4</v>
      </c>
    </row>
    <row r="6" spans="1:3" x14ac:dyDescent="0.3">
      <c r="A6">
        <v>5</v>
      </c>
      <c r="B6" t="s">
        <v>8</v>
      </c>
      <c r="C6">
        <v>5</v>
      </c>
    </row>
    <row r="7" spans="1:3" x14ac:dyDescent="0.3">
      <c r="A7">
        <v>6</v>
      </c>
      <c r="B7" t="s">
        <v>9</v>
      </c>
      <c r="C7">
        <v>6</v>
      </c>
    </row>
    <row r="8" spans="1:3" x14ac:dyDescent="0.3">
      <c r="A8">
        <v>7</v>
      </c>
      <c r="B8" t="s">
        <v>10</v>
      </c>
      <c r="C8">
        <v>7</v>
      </c>
    </row>
    <row r="9" spans="1:3" x14ac:dyDescent="0.3">
      <c r="A9">
        <v>8</v>
      </c>
      <c r="B9" t="s">
        <v>11</v>
      </c>
      <c r="C9">
        <v>8</v>
      </c>
    </row>
    <row r="10" spans="1:3" x14ac:dyDescent="0.3">
      <c r="A10">
        <v>9</v>
      </c>
      <c r="B10" t="s">
        <v>12</v>
      </c>
      <c r="C10">
        <v>9</v>
      </c>
    </row>
    <row r="11" spans="1:3" x14ac:dyDescent="0.3">
      <c r="A11">
        <v>10</v>
      </c>
      <c r="B11" t="s">
        <v>13</v>
      </c>
      <c r="C11">
        <v>10</v>
      </c>
    </row>
    <row r="12" spans="1:3" x14ac:dyDescent="0.3">
      <c r="A12">
        <v>11</v>
      </c>
      <c r="B12" t="s">
        <v>14</v>
      </c>
      <c r="C12">
        <v>11</v>
      </c>
    </row>
    <row r="13" spans="1:3" x14ac:dyDescent="0.3">
      <c r="A13">
        <v>12</v>
      </c>
      <c r="B13" t="s">
        <v>15</v>
      </c>
      <c r="C13">
        <v>12</v>
      </c>
    </row>
    <row r="14" spans="1:3" x14ac:dyDescent="0.3">
      <c r="A14">
        <v>13</v>
      </c>
      <c r="B14" t="s">
        <v>16</v>
      </c>
      <c r="C14">
        <v>13</v>
      </c>
    </row>
    <row r="15" spans="1:3" x14ac:dyDescent="0.3">
      <c r="A15">
        <v>14</v>
      </c>
      <c r="B15" t="s">
        <v>17</v>
      </c>
      <c r="C15">
        <v>14</v>
      </c>
    </row>
    <row r="16" spans="1:3" x14ac:dyDescent="0.3">
      <c r="A16">
        <v>15</v>
      </c>
      <c r="B16" t="s">
        <v>18</v>
      </c>
      <c r="C16">
        <v>15</v>
      </c>
    </row>
    <row r="17" spans="1:3" x14ac:dyDescent="0.3">
      <c r="A17">
        <v>16</v>
      </c>
      <c r="B17" t="s">
        <v>19</v>
      </c>
      <c r="C17">
        <v>16</v>
      </c>
    </row>
    <row r="18" spans="1:3" x14ac:dyDescent="0.3">
      <c r="A18">
        <v>17</v>
      </c>
      <c r="B18" t="s">
        <v>20</v>
      </c>
      <c r="C18">
        <v>17</v>
      </c>
    </row>
    <row r="19" spans="1:3" x14ac:dyDescent="0.3">
      <c r="A19">
        <v>18</v>
      </c>
      <c r="B19" t="s">
        <v>21</v>
      </c>
      <c r="C19">
        <v>18</v>
      </c>
    </row>
    <row r="20" spans="1:3" x14ac:dyDescent="0.3">
      <c r="A20">
        <v>19</v>
      </c>
      <c r="B20" t="s">
        <v>22</v>
      </c>
      <c r="C20">
        <v>19</v>
      </c>
    </row>
    <row r="21" spans="1:3" x14ac:dyDescent="0.3">
      <c r="A21">
        <v>20</v>
      </c>
      <c r="B21" t="s">
        <v>23</v>
      </c>
      <c r="C21">
        <v>20</v>
      </c>
    </row>
    <row r="22" spans="1:3" x14ac:dyDescent="0.3">
      <c r="A22">
        <v>21</v>
      </c>
      <c r="B22" t="s">
        <v>24</v>
      </c>
      <c r="C22">
        <v>21</v>
      </c>
    </row>
    <row r="23" spans="1:3" x14ac:dyDescent="0.3">
      <c r="A23">
        <v>22</v>
      </c>
      <c r="B23" t="s">
        <v>25</v>
      </c>
      <c r="C23">
        <v>22</v>
      </c>
    </row>
    <row r="24" spans="1:3" x14ac:dyDescent="0.3">
      <c r="A24">
        <v>23</v>
      </c>
      <c r="B24" t="s">
        <v>26</v>
      </c>
      <c r="C24">
        <v>23</v>
      </c>
    </row>
    <row r="25" spans="1:3" x14ac:dyDescent="0.3">
      <c r="A25">
        <v>24</v>
      </c>
      <c r="B25" t="s">
        <v>27</v>
      </c>
      <c r="C25">
        <v>24</v>
      </c>
    </row>
    <row r="26" spans="1:3" x14ac:dyDescent="0.3">
      <c r="A26">
        <v>25</v>
      </c>
      <c r="B26" t="s">
        <v>28</v>
      </c>
      <c r="C26">
        <v>25</v>
      </c>
    </row>
    <row r="27" spans="1:3" x14ac:dyDescent="0.3">
      <c r="A27">
        <v>26</v>
      </c>
      <c r="B27" t="s">
        <v>29</v>
      </c>
      <c r="C27">
        <v>26</v>
      </c>
    </row>
    <row r="28" spans="1:3" x14ac:dyDescent="0.3">
      <c r="A28">
        <v>27</v>
      </c>
      <c r="B28" t="s">
        <v>30</v>
      </c>
      <c r="C28">
        <v>27</v>
      </c>
    </row>
    <row r="29" spans="1:3" x14ac:dyDescent="0.3">
      <c r="A29">
        <v>28</v>
      </c>
      <c r="B29" t="s">
        <v>31</v>
      </c>
      <c r="C29">
        <v>28</v>
      </c>
    </row>
    <row r="30" spans="1:3" x14ac:dyDescent="0.3">
      <c r="A30">
        <v>29</v>
      </c>
      <c r="B30" t="s">
        <v>32</v>
      </c>
      <c r="C30">
        <v>29</v>
      </c>
    </row>
    <row r="31" spans="1:3" x14ac:dyDescent="0.3">
      <c r="A31">
        <v>30</v>
      </c>
      <c r="B31" t="s">
        <v>33</v>
      </c>
      <c r="C31">
        <v>30</v>
      </c>
    </row>
    <row r="32" spans="1:3" x14ac:dyDescent="0.3">
      <c r="A32">
        <v>31</v>
      </c>
      <c r="B32" t="s">
        <v>34</v>
      </c>
      <c r="C32">
        <v>31</v>
      </c>
    </row>
    <row r="33" spans="1:3" x14ac:dyDescent="0.3">
      <c r="A33">
        <v>32</v>
      </c>
      <c r="B33" t="s">
        <v>35</v>
      </c>
      <c r="C33">
        <v>32</v>
      </c>
    </row>
    <row r="34" spans="1:3" x14ac:dyDescent="0.3">
      <c r="A34">
        <v>33</v>
      </c>
      <c r="B34" t="s">
        <v>36</v>
      </c>
      <c r="C34">
        <v>33</v>
      </c>
    </row>
    <row r="35" spans="1:3" x14ac:dyDescent="0.3">
      <c r="A35">
        <v>34</v>
      </c>
      <c r="B35" t="s">
        <v>37</v>
      </c>
      <c r="C35">
        <v>34</v>
      </c>
    </row>
    <row r="36" spans="1:3" x14ac:dyDescent="0.3">
      <c r="A36">
        <v>35</v>
      </c>
      <c r="B36" t="s">
        <v>38</v>
      </c>
      <c r="C36">
        <v>35</v>
      </c>
    </row>
    <row r="37" spans="1:3" x14ac:dyDescent="0.3">
      <c r="A37">
        <v>36</v>
      </c>
      <c r="B37" t="s">
        <v>39</v>
      </c>
      <c r="C37">
        <v>36</v>
      </c>
    </row>
    <row r="38" spans="1:3" x14ac:dyDescent="0.3">
      <c r="A38">
        <v>37</v>
      </c>
      <c r="B38" t="s">
        <v>40</v>
      </c>
      <c r="C38">
        <v>37</v>
      </c>
    </row>
    <row r="39" spans="1:3" x14ac:dyDescent="0.3">
      <c r="A39">
        <v>38</v>
      </c>
      <c r="B39" t="s">
        <v>41</v>
      </c>
      <c r="C39">
        <v>38</v>
      </c>
    </row>
    <row r="40" spans="1:3" x14ac:dyDescent="0.3">
      <c r="A40">
        <v>39</v>
      </c>
      <c r="B40" t="s">
        <v>42</v>
      </c>
      <c r="C40">
        <v>39</v>
      </c>
    </row>
    <row r="41" spans="1:3" x14ac:dyDescent="0.3">
      <c r="A41">
        <v>40</v>
      </c>
      <c r="B41" t="s">
        <v>43</v>
      </c>
      <c r="C41">
        <v>40</v>
      </c>
    </row>
    <row r="42" spans="1:3" x14ac:dyDescent="0.3">
      <c r="A42">
        <v>41</v>
      </c>
      <c r="B42" t="s">
        <v>44</v>
      </c>
      <c r="C42">
        <v>41</v>
      </c>
    </row>
    <row r="43" spans="1:3" x14ac:dyDescent="0.3">
      <c r="A43">
        <v>42</v>
      </c>
      <c r="B43" t="s">
        <v>45</v>
      </c>
      <c r="C43">
        <v>42</v>
      </c>
    </row>
    <row r="44" spans="1:3" x14ac:dyDescent="0.3">
      <c r="A44">
        <v>43</v>
      </c>
      <c r="B44" t="s">
        <v>46</v>
      </c>
      <c r="C44">
        <v>43</v>
      </c>
    </row>
    <row r="45" spans="1:3" x14ac:dyDescent="0.3">
      <c r="A45">
        <v>44</v>
      </c>
      <c r="B45" t="s">
        <v>47</v>
      </c>
      <c r="C45">
        <v>44</v>
      </c>
    </row>
    <row r="46" spans="1:3" x14ac:dyDescent="0.3">
      <c r="A46">
        <v>45</v>
      </c>
      <c r="B46" t="s">
        <v>48</v>
      </c>
      <c r="C46">
        <v>45</v>
      </c>
    </row>
    <row r="47" spans="1:3" x14ac:dyDescent="0.3">
      <c r="A47">
        <v>46</v>
      </c>
      <c r="B47" t="s">
        <v>49</v>
      </c>
      <c r="C47">
        <v>46</v>
      </c>
    </row>
    <row r="48" spans="1:3" x14ac:dyDescent="0.3">
      <c r="A48">
        <v>47</v>
      </c>
      <c r="B48" t="s">
        <v>50</v>
      </c>
      <c r="C48">
        <v>47</v>
      </c>
    </row>
    <row r="49" spans="1:3" x14ac:dyDescent="0.3">
      <c r="A49">
        <v>48</v>
      </c>
      <c r="B49" t="s">
        <v>51</v>
      </c>
      <c r="C49">
        <v>48</v>
      </c>
    </row>
    <row r="50" spans="1:3" x14ac:dyDescent="0.3">
      <c r="A50">
        <v>49</v>
      </c>
      <c r="B50" t="s">
        <v>52</v>
      </c>
      <c r="C50">
        <v>49</v>
      </c>
    </row>
    <row r="51" spans="1:3" x14ac:dyDescent="0.3">
      <c r="A51">
        <v>50</v>
      </c>
      <c r="B51" t="s">
        <v>53</v>
      </c>
      <c r="C51">
        <v>50</v>
      </c>
    </row>
    <row r="52" spans="1:3" x14ac:dyDescent="0.3">
      <c r="A52">
        <v>51</v>
      </c>
      <c r="B52" t="s">
        <v>54</v>
      </c>
      <c r="C52">
        <v>51</v>
      </c>
    </row>
    <row r="53" spans="1:3" x14ac:dyDescent="0.3">
      <c r="A53">
        <v>52</v>
      </c>
      <c r="B53" t="s">
        <v>55</v>
      </c>
      <c r="C53">
        <v>52</v>
      </c>
    </row>
    <row r="54" spans="1:3" x14ac:dyDescent="0.3">
      <c r="A54">
        <v>53</v>
      </c>
      <c r="B54" t="s">
        <v>56</v>
      </c>
      <c r="C54">
        <v>53</v>
      </c>
    </row>
    <row r="55" spans="1:3" x14ac:dyDescent="0.3">
      <c r="A55">
        <v>54</v>
      </c>
      <c r="B55" t="s">
        <v>57</v>
      </c>
      <c r="C55">
        <v>54</v>
      </c>
    </row>
    <row r="56" spans="1:3" x14ac:dyDescent="0.3">
      <c r="A56">
        <v>55</v>
      </c>
      <c r="B56" t="s">
        <v>58</v>
      </c>
      <c r="C56">
        <v>55</v>
      </c>
    </row>
    <row r="57" spans="1:3" x14ac:dyDescent="0.3">
      <c r="A57">
        <v>56</v>
      </c>
      <c r="B57" t="s">
        <v>59</v>
      </c>
      <c r="C57">
        <v>56</v>
      </c>
    </row>
    <row r="58" spans="1:3" x14ac:dyDescent="0.3">
      <c r="A58">
        <v>57</v>
      </c>
      <c r="B58" t="s">
        <v>60</v>
      </c>
      <c r="C58">
        <v>57</v>
      </c>
    </row>
    <row r="59" spans="1:3" x14ac:dyDescent="0.3">
      <c r="A59">
        <v>58</v>
      </c>
      <c r="B59" t="s">
        <v>61</v>
      </c>
      <c r="C59">
        <v>58</v>
      </c>
    </row>
    <row r="60" spans="1:3" x14ac:dyDescent="0.3">
      <c r="A60">
        <v>59</v>
      </c>
      <c r="B60" t="s">
        <v>62</v>
      </c>
      <c r="C60">
        <v>59</v>
      </c>
    </row>
    <row r="61" spans="1:3" x14ac:dyDescent="0.3">
      <c r="A61">
        <v>60</v>
      </c>
      <c r="B61" t="s">
        <v>63</v>
      </c>
      <c r="C61">
        <v>60</v>
      </c>
    </row>
    <row r="62" spans="1:3" x14ac:dyDescent="0.3">
      <c r="A62">
        <v>61</v>
      </c>
      <c r="B62" t="s">
        <v>64</v>
      </c>
      <c r="C62">
        <v>61</v>
      </c>
    </row>
    <row r="63" spans="1:3" x14ac:dyDescent="0.3">
      <c r="A63">
        <v>62</v>
      </c>
      <c r="B63" t="s">
        <v>65</v>
      </c>
      <c r="C63">
        <v>62</v>
      </c>
    </row>
    <row r="64" spans="1:3" x14ac:dyDescent="0.3">
      <c r="A64">
        <v>63</v>
      </c>
      <c r="B64" t="s">
        <v>66</v>
      </c>
      <c r="C64">
        <v>63</v>
      </c>
    </row>
    <row r="65" spans="1:3" x14ac:dyDescent="0.3">
      <c r="A65">
        <v>64</v>
      </c>
      <c r="B65" t="s">
        <v>67</v>
      </c>
      <c r="C65">
        <v>64</v>
      </c>
    </row>
    <row r="66" spans="1:3" x14ac:dyDescent="0.3">
      <c r="A66">
        <v>65</v>
      </c>
      <c r="B66" t="s">
        <v>68</v>
      </c>
      <c r="C66">
        <v>65</v>
      </c>
    </row>
    <row r="67" spans="1:3" x14ac:dyDescent="0.3">
      <c r="A67">
        <v>66</v>
      </c>
      <c r="B67" t="s">
        <v>69</v>
      </c>
      <c r="C67">
        <v>66</v>
      </c>
    </row>
    <row r="68" spans="1:3" x14ac:dyDescent="0.3">
      <c r="A68">
        <v>67</v>
      </c>
      <c r="B68" t="s">
        <v>70</v>
      </c>
      <c r="C68">
        <v>67</v>
      </c>
    </row>
    <row r="69" spans="1:3" x14ac:dyDescent="0.3">
      <c r="A69">
        <v>68</v>
      </c>
      <c r="B69" t="s">
        <v>71</v>
      </c>
      <c r="C69">
        <v>68</v>
      </c>
    </row>
    <row r="70" spans="1:3" x14ac:dyDescent="0.3">
      <c r="A70">
        <v>69</v>
      </c>
      <c r="B70" t="s">
        <v>72</v>
      </c>
      <c r="C70">
        <v>69</v>
      </c>
    </row>
    <row r="71" spans="1:3" x14ac:dyDescent="0.3">
      <c r="A71">
        <v>70</v>
      </c>
      <c r="B71" t="s">
        <v>73</v>
      </c>
      <c r="C71">
        <v>70</v>
      </c>
    </row>
    <row r="72" spans="1:3" x14ac:dyDescent="0.3">
      <c r="A72">
        <v>71</v>
      </c>
      <c r="B72" t="s">
        <v>74</v>
      </c>
      <c r="C72">
        <v>71</v>
      </c>
    </row>
    <row r="73" spans="1:3" x14ac:dyDescent="0.3">
      <c r="A73">
        <v>72</v>
      </c>
      <c r="B73" t="s">
        <v>75</v>
      </c>
      <c r="C73">
        <v>72</v>
      </c>
    </row>
    <row r="74" spans="1:3" x14ac:dyDescent="0.3">
      <c r="A74">
        <v>73</v>
      </c>
      <c r="B74" t="s">
        <v>76</v>
      </c>
      <c r="C74">
        <v>73</v>
      </c>
    </row>
    <row r="75" spans="1:3" x14ac:dyDescent="0.3">
      <c r="A75">
        <v>74</v>
      </c>
      <c r="B75" t="s">
        <v>77</v>
      </c>
      <c r="C75">
        <v>74</v>
      </c>
    </row>
    <row r="76" spans="1:3" x14ac:dyDescent="0.3">
      <c r="A76">
        <v>75</v>
      </c>
      <c r="B76" t="s">
        <v>78</v>
      </c>
      <c r="C76">
        <v>75</v>
      </c>
    </row>
    <row r="77" spans="1:3" x14ac:dyDescent="0.3">
      <c r="A77">
        <v>76</v>
      </c>
      <c r="B77" t="s">
        <v>79</v>
      </c>
      <c r="C77">
        <v>76</v>
      </c>
    </row>
    <row r="78" spans="1:3" x14ac:dyDescent="0.3">
      <c r="A78">
        <v>77</v>
      </c>
      <c r="B78" t="s">
        <v>80</v>
      </c>
      <c r="C78">
        <v>77</v>
      </c>
    </row>
    <row r="79" spans="1:3" x14ac:dyDescent="0.3">
      <c r="A79">
        <v>78</v>
      </c>
      <c r="B79" t="s">
        <v>81</v>
      </c>
      <c r="C79">
        <v>78</v>
      </c>
    </row>
    <row r="80" spans="1:3" x14ac:dyDescent="0.3">
      <c r="A80">
        <v>79</v>
      </c>
      <c r="B80" t="s">
        <v>82</v>
      </c>
      <c r="C80">
        <v>79</v>
      </c>
    </row>
    <row r="81" spans="1:3" x14ac:dyDescent="0.3">
      <c r="A81">
        <v>80</v>
      </c>
      <c r="B81" t="s">
        <v>83</v>
      </c>
      <c r="C81">
        <v>80</v>
      </c>
    </row>
    <row r="82" spans="1:3" x14ac:dyDescent="0.3">
      <c r="A82">
        <v>81</v>
      </c>
      <c r="B82" t="s">
        <v>84</v>
      </c>
      <c r="C82">
        <v>81</v>
      </c>
    </row>
    <row r="83" spans="1:3" x14ac:dyDescent="0.3">
      <c r="A83">
        <v>82</v>
      </c>
      <c r="B83" t="s">
        <v>85</v>
      </c>
      <c r="C83">
        <v>82</v>
      </c>
    </row>
    <row r="84" spans="1:3" x14ac:dyDescent="0.3">
      <c r="A84">
        <v>83</v>
      </c>
      <c r="B84" t="s">
        <v>86</v>
      </c>
      <c r="C84">
        <v>83</v>
      </c>
    </row>
    <row r="85" spans="1:3" x14ac:dyDescent="0.3">
      <c r="A85">
        <v>84</v>
      </c>
      <c r="B85" t="s">
        <v>87</v>
      </c>
      <c r="C85">
        <v>84</v>
      </c>
    </row>
    <row r="86" spans="1:3" x14ac:dyDescent="0.3">
      <c r="A86">
        <v>85</v>
      </c>
      <c r="B86" t="s">
        <v>88</v>
      </c>
      <c r="C86">
        <v>85</v>
      </c>
    </row>
    <row r="87" spans="1:3" x14ac:dyDescent="0.3">
      <c r="A87">
        <v>86</v>
      </c>
      <c r="B87" t="s">
        <v>89</v>
      </c>
      <c r="C87">
        <v>86</v>
      </c>
    </row>
    <row r="88" spans="1:3" x14ac:dyDescent="0.3">
      <c r="A88">
        <v>87</v>
      </c>
      <c r="B88" t="s">
        <v>90</v>
      </c>
      <c r="C88">
        <v>87</v>
      </c>
    </row>
    <row r="89" spans="1:3" x14ac:dyDescent="0.3">
      <c r="A89">
        <v>88</v>
      </c>
      <c r="B89" t="s">
        <v>91</v>
      </c>
      <c r="C89">
        <v>88</v>
      </c>
    </row>
    <row r="90" spans="1:3" x14ac:dyDescent="0.3">
      <c r="A90">
        <v>89</v>
      </c>
      <c r="B90" t="s">
        <v>92</v>
      </c>
      <c r="C90">
        <v>89</v>
      </c>
    </row>
    <row r="91" spans="1:3" x14ac:dyDescent="0.3">
      <c r="A91">
        <v>90</v>
      </c>
      <c r="B91" t="s">
        <v>93</v>
      </c>
      <c r="C91">
        <v>90</v>
      </c>
    </row>
    <row r="92" spans="1:3" x14ac:dyDescent="0.3">
      <c r="A92">
        <v>91</v>
      </c>
      <c r="B92" t="s">
        <v>94</v>
      </c>
      <c r="C92">
        <v>91</v>
      </c>
    </row>
    <row r="93" spans="1:3" x14ac:dyDescent="0.3">
      <c r="A93">
        <v>92</v>
      </c>
      <c r="B93" t="s">
        <v>95</v>
      </c>
      <c r="C93">
        <v>92</v>
      </c>
    </row>
    <row r="94" spans="1:3" x14ac:dyDescent="0.3">
      <c r="A94">
        <v>93</v>
      </c>
      <c r="B94" t="s">
        <v>96</v>
      </c>
      <c r="C94">
        <v>93</v>
      </c>
    </row>
    <row r="95" spans="1:3" x14ac:dyDescent="0.3">
      <c r="A95">
        <v>94</v>
      </c>
      <c r="B95" t="s">
        <v>97</v>
      </c>
      <c r="C95">
        <v>94</v>
      </c>
    </row>
    <row r="96" spans="1:3" x14ac:dyDescent="0.3">
      <c r="A96">
        <v>95</v>
      </c>
      <c r="B96" t="s">
        <v>98</v>
      </c>
      <c r="C96">
        <v>95</v>
      </c>
    </row>
    <row r="97" spans="1:3" x14ac:dyDescent="0.3">
      <c r="A97">
        <v>96</v>
      </c>
      <c r="B97" t="s">
        <v>99</v>
      </c>
      <c r="C97">
        <v>96</v>
      </c>
    </row>
    <row r="98" spans="1:3" x14ac:dyDescent="0.3">
      <c r="A98">
        <v>97</v>
      </c>
      <c r="B98" t="s">
        <v>100</v>
      </c>
      <c r="C98">
        <v>97</v>
      </c>
    </row>
    <row r="99" spans="1:3" x14ac:dyDescent="0.3">
      <c r="A99">
        <v>98</v>
      </c>
      <c r="B99" t="s">
        <v>101</v>
      </c>
      <c r="C99">
        <v>98</v>
      </c>
    </row>
    <row r="100" spans="1:3" x14ac:dyDescent="0.3">
      <c r="A100">
        <v>99</v>
      </c>
      <c r="B100" t="s">
        <v>102</v>
      </c>
      <c r="C100">
        <v>99</v>
      </c>
    </row>
    <row r="101" spans="1:3" x14ac:dyDescent="0.3">
      <c r="A101">
        <v>100</v>
      </c>
      <c r="B101" t="s">
        <v>103</v>
      </c>
      <c r="C101">
        <v>100</v>
      </c>
    </row>
    <row r="102" spans="1:3" x14ac:dyDescent="0.3">
      <c r="A102">
        <v>101</v>
      </c>
      <c r="B102" t="s">
        <v>104</v>
      </c>
      <c r="C102">
        <v>101</v>
      </c>
    </row>
    <row r="103" spans="1:3" x14ac:dyDescent="0.3">
      <c r="A103">
        <v>102</v>
      </c>
      <c r="B103" t="s">
        <v>105</v>
      </c>
      <c r="C103">
        <v>102</v>
      </c>
    </row>
    <row r="104" spans="1:3" x14ac:dyDescent="0.3">
      <c r="A104">
        <v>103</v>
      </c>
      <c r="B104" t="s">
        <v>106</v>
      </c>
      <c r="C104">
        <v>103</v>
      </c>
    </row>
    <row r="105" spans="1:3" x14ac:dyDescent="0.3">
      <c r="A105">
        <v>104</v>
      </c>
      <c r="B105" t="s">
        <v>107</v>
      </c>
      <c r="C105">
        <v>104</v>
      </c>
    </row>
    <row r="106" spans="1:3" x14ac:dyDescent="0.3">
      <c r="A106">
        <v>105</v>
      </c>
      <c r="B106" t="s">
        <v>108</v>
      </c>
      <c r="C106">
        <v>105</v>
      </c>
    </row>
    <row r="107" spans="1:3" x14ac:dyDescent="0.3">
      <c r="A107">
        <v>106</v>
      </c>
      <c r="B107" t="s">
        <v>109</v>
      </c>
      <c r="C107">
        <v>106</v>
      </c>
    </row>
    <row r="108" spans="1:3" x14ac:dyDescent="0.3">
      <c r="A108">
        <v>107</v>
      </c>
      <c r="B108" t="s">
        <v>110</v>
      </c>
      <c r="C108">
        <v>107</v>
      </c>
    </row>
    <row r="109" spans="1:3" x14ac:dyDescent="0.3">
      <c r="A109">
        <v>108</v>
      </c>
      <c r="B109" t="s">
        <v>111</v>
      </c>
      <c r="C109">
        <v>108</v>
      </c>
    </row>
    <row r="110" spans="1:3" x14ac:dyDescent="0.3">
      <c r="A110">
        <v>109</v>
      </c>
      <c r="B110" t="s">
        <v>112</v>
      </c>
      <c r="C110">
        <v>109</v>
      </c>
    </row>
    <row r="111" spans="1:3" x14ac:dyDescent="0.3">
      <c r="A111">
        <v>110</v>
      </c>
      <c r="B111" t="s">
        <v>113</v>
      </c>
      <c r="C111">
        <v>110</v>
      </c>
    </row>
    <row r="112" spans="1:3" x14ac:dyDescent="0.3">
      <c r="A112">
        <v>111</v>
      </c>
      <c r="B112" t="s">
        <v>114</v>
      </c>
      <c r="C112">
        <v>111</v>
      </c>
    </row>
    <row r="113" spans="1:3" x14ac:dyDescent="0.3">
      <c r="A113">
        <v>112</v>
      </c>
      <c r="B113" t="s">
        <v>115</v>
      </c>
      <c r="C113">
        <v>112</v>
      </c>
    </row>
    <row r="114" spans="1:3" x14ac:dyDescent="0.3">
      <c r="A114">
        <v>113</v>
      </c>
      <c r="B114" t="s">
        <v>116</v>
      </c>
      <c r="C114">
        <v>113</v>
      </c>
    </row>
    <row r="115" spans="1:3" x14ac:dyDescent="0.3">
      <c r="A115">
        <v>114</v>
      </c>
      <c r="B115" t="s">
        <v>117</v>
      </c>
      <c r="C115">
        <v>114</v>
      </c>
    </row>
    <row r="116" spans="1:3" x14ac:dyDescent="0.3">
      <c r="A116">
        <v>115</v>
      </c>
      <c r="B116" t="s">
        <v>118</v>
      </c>
      <c r="C116">
        <v>115</v>
      </c>
    </row>
    <row r="117" spans="1:3" x14ac:dyDescent="0.3">
      <c r="A117">
        <v>116</v>
      </c>
      <c r="B117" t="s">
        <v>119</v>
      </c>
      <c r="C117">
        <v>116</v>
      </c>
    </row>
    <row r="118" spans="1:3" x14ac:dyDescent="0.3">
      <c r="A118">
        <v>117</v>
      </c>
      <c r="B118" t="s">
        <v>120</v>
      </c>
      <c r="C118">
        <v>117</v>
      </c>
    </row>
    <row r="119" spans="1:3" x14ac:dyDescent="0.3">
      <c r="A119">
        <v>118</v>
      </c>
      <c r="B119" t="s">
        <v>121</v>
      </c>
      <c r="C119">
        <v>118</v>
      </c>
    </row>
    <row r="120" spans="1:3" x14ac:dyDescent="0.3">
      <c r="A120">
        <v>119</v>
      </c>
      <c r="B120" t="s">
        <v>122</v>
      </c>
      <c r="C120">
        <v>119</v>
      </c>
    </row>
    <row r="121" spans="1:3" x14ac:dyDescent="0.3">
      <c r="A121">
        <v>120</v>
      </c>
      <c r="B121" t="s">
        <v>123</v>
      </c>
      <c r="C121">
        <v>120</v>
      </c>
    </row>
    <row r="122" spans="1:3" x14ac:dyDescent="0.3">
      <c r="A122">
        <v>121</v>
      </c>
      <c r="B122" t="s">
        <v>124</v>
      </c>
      <c r="C122">
        <v>121</v>
      </c>
    </row>
    <row r="123" spans="1:3" x14ac:dyDescent="0.3">
      <c r="A123">
        <v>122</v>
      </c>
      <c r="B123" t="s">
        <v>125</v>
      </c>
      <c r="C123">
        <v>122</v>
      </c>
    </row>
    <row r="124" spans="1:3" x14ac:dyDescent="0.3">
      <c r="A124">
        <v>123</v>
      </c>
      <c r="B124" t="s">
        <v>126</v>
      </c>
      <c r="C124">
        <v>123</v>
      </c>
    </row>
    <row r="125" spans="1:3" x14ac:dyDescent="0.3">
      <c r="A125">
        <v>124</v>
      </c>
      <c r="B125" t="s">
        <v>127</v>
      </c>
      <c r="C125">
        <v>124</v>
      </c>
    </row>
    <row r="126" spans="1:3" x14ac:dyDescent="0.3">
      <c r="A126">
        <v>125</v>
      </c>
      <c r="B126" t="s">
        <v>128</v>
      </c>
      <c r="C126">
        <v>125</v>
      </c>
    </row>
    <row r="127" spans="1:3" x14ac:dyDescent="0.3">
      <c r="A127">
        <v>126</v>
      </c>
      <c r="B127" t="s">
        <v>129</v>
      </c>
      <c r="C127">
        <v>126</v>
      </c>
    </row>
    <row r="128" spans="1:3" x14ac:dyDescent="0.3">
      <c r="A128">
        <v>127</v>
      </c>
      <c r="B128" t="s">
        <v>130</v>
      </c>
      <c r="C128">
        <v>127</v>
      </c>
    </row>
    <row r="129" spans="1:3" x14ac:dyDescent="0.3">
      <c r="A129">
        <v>128</v>
      </c>
      <c r="B129" t="s">
        <v>131</v>
      </c>
      <c r="C129">
        <v>128</v>
      </c>
    </row>
    <row r="130" spans="1:3" x14ac:dyDescent="0.3">
      <c r="A130">
        <v>129</v>
      </c>
      <c r="B130" t="s">
        <v>132</v>
      </c>
      <c r="C130">
        <v>129</v>
      </c>
    </row>
    <row r="131" spans="1:3" x14ac:dyDescent="0.3">
      <c r="A131">
        <v>130</v>
      </c>
      <c r="B131" t="s">
        <v>133</v>
      </c>
      <c r="C131">
        <v>130</v>
      </c>
    </row>
    <row r="132" spans="1:3" x14ac:dyDescent="0.3">
      <c r="A132">
        <v>131</v>
      </c>
      <c r="B132" t="s">
        <v>134</v>
      </c>
      <c r="C132">
        <v>131</v>
      </c>
    </row>
    <row r="133" spans="1:3" x14ac:dyDescent="0.3">
      <c r="A133">
        <v>132</v>
      </c>
      <c r="B133" t="s">
        <v>135</v>
      </c>
      <c r="C133">
        <v>132</v>
      </c>
    </row>
    <row r="134" spans="1:3" x14ac:dyDescent="0.3">
      <c r="A134">
        <v>133</v>
      </c>
      <c r="B134" t="s">
        <v>136</v>
      </c>
      <c r="C134">
        <v>133</v>
      </c>
    </row>
    <row r="135" spans="1:3" x14ac:dyDescent="0.3">
      <c r="A135">
        <v>134</v>
      </c>
      <c r="B135" t="s">
        <v>137</v>
      </c>
      <c r="C135">
        <v>134</v>
      </c>
    </row>
    <row r="136" spans="1:3" x14ac:dyDescent="0.3">
      <c r="A136">
        <v>135</v>
      </c>
      <c r="B136" t="s">
        <v>138</v>
      </c>
      <c r="C136">
        <v>135</v>
      </c>
    </row>
    <row r="137" spans="1:3" x14ac:dyDescent="0.3">
      <c r="A137">
        <v>136</v>
      </c>
      <c r="B137" t="s">
        <v>139</v>
      </c>
      <c r="C137">
        <v>136</v>
      </c>
    </row>
    <row r="138" spans="1:3" x14ac:dyDescent="0.3">
      <c r="A138">
        <v>137</v>
      </c>
      <c r="B138" t="s">
        <v>140</v>
      </c>
      <c r="C138">
        <v>137</v>
      </c>
    </row>
    <row r="139" spans="1:3" x14ac:dyDescent="0.3">
      <c r="A139">
        <v>138</v>
      </c>
      <c r="B139" t="s">
        <v>141</v>
      </c>
      <c r="C139">
        <v>138</v>
      </c>
    </row>
    <row r="140" spans="1:3" x14ac:dyDescent="0.3">
      <c r="A140">
        <v>139</v>
      </c>
      <c r="B140" t="s">
        <v>142</v>
      </c>
      <c r="C140">
        <v>139</v>
      </c>
    </row>
    <row r="141" spans="1:3" x14ac:dyDescent="0.3">
      <c r="A141">
        <v>140</v>
      </c>
      <c r="B141" t="s">
        <v>143</v>
      </c>
      <c r="C141">
        <v>140</v>
      </c>
    </row>
    <row r="142" spans="1:3" x14ac:dyDescent="0.3">
      <c r="A142">
        <v>141</v>
      </c>
      <c r="B142" t="s">
        <v>144</v>
      </c>
      <c r="C142">
        <v>141</v>
      </c>
    </row>
    <row r="143" spans="1:3" x14ac:dyDescent="0.3">
      <c r="A143">
        <v>142</v>
      </c>
      <c r="B143" t="s">
        <v>145</v>
      </c>
      <c r="C143">
        <v>142</v>
      </c>
    </row>
    <row r="144" spans="1:3" x14ac:dyDescent="0.3">
      <c r="A144">
        <v>143</v>
      </c>
      <c r="B144" t="s">
        <v>146</v>
      </c>
      <c r="C144">
        <v>143</v>
      </c>
    </row>
    <row r="145" spans="1:3" x14ac:dyDescent="0.3">
      <c r="A145">
        <v>144</v>
      </c>
      <c r="B145" t="s">
        <v>147</v>
      </c>
      <c r="C145">
        <v>144</v>
      </c>
    </row>
    <row r="146" spans="1:3" x14ac:dyDescent="0.3">
      <c r="A146">
        <v>145</v>
      </c>
      <c r="B146" t="s">
        <v>148</v>
      </c>
      <c r="C146">
        <v>145</v>
      </c>
    </row>
    <row r="147" spans="1:3" x14ac:dyDescent="0.3">
      <c r="A147">
        <v>146</v>
      </c>
      <c r="B147" t="s">
        <v>149</v>
      </c>
      <c r="C147">
        <v>146</v>
      </c>
    </row>
    <row r="148" spans="1:3" x14ac:dyDescent="0.3">
      <c r="A148">
        <v>147</v>
      </c>
      <c r="B148" t="s">
        <v>150</v>
      </c>
      <c r="C148">
        <v>147</v>
      </c>
    </row>
    <row r="149" spans="1:3" x14ac:dyDescent="0.3">
      <c r="A149">
        <v>148</v>
      </c>
      <c r="B149" t="s">
        <v>151</v>
      </c>
      <c r="C149">
        <v>148</v>
      </c>
    </row>
    <row r="150" spans="1:3" x14ac:dyDescent="0.3">
      <c r="A150">
        <v>149</v>
      </c>
      <c r="B150" t="s">
        <v>152</v>
      </c>
      <c r="C150">
        <v>149</v>
      </c>
    </row>
    <row r="151" spans="1:3" x14ac:dyDescent="0.3">
      <c r="A151">
        <v>150</v>
      </c>
      <c r="B151" t="s">
        <v>153</v>
      </c>
      <c r="C151">
        <v>150</v>
      </c>
    </row>
    <row r="152" spans="1:3" x14ac:dyDescent="0.3">
      <c r="A152">
        <v>151</v>
      </c>
      <c r="B152" t="s">
        <v>154</v>
      </c>
      <c r="C152">
        <v>151</v>
      </c>
    </row>
    <row r="153" spans="1:3" x14ac:dyDescent="0.3">
      <c r="A153">
        <v>152</v>
      </c>
      <c r="B153" t="s">
        <v>155</v>
      </c>
      <c r="C153">
        <v>152</v>
      </c>
    </row>
    <row r="154" spans="1:3" x14ac:dyDescent="0.3">
      <c r="A154">
        <v>153</v>
      </c>
      <c r="B154" t="s">
        <v>156</v>
      </c>
      <c r="C154">
        <v>153</v>
      </c>
    </row>
    <row r="155" spans="1:3" x14ac:dyDescent="0.3">
      <c r="A155">
        <v>154</v>
      </c>
      <c r="B155" t="s">
        <v>157</v>
      </c>
      <c r="C155">
        <v>154</v>
      </c>
    </row>
    <row r="156" spans="1:3" x14ac:dyDescent="0.3">
      <c r="A156">
        <v>155</v>
      </c>
      <c r="B156" t="s">
        <v>158</v>
      </c>
      <c r="C156">
        <v>155</v>
      </c>
    </row>
    <row r="157" spans="1:3" x14ac:dyDescent="0.3">
      <c r="A157">
        <v>156</v>
      </c>
      <c r="B157" t="s">
        <v>159</v>
      </c>
      <c r="C157">
        <v>156</v>
      </c>
    </row>
    <row r="158" spans="1:3" x14ac:dyDescent="0.3">
      <c r="A158">
        <v>157</v>
      </c>
      <c r="B158" t="s">
        <v>160</v>
      </c>
      <c r="C158">
        <v>157</v>
      </c>
    </row>
    <row r="159" spans="1:3" x14ac:dyDescent="0.3">
      <c r="A159">
        <v>158</v>
      </c>
      <c r="B159" t="s">
        <v>161</v>
      </c>
      <c r="C159">
        <v>158</v>
      </c>
    </row>
    <row r="160" spans="1:3" x14ac:dyDescent="0.3">
      <c r="A160">
        <v>159</v>
      </c>
      <c r="B160" t="s">
        <v>162</v>
      </c>
      <c r="C160">
        <v>159</v>
      </c>
    </row>
    <row r="161" spans="1:3" x14ac:dyDescent="0.3">
      <c r="A161">
        <v>160</v>
      </c>
      <c r="B161" t="s">
        <v>163</v>
      </c>
      <c r="C161">
        <v>160</v>
      </c>
    </row>
    <row r="162" spans="1:3" x14ac:dyDescent="0.3">
      <c r="A162">
        <v>161</v>
      </c>
      <c r="B162" t="s">
        <v>164</v>
      </c>
      <c r="C162">
        <v>161</v>
      </c>
    </row>
    <row r="163" spans="1:3" x14ac:dyDescent="0.3">
      <c r="A163">
        <v>162</v>
      </c>
      <c r="B163" t="s">
        <v>165</v>
      </c>
      <c r="C163">
        <v>162</v>
      </c>
    </row>
    <row r="164" spans="1:3" x14ac:dyDescent="0.3">
      <c r="A164">
        <v>163</v>
      </c>
      <c r="B164" t="s">
        <v>166</v>
      </c>
      <c r="C164">
        <v>163</v>
      </c>
    </row>
    <row r="165" spans="1:3" x14ac:dyDescent="0.3">
      <c r="A165">
        <v>164</v>
      </c>
      <c r="B165" t="s">
        <v>167</v>
      </c>
      <c r="C165">
        <v>164</v>
      </c>
    </row>
    <row r="166" spans="1:3" x14ac:dyDescent="0.3">
      <c r="A166">
        <v>165</v>
      </c>
      <c r="B166" t="s">
        <v>168</v>
      </c>
      <c r="C166">
        <v>165</v>
      </c>
    </row>
    <row r="167" spans="1:3" x14ac:dyDescent="0.3">
      <c r="A167">
        <v>166</v>
      </c>
      <c r="B167" t="s">
        <v>169</v>
      </c>
      <c r="C167">
        <v>166</v>
      </c>
    </row>
    <row r="168" spans="1:3" x14ac:dyDescent="0.3">
      <c r="A168">
        <v>167</v>
      </c>
      <c r="B168" t="s">
        <v>170</v>
      </c>
      <c r="C168">
        <v>167</v>
      </c>
    </row>
    <row r="169" spans="1:3" x14ac:dyDescent="0.3">
      <c r="A169">
        <v>168</v>
      </c>
      <c r="B169" t="s">
        <v>171</v>
      </c>
      <c r="C169">
        <v>168</v>
      </c>
    </row>
    <row r="170" spans="1:3" x14ac:dyDescent="0.3">
      <c r="A170">
        <v>169</v>
      </c>
      <c r="B170" t="s">
        <v>172</v>
      </c>
      <c r="C170">
        <v>169</v>
      </c>
    </row>
    <row r="171" spans="1:3" x14ac:dyDescent="0.3">
      <c r="A171">
        <v>170</v>
      </c>
      <c r="B171" t="s">
        <v>173</v>
      </c>
      <c r="C171">
        <v>170</v>
      </c>
    </row>
    <row r="172" spans="1:3" x14ac:dyDescent="0.3">
      <c r="A172">
        <v>171</v>
      </c>
      <c r="B172" t="s">
        <v>174</v>
      </c>
      <c r="C172">
        <v>171</v>
      </c>
    </row>
    <row r="173" spans="1:3" x14ac:dyDescent="0.3">
      <c r="A173">
        <v>172</v>
      </c>
      <c r="B173" t="s">
        <v>175</v>
      </c>
      <c r="C173">
        <v>172</v>
      </c>
    </row>
    <row r="174" spans="1:3" x14ac:dyDescent="0.3">
      <c r="A174">
        <v>173</v>
      </c>
      <c r="B174" t="s">
        <v>176</v>
      </c>
      <c r="C174">
        <v>173</v>
      </c>
    </row>
    <row r="175" spans="1:3" x14ac:dyDescent="0.3">
      <c r="A175">
        <v>174</v>
      </c>
      <c r="B175" t="s">
        <v>177</v>
      </c>
      <c r="C175">
        <v>174</v>
      </c>
    </row>
    <row r="176" spans="1:3" x14ac:dyDescent="0.3">
      <c r="A176">
        <v>175</v>
      </c>
      <c r="B176" t="s">
        <v>178</v>
      </c>
      <c r="C176">
        <v>175</v>
      </c>
    </row>
    <row r="177" spans="1:3" x14ac:dyDescent="0.3">
      <c r="A177">
        <v>176</v>
      </c>
      <c r="B177" t="s">
        <v>179</v>
      </c>
      <c r="C177">
        <v>176</v>
      </c>
    </row>
    <row r="178" spans="1:3" x14ac:dyDescent="0.3">
      <c r="A178">
        <v>177</v>
      </c>
      <c r="B178" t="s">
        <v>180</v>
      </c>
      <c r="C178">
        <v>177</v>
      </c>
    </row>
    <row r="179" spans="1:3" x14ac:dyDescent="0.3">
      <c r="A179">
        <v>178</v>
      </c>
      <c r="B179" t="s">
        <v>181</v>
      </c>
      <c r="C179">
        <v>178</v>
      </c>
    </row>
    <row r="180" spans="1:3" x14ac:dyDescent="0.3">
      <c r="A180">
        <v>179</v>
      </c>
      <c r="B180" t="s">
        <v>182</v>
      </c>
      <c r="C180">
        <v>179</v>
      </c>
    </row>
    <row r="181" spans="1:3" x14ac:dyDescent="0.3">
      <c r="A181">
        <v>180</v>
      </c>
      <c r="B181" t="s">
        <v>183</v>
      </c>
      <c r="C181">
        <v>180</v>
      </c>
    </row>
    <row r="182" spans="1:3" x14ac:dyDescent="0.3">
      <c r="A182">
        <v>181</v>
      </c>
      <c r="B182" t="s">
        <v>184</v>
      </c>
      <c r="C182">
        <v>181</v>
      </c>
    </row>
    <row r="183" spans="1:3" x14ac:dyDescent="0.3">
      <c r="A183">
        <v>182</v>
      </c>
      <c r="B183" t="s">
        <v>185</v>
      </c>
      <c r="C183">
        <v>182</v>
      </c>
    </row>
    <row r="184" spans="1:3" x14ac:dyDescent="0.3">
      <c r="A184">
        <v>183</v>
      </c>
      <c r="B184" t="s">
        <v>186</v>
      </c>
      <c r="C184">
        <v>183</v>
      </c>
    </row>
    <row r="185" spans="1:3" x14ac:dyDescent="0.3">
      <c r="A185">
        <v>184</v>
      </c>
      <c r="B185" t="s">
        <v>187</v>
      </c>
      <c r="C185">
        <v>184</v>
      </c>
    </row>
    <row r="186" spans="1:3" x14ac:dyDescent="0.3">
      <c r="A186">
        <v>185</v>
      </c>
      <c r="B186" t="s">
        <v>188</v>
      </c>
      <c r="C186">
        <v>185</v>
      </c>
    </row>
    <row r="187" spans="1:3" x14ac:dyDescent="0.3">
      <c r="A187">
        <v>186</v>
      </c>
      <c r="B187" t="s">
        <v>189</v>
      </c>
      <c r="C187">
        <v>186</v>
      </c>
    </row>
    <row r="188" spans="1:3" x14ac:dyDescent="0.3">
      <c r="A188">
        <v>187</v>
      </c>
      <c r="B188" t="s">
        <v>190</v>
      </c>
      <c r="C188">
        <v>187</v>
      </c>
    </row>
    <row r="189" spans="1:3" x14ac:dyDescent="0.3">
      <c r="A189">
        <v>188</v>
      </c>
      <c r="B189" t="s">
        <v>191</v>
      </c>
      <c r="C189">
        <v>188</v>
      </c>
    </row>
    <row r="190" spans="1:3" x14ac:dyDescent="0.3">
      <c r="A190">
        <v>189</v>
      </c>
      <c r="B190" t="s">
        <v>192</v>
      </c>
      <c r="C190">
        <v>189</v>
      </c>
    </row>
    <row r="191" spans="1:3" x14ac:dyDescent="0.3">
      <c r="A191">
        <v>190</v>
      </c>
      <c r="B191" t="s">
        <v>193</v>
      </c>
      <c r="C191">
        <v>190</v>
      </c>
    </row>
    <row r="192" spans="1:3" x14ac:dyDescent="0.3">
      <c r="A192">
        <v>191</v>
      </c>
      <c r="B192" t="s">
        <v>194</v>
      </c>
      <c r="C192">
        <v>191</v>
      </c>
    </row>
    <row r="193" spans="1:3" x14ac:dyDescent="0.3">
      <c r="A193">
        <v>192</v>
      </c>
      <c r="B193" t="s">
        <v>195</v>
      </c>
      <c r="C193">
        <v>192</v>
      </c>
    </row>
    <row r="194" spans="1:3" x14ac:dyDescent="0.3">
      <c r="A194">
        <v>193</v>
      </c>
      <c r="B194" t="s">
        <v>196</v>
      </c>
      <c r="C194">
        <v>193</v>
      </c>
    </row>
    <row r="195" spans="1:3" x14ac:dyDescent="0.3">
      <c r="A195">
        <v>194</v>
      </c>
      <c r="B195" t="s">
        <v>197</v>
      </c>
      <c r="C195">
        <v>194</v>
      </c>
    </row>
    <row r="196" spans="1:3" x14ac:dyDescent="0.3">
      <c r="A196">
        <v>195</v>
      </c>
      <c r="B196" t="s">
        <v>198</v>
      </c>
      <c r="C196">
        <v>195</v>
      </c>
    </row>
    <row r="197" spans="1:3" x14ac:dyDescent="0.3">
      <c r="A197">
        <v>196</v>
      </c>
      <c r="B197" t="s">
        <v>199</v>
      </c>
      <c r="C197">
        <v>196</v>
      </c>
    </row>
    <row r="198" spans="1:3" x14ac:dyDescent="0.3">
      <c r="A198">
        <v>197</v>
      </c>
      <c r="B198" t="s">
        <v>200</v>
      </c>
      <c r="C198">
        <v>197</v>
      </c>
    </row>
    <row r="199" spans="1:3" x14ac:dyDescent="0.3">
      <c r="A199">
        <v>198</v>
      </c>
      <c r="B199" t="s">
        <v>201</v>
      </c>
      <c r="C199">
        <v>198</v>
      </c>
    </row>
    <row r="200" spans="1:3" x14ac:dyDescent="0.3">
      <c r="A200">
        <v>199</v>
      </c>
      <c r="B200" t="s">
        <v>202</v>
      </c>
      <c r="C200">
        <v>199</v>
      </c>
    </row>
    <row r="201" spans="1:3" x14ac:dyDescent="0.3">
      <c r="A201">
        <v>200</v>
      </c>
      <c r="B201" t="s">
        <v>203</v>
      </c>
      <c r="C201">
        <v>200</v>
      </c>
    </row>
    <row r="202" spans="1:3" x14ac:dyDescent="0.3">
      <c r="A202">
        <v>201</v>
      </c>
      <c r="B202" t="s">
        <v>204</v>
      </c>
      <c r="C202">
        <v>201</v>
      </c>
    </row>
    <row r="203" spans="1:3" x14ac:dyDescent="0.3">
      <c r="A203">
        <v>202</v>
      </c>
      <c r="B203" t="s">
        <v>205</v>
      </c>
      <c r="C203">
        <v>202</v>
      </c>
    </row>
    <row r="204" spans="1:3" x14ac:dyDescent="0.3">
      <c r="A204">
        <v>203</v>
      </c>
      <c r="B204" t="s">
        <v>206</v>
      </c>
      <c r="C204">
        <v>203</v>
      </c>
    </row>
    <row r="205" spans="1:3" x14ac:dyDescent="0.3">
      <c r="A205">
        <v>204</v>
      </c>
      <c r="B205" t="s">
        <v>207</v>
      </c>
      <c r="C205">
        <v>204</v>
      </c>
    </row>
    <row r="206" spans="1:3" x14ac:dyDescent="0.3">
      <c r="A206">
        <v>205</v>
      </c>
      <c r="B206" t="s">
        <v>208</v>
      </c>
      <c r="C206">
        <v>205</v>
      </c>
    </row>
    <row r="207" spans="1:3" x14ac:dyDescent="0.3">
      <c r="A207">
        <v>206</v>
      </c>
      <c r="B207" t="s">
        <v>209</v>
      </c>
      <c r="C207">
        <v>206</v>
      </c>
    </row>
    <row r="208" spans="1:3" x14ac:dyDescent="0.3">
      <c r="A208">
        <v>207</v>
      </c>
      <c r="B208" t="s">
        <v>210</v>
      </c>
      <c r="C208">
        <v>207</v>
      </c>
    </row>
    <row r="209" spans="1:3" x14ac:dyDescent="0.3">
      <c r="A209">
        <v>208</v>
      </c>
      <c r="B209" t="s">
        <v>211</v>
      </c>
      <c r="C209">
        <v>208</v>
      </c>
    </row>
    <row r="210" spans="1:3" x14ac:dyDescent="0.3">
      <c r="A210">
        <v>209</v>
      </c>
      <c r="B210" t="s">
        <v>212</v>
      </c>
      <c r="C210">
        <v>209</v>
      </c>
    </row>
    <row r="211" spans="1:3" x14ac:dyDescent="0.3">
      <c r="A211">
        <v>210</v>
      </c>
      <c r="B211" t="s">
        <v>213</v>
      </c>
      <c r="C211">
        <v>210</v>
      </c>
    </row>
    <row r="212" spans="1:3" x14ac:dyDescent="0.3">
      <c r="A212">
        <v>211</v>
      </c>
      <c r="B212" t="s">
        <v>214</v>
      </c>
      <c r="C212">
        <v>211</v>
      </c>
    </row>
    <row r="213" spans="1:3" x14ac:dyDescent="0.3">
      <c r="A213">
        <v>212</v>
      </c>
      <c r="B213" t="s">
        <v>215</v>
      </c>
      <c r="C213">
        <v>212</v>
      </c>
    </row>
    <row r="214" spans="1:3" x14ac:dyDescent="0.3">
      <c r="A214">
        <v>213</v>
      </c>
      <c r="B214" t="s">
        <v>216</v>
      </c>
      <c r="C214">
        <v>213</v>
      </c>
    </row>
    <row r="215" spans="1:3" x14ac:dyDescent="0.3">
      <c r="A215">
        <v>214</v>
      </c>
      <c r="B215" t="s">
        <v>217</v>
      </c>
      <c r="C215">
        <v>214</v>
      </c>
    </row>
    <row r="216" spans="1:3" x14ac:dyDescent="0.3">
      <c r="A216">
        <v>215</v>
      </c>
      <c r="B216" t="s">
        <v>218</v>
      </c>
      <c r="C216">
        <v>215</v>
      </c>
    </row>
    <row r="217" spans="1:3" x14ac:dyDescent="0.3">
      <c r="A217">
        <v>216</v>
      </c>
      <c r="B217" t="s">
        <v>219</v>
      </c>
      <c r="C217">
        <v>216</v>
      </c>
    </row>
    <row r="218" spans="1:3" x14ac:dyDescent="0.3">
      <c r="A218">
        <v>217</v>
      </c>
      <c r="B218" t="s">
        <v>220</v>
      </c>
      <c r="C218">
        <v>217</v>
      </c>
    </row>
    <row r="219" spans="1:3" x14ac:dyDescent="0.3">
      <c r="A219">
        <v>218</v>
      </c>
      <c r="B219" t="s">
        <v>221</v>
      </c>
      <c r="C219">
        <v>218</v>
      </c>
    </row>
    <row r="220" spans="1:3" x14ac:dyDescent="0.3">
      <c r="A220">
        <v>219</v>
      </c>
      <c r="B220" t="s">
        <v>222</v>
      </c>
      <c r="C220">
        <v>219</v>
      </c>
    </row>
    <row r="221" spans="1:3" x14ac:dyDescent="0.3">
      <c r="A221">
        <v>220</v>
      </c>
      <c r="B221" t="s">
        <v>223</v>
      </c>
      <c r="C221">
        <v>220</v>
      </c>
    </row>
    <row r="222" spans="1:3" x14ac:dyDescent="0.3">
      <c r="A222">
        <v>221</v>
      </c>
      <c r="B222" t="s">
        <v>224</v>
      </c>
      <c r="C222">
        <v>221</v>
      </c>
    </row>
    <row r="223" spans="1:3" x14ac:dyDescent="0.3">
      <c r="A223">
        <v>222</v>
      </c>
      <c r="B223" t="s">
        <v>225</v>
      </c>
      <c r="C223">
        <v>222</v>
      </c>
    </row>
    <row r="224" spans="1:3" x14ac:dyDescent="0.3">
      <c r="A224">
        <v>223</v>
      </c>
      <c r="B224" t="s">
        <v>226</v>
      </c>
      <c r="C224">
        <v>223</v>
      </c>
    </row>
    <row r="225" spans="1:3" x14ac:dyDescent="0.3">
      <c r="A225">
        <v>224</v>
      </c>
      <c r="B225" t="s">
        <v>227</v>
      </c>
      <c r="C225">
        <v>224</v>
      </c>
    </row>
    <row r="226" spans="1:3" x14ac:dyDescent="0.3">
      <c r="A226">
        <v>225</v>
      </c>
      <c r="B226" t="s">
        <v>228</v>
      </c>
      <c r="C226">
        <v>225</v>
      </c>
    </row>
    <row r="227" spans="1:3" x14ac:dyDescent="0.3">
      <c r="A227">
        <v>226</v>
      </c>
      <c r="B227" t="s">
        <v>229</v>
      </c>
      <c r="C227">
        <v>226</v>
      </c>
    </row>
    <row r="228" spans="1:3" x14ac:dyDescent="0.3">
      <c r="A228">
        <v>227</v>
      </c>
      <c r="B228" t="s">
        <v>230</v>
      </c>
      <c r="C228">
        <v>227</v>
      </c>
    </row>
    <row r="229" spans="1:3" x14ac:dyDescent="0.3">
      <c r="A229">
        <v>228</v>
      </c>
      <c r="B229" t="s">
        <v>231</v>
      </c>
      <c r="C229">
        <v>228</v>
      </c>
    </row>
    <row r="230" spans="1:3" x14ac:dyDescent="0.3">
      <c r="A230">
        <v>229</v>
      </c>
      <c r="B230" t="s">
        <v>232</v>
      </c>
      <c r="C230">
        <v>229</v>
      </c>
    </row>
    <row r="231" spans="1:3" x14ac:dyDescent="0.3">
      <c r="A231">
        <v>230</v>
      </c>
      <c r="B231" t="s">
        <v>233</v>
      </c>
      <c r="C231">
        <v>230</v>
      </c>
    </row>
    <row r="232" spans="1:3" x14ac:dyDescent="0.3">
      <c r="A232">
        <v>231</v>
      </c>
      <c r="B232" t="s">
        <v>234</v>
      </c>
      <c r="C232">
        <v>231</v>
      </c>
    </row>
    <row r="233" spans="1:3" x14ac:dyDescent="0.3">
      <c r="A233">
        <v>232</v>
      </c>
      <c r="B233" t="s">
        <v>235</v>
      </c>
      <c r="C233">
        <v>232</v>
      </c>
    </row>
    <row r="234" spans="1:3" x14ac:dyDescent="0.3">
      <c r="A234">
        <v>233</v>
      </c>
      <c r="B234" t="s">
        <v>236</v>
      </c>
      <c r="C234">
        <v>233</v>
      </c>
    </row>
    <row r="235" spans="1:3" x14ac:dyDescent="0.3">
      <c r="A235">
        <v>234</v>
      </c>
      <c r="B235" t="s">
        <v>237</v>
      </c>
      <c r="C235">
        <v>234</v>
      </c>
    </row>
    <row r="236" spans="1:3" x14ac:dyDescent="0.3">
      <c r="A236">
        <v>235</v>
      </c>
      <c r="B236" t="s">
        <v>238</v>
      </c>
      <c r="C236">
        <v>235</v>
      </c>
    </row>
    <row r="237" spans="1:3" x14ac:dyDescent="0.3">
      <c r="A237">
        <v>236</v>
      </c>
      <c r="B237" t="s">
        <v>239</v>
      </c>
      <c r="C237">
        <v>236</v>
      </c>
    </row>
    <row r="238" spans="1:3" x14ac:dyDescent="0.3">
      <c r="A238">
        <v>237</v>
      </c>
      <c r="B238" t="s">
        <v>240</v>
      </c>
      <c r="C238">
        <v>237</v>
      </c>
    </row>
    <row r="239" spans="1:3" x14ac:dyDescent="0.3">
      <c r="A239">
        <v>238</v>
      </c>
      <c r="B239" t="s">
        <v>241</v>
      </c>
      <c r="C239">
        <v>238</v>
      </c>
    </row>
    <row r="240" spans="1:3" x14ac:dyDescent="0.3">
      <c r="A240">
        <v>239</v>
      </c>
      <c r="B240" t="s">
        <v>242</v>
      </c>
      <c r="C240">
        <v>239</v>
      </c>
    </row>
    <row r="241" spans="1:3" x14ac:dyDescent="0.3">
      <c r="A241">
        <v>240</v>
      </c>
      <c r="B241" t="s">
        <v>243</v>
      </c>
      <c r="C241">
        <v>240</v>
      </c>
    </row>
    <row r="242" spans="1:3" x14ac:dyDescent="0.3">
      <c r="A242">
        <v>241</v>
      </c>
      <c r="B242" t="s">
        <v>244</v>
      </c>
      <c r="C242">
        <v>241</v>
      </c>
    </row>
    <row r="243" spans="1:3" x14ac:dyDescent="0.3">
      <c r="A243">
        <v>242</v>
      </c>
      <c r="B243" t="s">
        <v>245</v>
      </c>
      <c r="C243">
        <v>242</v>
      </c>
    </row>
    <row r="244" spans="1:3" x14ac:dyDescent="0.3">
      <c r="A244">
        <v>243</v>
      </c>
      <c r="B244" t="s">
        <v>246</v>
      </c>
      <c r="C244">
        <v>243</v>
      </c>
    </row>
    <row r="245" spans="1:3" x14ac:dyDescent="0.3">
      <c r="A245">
        <v>244</v>
      </c>
      <c r="B245" t="s">
        <v>247</v>
      </c>
      <c r="C245">
        <v>244</v>
      </c>
    </row>
    <row r="246" spans="1:3" x14ac:dyDescent="0.3">
      <c r="A246">
        <v>245</v>
      </c>
      <c r="B246" t="s">
        <v>248</v>
      </c>
      <c r="C246">
        <v>245</v>
      </c>
    </row>
    <row r="247" spans="1:3" x14ac:dyDescent="0.3">
      <c r="A247">
        <v>246</v>
      </c>
      <c r="B247" t="s">
        <v>249</v>
      </c>
      <c r="C247">
        <v>246</v>
      </c>
    </row>
    <row r="248" spans="1:3" x14ac:dyDescent="0.3">
      <c r="A248">
        <v>247</v>
      </c>
      <c r="B248" t="s">
        <v>250</v>
      </c>
      <c r="C248">
        <v>247</v>
      </c>
    </row>
    <row r="249" spans="1:3" x14ac:dyDescent="0.3">
      <c r="A249">
        <v>248</v>
      </c>
      <c r="B249" t="s">
        <v>251</v>
      </c>
      <c r="C249">
        <v>248</v>
      </c>
    </row>
    <row r="250" spans="1:3" x14ac:dyDescent="0.3">
      <c r="A250">
        <v>249</v>
      </c>
      <c r="B250" t="s">
        <v>252</v>
      </c>
      <c r="C250">
        <v>249</v>
      </c>
    </row>
    <row r="251" spans="1:3" x14ac:dyDescent="0.3">
      <c r="A251">
        <v>250</v>
      </c>
      <c r="B251" t="s">
        <v>253</v>
      </c>
      <c r="C251">
        <v>250</v>
      </c>
    </row>
    <row r="252" spans="1:3" x14ac:dyDescent="0.3">
      <c r="A252">
        <v>251</v>
      </c>
      <c r="B252" t="s">
        <v>254</v>
      </c>
      <c r="C252">
        <v>251</v>
      </c>
    </row>
    <row r="253" spans="1:3" x14ac:dyDescent="0.3">
      <c r="A253">
        <v>252</v>
      </c>
      <c r="B253" t="s">
        <v>255</v>
      </c>
      <c r="C253">
        <v>252</v>
      </c>
    </row>
    <row r="254" spans="1:3" x14ac:dyDescent="0.3">
      <c r="A254">
        <v>253</v>
      </c>
      <c r="B254" t="s">
        <v>256</v>
      </c>
      <c r="C254">
        <v>253</v>
      </c>
    </row>
    <row r="255" spans="1:3" x14ac:dyDescent="0.3">
      <c r="A255">
        <v>254</v>
      </c>
      <c r="B255" t="s">
        <v>257</v>
      </c>
      <c r="C255">
        <v>254</v>
      </c>
    </row>
    <row r="256" spans="1:3" x14ac:dyDescent="0.3">
      <c r="A256">
        <v>255</v>
      </c>
      <c r="B256" t="s">
        <v>258</v>
      </c>
      <c r="C256">
        <v>255</v>
      </c>
    </row>
    <row r="257" spans="1:3" x14ac:dyDescent="0.3">
      <c r="A257">
        <v>256</v>
      </c>
      <c r="B257" t="s">
        <v>259</v>
      </c>
      <c r="C257">
        <v>256</v>
      </c>
    </row>
    <row r="258" spans="1:3" x14ac:dyDescent="0.3">
      <c r="A258">
        <v>257</v>
      </c>
      <c r="B258" t="s">
        <v>260</v>
      </c>
      <c r="C258">
        <v>257</v>
      </c>
    </row>
    <row r="259" spans="1:3" x14ac:dyDescent="0.3">
      <c r="A259">
        <v>258</v>
      </c>
      <c r="B259" t="s">
        <v>261</v>
      </c>
      <c r="C259">
        <v>258</v>
      </c>
    </row>
    <row r="260" spans="1:3" x14ac:dyDescent="0.3">
      <c r="A260">
        <v>259</v>
      </c>
      <c r="B260" t="s">
        <v>262</v>
      </c>
      <c r="C260">
        <v>259</v>
      </c>
    </row>
    <row r="261" spans="1:3" x14ac:dyDescent="0.3">
      <c r="A261">
        <v>260</v>
      </c>
      <c r="B261" t="s">
        <v>263</v>
      </c>
      <c r="C261">
        <v>260</v>
      </c>
    </row>
    <row r="262" spans="1:3" x14ac:dyDescent="0.3">
      <c r="A262">
        <v>261</v>
      </c>
      <c r="B262" t="s">
        <v>264</v>
      </c>
      <c r="C262">
        <v>261</v>
      </c>
    </row>
    <row r="263" spans="1:3" x14ac:dyDescent="0.3">
      <c r="A263">
        <v>262</v>
      </c>
      <c r="B263" t="s">
        <v>265</v>
      </c>
      <c r="C263">
        <v>262</v>
      </c>
    </row>
    <row r="264" spans="1:3" x14ac:dyDescent="0.3">
      <c r="A264">
        <v>263</v>
      </c>
      <c r="B264" t="s">
        <v>266</v>
      </c>
      <c r="C264">
        <v>263</v>
      </c>
    </row>
    <row r="265" spans="1:3" x14ac:dyDescent="0.3">
      <c r="A265">
        <v>264</v>
      </c>
      <c r="B265" t="s">
        <v>267</v>
      </c>
      <c r="C265">
        <v>264</v>
      </c>
    </row>
    <row r="266" spans="1:3" x14ac:dyDescent="0.3">
      <c r="A266">
        <v>265</v>
      </c>
      <c r="B266" t="s">
        <v>268</v>
      </c>
      <c r="C266">
        <v>265</v>
      </c>
    </row>
    <row r="267" spans="1:3" x14ac:dyDescent="0.3">
      <c r="A267">
        <v>266</v>
      </c>
      <c r="B267" t="s">
        <v>269</v>
      </c>
      <c r="C267">
        <v>266</v>
      </c>
    </row>
    <row r="268" spans="1:3" x14ac:dyDescent="0.3">
      <c r="A268">
        <v>267</v>
      </c>
      <c r="B268" t="s">
        <v>270</v>
      </c>
      <c r="C268">
        <v>267</v>
      </c>
    </row>
    <row r="269" spans="1:3" x14ac:dyDescent="0.3">
      <c r="A269">
        <v>268</v>
      </c>
      <c r="B269" t="s">
        <v>271</v>
      </c>
      <c r="C269">
        <v>268</v>
      </c>
    </row>
    <row r="270" spans="1:3" x14ac:dyDescent="0.3">
      <c r="A270">
        <v>269</v>
      </c>
      <c r="B270" t="s">
        <v>272</v>
      </c>
      <c r="C270">
        <v>269</v>
      </c>
    </row>
    <row r="271" spans="1:3" x14ac:dyDescent="0.3">
      <c r="A271">
        <v>270</v>
      </c>
      <c r="B271" t="s">
        <v>273</v>
      </c>
      <c r="C271">
        <v>270</v>
      </c>
    </row>
    <row r="272" spans="1:3" x14ac:dyDescent="0.3">
      <c r="A272">
        <v>271</v>
      </c>
      <c r="B272" t="s">
        <v>274</v>
      </c>
      <c r="C272">
        <v>271</v>
      </c>
    </row>
    <row r="273" spans="1:3" x14ac:dyDescent="0.3">
      <c r="A273">
        <v>272</v>
      </c>
      <c r="B273" t="s">
        <v>275</v>
      </c>
      <c r="C273">
        <v>272</v>
      </c>
    </row>
    <row r="274" spans="1:3" x14ac:dyDescent="0.3">
      <c r="A274">
        <v>273</v>
      </c>
      <c r="B274" t="s">
        <v>276</v>
      </c>
      <c r="C274">
        <v>273</v>
      </c>
    </row>
    <row r="275" spans="1:3" x14ac:dyDescent="0.3">
      <c r="A275">
        <v>274</v>
      </c>
      <c r="B275" t="s">
        <v>277</v>
      </c>
      <c r="C275">
        <v>274</v>
      </c>
    </row>
    <row r="276" spans="1:3" x14ac:dyDescent="0.3">
      <c r="A276">
        <v>275</v>
      </c>
      <c r="B276" t="s">
        <v>278</v>
      </c>
      <c r="C276">
        <v>275</v>
      </c>
    </row>
    <row r="277" spans="1:3" x14ac:dyDescent="0.3">
      <c r="A277">
        <v>276</v>
      </c>
      <c r="B277" t="s">
        <v>279</v>
      </c>
      <c r="C277">
        <v>276</v>
      </c>
    </row>
    <row r="278" spans="1:3" x14ac:dyDescent="0.3">
      <c r="A278">
        <v>277</v>
      </c>
      <c r="B278" t="s">
        <v>280</v>
      </c>
      <c r="C278">
        <v>277</v>
      </c>
    </row>
    <row r="279" spans="1:3" x14ac:dyDescent="0.3">
      <c r="A279">
        <v>278</v>
      </c>
      <c r="B279" t="s">
        <v>281</v>
      </c>
      <c r="C279">
        <v>278</v>
      </c>
    </row>
    <row r="280" spans="1:3" x14ac:dyDescent="0.3">
      <c r="A280">
        <v>279</v>
      </c>
      <c r="B280" t="s">
        <v>282</v>
      </c>
      <c r="C280">
        <v>279</v>
      </c>
    </row>
    <row r="281" spans="1:3" x14ac:dyDescent="0.3">
      <c r="A281">
        <v>280</v>
      </c>
      <c r="B281" t="s">
        <v>283</v>
      </c>
      <c r="C281">
        <v>280</v>
      </c>
    </row>
    <row r="282" spans="1:3" x14ac:dyDescent="0.3">
      <c r="A282">
        <v>281</v>
      </c>
      <c r="B282" t="s">
        <v>284</v>
      </c>
      <c r="C282">
        <v>281</v>
      </c>
    </row>
    <row r="283" spans="1:3" x14ac:dyDescent="0.3">
      <c r="A283">
        <v>282</v>
      </c>
      <c r="B283" t="s">
        <v>285</v>
      </c>
      <c r="C283">
        <v>282</v>
      </c>
    </row>
    <row r="284" spans="1:3" x14ac:dyDescent="0.3">
      <c r="A284">
        <v>283</v>
      </c>
      <c r="B284" t="s">
        <v>286</v>
      </c>
      <c r="C284">
        <v>283</v>
      </c>
    </row>
    <row r="285" spans="1:3" x14ac:dyDescent="0.3">
      <c r="A285">
        <v>284</v>
      </c>
      <c r="B285" t="s">
        <v>287</v>
      </c>
      <c r="C285">
        <v>284</v>
      </c>
    </row>
    <row r="286" spans="1:3" x14ac:dyDescent="0.3">
      <c r="A286">
        <v>285</v>
      </c>
      <c r="B286" t="s">
        <v>288</v>
      </c>
      <c r="C286">
        <v>285</v>
      </c>
    </row>
    <row r="287" spans="1:3" x14ac:dyDescent="0.3">
      <c r="A287">
        <v>286</v>
      </c>
      <c r="B287" t="s">
        <v>289</v>
      </c>
      <c r="C287">
        <v>286</v>
      </c>
    </row>
    <row r="288" spans="1:3" x14ac:dyDescent="0.3">
      <c r="A288">
        <v>287</v>
      </c>
      <c r="B288" t="s">
        <v>290</v>
      </c>
      <c r="C288">
        <v>287</v>
      </c>
    </row>
    <row r="289" spans="1:3" x14ac:dyDescent="0.3">
      <c r="A289">
        <v>288</v>
      </c>
      <c r="B289" t="s">
        <v>291</v>
      </c>
      <c r="C289">
        <v>288</v>
      </c>
    </row>
    <row r="290" spans="1:3" x14ac:dyDescent="0.3">
      <c r="A290">
        <v>289</v>
      </c>
      <c r="B290" t="s">
        <v>292</v>
      </c>
      <c r="C290">
        <v>289</v>
      </c>
    </row>
    <row r="291" spans="1:3" x14ac:dyDescent="0.3">
      <c r="A291">
        <v>290</v>
      </c>
      <c r="B291" t="s">
        <v>293</v>
      </c>
      <c r="C291">
        <v>290</v>
      </c>
    </row>
    <row r="292" spans="1:3" x14ac:dyDescent="0.3">
      <c r="A292">
        <v>291</v>
      </c>
      <c r="B292" t="s">
        <v>294</v>
      </c>
      <c r="C292">
        <v>291</v>
      </c>
    </row>
    <row r="293" spans="1:3" x14ac:dyDescent="0.3">
      <c r="A293">
        <v>292</v>
      </c>
      <c r="B293" t="s">
        <v>295</v>
      </c>
      <c r="C293">
        <v>292</v>
      </c>
    </row>
    <row r="294" spans="1:3" x14ac:dyDescent="0.3">
      <c r="A294">
        <v>293</v>
      </c>
      <c r="B294" t="s">
        <v>296</v>
      </c>
      <c r="C294">
        <v>293</v>
      </c>
    </row>
    <row r="295" spans="1:3" x14ac:dyDescent="0.3">
      <c r="A295">
        <v>294</v>
      </c>
      <c r="B295" t="s">
        <v>297</v>
      </c>
      <c r="C295">
        <v>294</v>
      </c>
    </row>
    <row r="296" spans="1:3" x14ac:dyDescent="0.3">
      <c r="A296">
        <v>295</v>
      </c>
      <c r="B296" t="s">
        <v>298</v>
      </c>
      <c r="C296">
        <v>295</v>
      </c>
    </row>
    <row r="297" spans="1:3" x14ac:dyDescent="0.3">
      <c r="A297">
        <v>296</v>
      </c>
      <c r="B297" t="s">
        <v>299</v>
      </c>
      <c r="C297">
        <v>296</v>
      </c>
    </row>
    <row r="298" spans="1:3" x14ac:dyDescent="0.3">
      <c r="A298">
        <v>297</v>
      </c>
      <c r="B298" t="s">
        <v>300</v>
      </c>
      <c r="C298">
        <v>297</v>
      </c>
    </row>
    <row r="299" spans="1:3" x14ac:dyDescent="0.3">
      <c r="A299">
        <v>298</v>
      </c>
      <c r="B299" t="s">
        <v>301</v>
      </c>
      <c r="C299">
        <v>298</v>
      </c>
    </row>
    <row r="300" spans="1:3" x14ac:dyDescent="0.3">
      <c r="A300">
        <v>299</v>
      </c>
      <c r="B300" t="s">
        <v>302</v>
      </c>
      <c r="C300">
        <v>299</v>
      </c>
    </row>
    <row r="301" spans="1:3" x14ac:dyDescent="0.3">
      <c r="A301">
        <v>300</v>
      </c>
      <c r="B301" t="s">
        <v>303</v>
      </c>
      <c r="C301">
        <v>300</v>
      </c>
    </row>
    <row r="302" spans="1:3" x14ac:dyDescent="0.3">
      <c r="A302">
        <v>301</v>
      </c>
      <c r="B302" t="s">
        <v>304</v>
      </c>
      <c r="C302">
        <v>301</v>
      </c>
    </row>
    <row r="303" spans="1:3" x14ac:dyDescent="0.3">
      <c r="A303">
        <v>302</v>
      </c>
      <c r="B303" t="s">
        <v>305</v>
      </c>
      <c r="C303">
        <v>302</v>
      </c>
    </row>
    <row r="304" spans="1:3" x14ac:dyDescent="0.3">
      <c r="A304">
        <v>303</v>
      </c>
      <c r="B304" t="s">
        <v>306</v>
      </c>
      <c r="C304">
        <v>303</v>
      </c>
    </row>
    <row r="305" spans="1:3" x14ac:dyDescent="0.3">
      <c r="A305">
        <v>304</v>
      </c>
      <c r="B305" t="s">
        <v>307</v>
      </c>
      <c r="C305">
        <v>304</v>
      </c>
    </row>
    <row r="306" spans="1:3" x14ac:dyDescent="0.3">
      <c r="A306">
        <v>305</v>
      </c>
      <c r="B306" t="s">
        <v>308</v>
      </c>
      <c r="C306">
        <v>305</v>
      </c>
    </row>
    <row r="307" spans="1:3" x14ac:dyDescent="0.3">
      <c r="A307">
        <v>306</v>
      </c>
      <c r="B307" t="s">
        <v>309</v>
      </c>
      <c r="C307">
        <v>306</v>
      </c>
    </row>
    <row r="308" spans="1:3" x14ac:dyDescent="0.3">
      <c r="A308">
        <v>307</v>
      </c>
      <c r="B308" t="s">
        <v>310</v>
      </c>
      <c r="C308">
        <v>307</v>
      </c>
    </row>
    <row r="309" spans="1:3" x14ac:dyDescent="0.3">
      <c r="A309">
        <v>308</v>
      </c>
      <c r="B309" t="s">
        <v>311</v>
      </c>
      <c r="C309">
        <v>308</v>
      </c>
    </row>
    <row r="310" spans="1:3" x14ac:dyDescent="0.3">
      <c r="A310">
        <v>309</v>
      </c>
      <c r="B310" t="s">
        <v>312</v>
      </c>
      <c r="C310">
        <v>309</v>
      </c>
    </row>
    <row r="311" spans="1:3" x14ac:dyDescent="0.3">
      <c r="A311">
        <v>310</v>
      </c>
      <c r="B311" t="s">
        <v>313</v>
      </c>
      <c r="C311">
        <v>310</v>
      </c>
    </row>
    <row r="312" spans="1:3" x14ac:dyDescent="0.3">
      <c r="A312">
        <v>311</v>
      </c>
      <c r="B312" t="s">
        <v>314</v>
      </c>
      <c r="C312">
        <v>311</v>
      </c>
    </row>
    <row r="313" spans="1:3" x14ac:dyDescent="0.3">
      <c r="A313">
        <v>312</v>
      </c>
      <c r="B313" t="s">
        <v>315</v>
      </c>
      <c r="C313">
        <v>312</v>
      </c>
    </row>
    <row r="314" spans="1:3" x14ac:dyDescent="0.3">
      <c r="A314">
        <v>313</v>
      </c>
      <c r="B314" t="s">
        <v>316</v>
      </c>
      <c r="C314">
        <v>313</v>
      </c>
    </row>
    <row r="315" spans="1:3" x14ac:dyDescent="0.3">
      <c r="A315">
        <v>314</v>
      </c>
      <c r="B315" t="s">
        <v>317</v>
      </c>
      <c r="C315">
        <v>314</v>
      </c>
    </row>
    <row r="316" spans="1:3" x14ac:dyDescent="0.3">
      <c r="A316">
        <v>315</v>
      </c>
      <c r="B316" t="s">
        <v>318</v>
      </c>
      <c r="C316">
        <v>315</v>
      </c>
    </row>
    <row r="317" spans="1:3" x14ac:dyDescent="0.3">
      <c r="A317">
        <v>316</v>
      </c>
      <c r="B317" t="s">
        <v>319</v>
      </c>
      <c r="C317">
        <v>316</v>
      </c>
    </row>
    <row r="318" spans="1:3" x14ac:dyDescent="0.3">
      <c r="A318">
        <v>317</v>
      </c>
      <c r="B318" t="s">
        <v>320</v>
      </c>
      <c r="C318">
        <v>317</v>
      </c>
    </row>
    <row r="319" spans="1:3" x14ac:dyDescent="0.3">
      <c r="A319">
        <v>318</v>
      </c>
      <c r="B319" t="s">
        <v>321</v>
      </c>
      <c r="C319">
        <v>318</v>
      </c>
    </row>
    <row r="320" spans="1:3" x14ac:dyDescent="0.3">
      <c r="A320">
        <v>319</v>
      </c>
      <c r="B320" t="s">
        <v>322</v>
      </c>
      <c r="C320">
        <v>319</v>
      </c>
    </row>
    <row r="321" spans="1:3" x14ac:dyDescent="0.3">
      <c r="A321">
        <v>320</v>
      </c>
      <c r="B321" t="s">
        <v>323</v>
      </c>
      <c r="C321">
        <v>320</v>
      </c>
    </row>
    <row r="322" spans="1:3" x14ac:dyDescent="0.3">
      <c r="A322">
        <v>321</v>
      </c>
      <c r="B322" t="s">
        <v>324</v>
      </c>
      <c r="C322">
        <v>321</v>
      </c>
    </row>
    <row r="323" spans="1:3" x14ac:dyDescent="0.3">
      <c r="A323">
        <v>322</v>
      </c>
      <c r="B323" t="s">
        <v>325</v>
      </c>
      <c r="C323">
        <v>322</v>
      </c>
    </row>
    <row r="324" spans="1:3" x14ac:dyDescent="0.3">
      <c r="A324">
        <v>323</v>
      </c>
      <c r="B324" t="s">
        <v>326</v>
      </c>
      <c r="C324">
        <v>323</v>
      </c>
    </row>
    <row r="325" spans="1:3" x14ac:dyDescent="0.3">
      <c r="A325">
        <v>324</v>
      </c>
      <c r="B325" t="s">
        <v>327</v>
      </c>
      <c r="C325">
        <v>324</v>
      </c>
    </row>
    <row r="326" spans="1:3" x14ac:dyDescent="0.3">
      <c r="A326">
        <v>325</v>
      </c>
      <c r="B326" t="s">
        <v>328</v>
      </c>
      <c r="C326">
        <v>325</v>
      </c>
    </row>
    <row r="327" spans="1:3" x14ac:dyDescent="0.3">
      <c r="A327">
        <v>326</v>
      </c>
      <c r="B327" t="s">
        <v>329</v>
      </c>
      <c r="C327">
        <v>326</v>
      </c>
    </row>
    <row r="328" spans="1:3" x14ac:dyDescent="0.3">
      <c r="A328">
        <v>327</v>
      </c>
      <c r="B328" t="s">
        <v>330</v>
      </c>
      <c r="C328">
        <v>327</v>
      </c>
    </row>
    <row r="329" spans="1:3" x14ac:dyDescent="0.3">
      <c r="A329">
        <v>328</v>
      </c>
      <c r="B329" t="s">
        <v>331</v>
      </c>
      <c r="C329">
        <v>328</v>
      </c>
    </row>
    <row r="330" spans="1:3" x14ac:dyDescent="0.3">
      <c r="A330">
        <v>329</v>
      </c>
      <c r="B330" t="s">
        <v>332</v>
      </c>
      <c r="C330">
        <v>329</v>
      </c>
    </row>
    <row r="331" spans="1:3" x14ac:dyDescent="0.3">
      <c r="A331">
        <v>330</v>
      </c>
      <c r="B331" t="s">
        <v>333</v>
      </c>
      <c r="C331">
        <v>330</v>
      </c>
    </row>
    <row r="332" spans="1:3" x14ac:dyDescent="0.3">
      <c r="A332">
        <v>331</v>
      </c>
      <c r="B332" t="s">
        <v>334</v>
      </c>
      <c r="C332">
        <v>331</v>
      </c>
    </row>
    <row r="333" spans="1:3" x14ac:dyDescent="0.3">
      <c r="A333">
        <v>332</v>
      </c>
      <c r="B333" t="s">
        <v>0</v>
      </c>
      <c r="C333">
        <v>332</v>
      </c>
    </row>
    <row r="334" spans="1:3" x14ac:dyDescent="0.3">
      <c r="A334">
        <v>333</v>
      </c>
      <c r="B334" t="s">
        <v>978</v>
      </c>
      <c r="C334">
        <v>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390E9-12AB-4F35-91B3-6707EE5982E5}">
  <dimension ref="A1:C17"/>
  <sheetViews>
    <sheetView workbookViewId="0">
      <selection activeCell="C17" sqref="C17"/>
    </sheetView>
  </sheetViews>
  <sheetFormatPr defaultRowHeight="14.4" x14ac:dyDescent="0.3"/>
  <sheetData>
    <row r="1" spans="1:3" x14ac:dyDescent="0.3">
      <c r="A1" s="13" t="s">
        <v>1</v>
      </c>
      <c r="B1" s="13" t="s">
        <v>2</v>
      </c>
      <c r="C1" s="13" t="s">
        <v>475</v>
      </c>
    </row>
    <row r="2" spans="1:3" x14ac:dyDescent="0.3">
      <c r="A2">
        <v>1</v>
      </c>
      <c r="B2" t="s">
        <v>335</v>
      </c>
      <c r="C2">
        <v>1</v>
      </c>
    </row>
    <row r="3" spans="1:3" x14ac:dyDescent="0.3">
      <c r="A3">
        <v>2</v>
      </c>
      <c r="B3" t="s">
        <v>336</v>
      </c>
      <c r="C3">
        <v>2</v>
      </c>
    </row>
    <row r="4" spans="1:3" x14ac:dyDescent="0.3">
      <c r="A4">
        <v>3</v>
      </c>
      <c r="B4" t="s">
        <v>337</v>
      </c>
      <c r="C4">
        <v>3</v>
      </c>
    </row>
    <row r="5" spans="1:3" x14ac:dyDescent="0.3">
      <c r="A5">
        <v>4</v>
      </c>
      <c r="B5" t="s">
        <v>338</v>
      </c>
      <c r="C5">
        <v>4</v>
      </c>
    </row>
    <row r="6" spans="1:3" x14ac:dyDescent="0.3">
      <c r="A6">
        <v>5</v>
      </c>
      <c r="B6" t="s">
        <v>339</v>
      </c>
      <c r="C6">
        <v>5</v>
      </c>
    </row>
    <row r="7" spans="1:3" x14ac:dyDescent="0.3">
      <c r="A7">
        <v>6</v>
      </c>
      <c r="B7" t="s">
        <v>340</v>
      </c>
      <c r="C7">
        <v>6</v>
      </c>
    </row>
    <row r="8" spans="1:3" x14ac:dyDescent="0.3">
      <c r="A8">
        <v>7</v>
      </c>
      <c r="B8" t="s">
        <v>341</v>
      </c>
      <c r="C8">
        <v>7</v>
      </c>
    </row>
    <row r="9" spans="1:3" x14ac:dyDescent="0.3">
      <c r="A9">
        <v>8</v>
      </c>
      <c r="B9" t="s">
        <v>342</v>
      </c>
      <c r="C9">
        <v>8</v>
      </c>
    </row>
    <row r="10" spans="1:3" x14ac:dyDescent="0.3">
      <c r="A10">
        <v>9</v>
      </c>
      <c r="B10" t="s">
        <v>343</v>
      </c>
      <c r="C10">
        <v>9</v>
      </c>
    </row>
    <row r="11" spans="1:3" x14ac:dyDescent="0.3">
      <c r="A11">
        <v>10</v>
      </c>
      <c r="B11" t="s">
        <v>344</v>
      </c>
      <c r="C11">
        <v>10</v>
      </c>
    </row>
    <row r="12" spans="1:3" x14ac:dyDescent="0.3">
      <c r="A12">
        <v>11</v>
      </c>
      <c r="B12" t="s">
        <v>345</v>
      </c>
      <c r="C12">
        <v>11</v>
      </c>
    </row>
    <row r="13" spans="1:3" x14ac:dyDescent="0.3">
      <c r="A13">
        <v>12</v>
      </c>
      <c r="B13" t="s">
        <v>346</v>
      </c>
      <c r="C13">
        <v>12</v>
      </c>
    </row>
    <row r="14" spans="1:3" x14ac:dyDescent="0.3">
      <c r="A14">
        <v>13</v>
      </c>
      <c r="B14" t="s">
        <v>347</v>
      </c>
      <c r="C14">
        <v>13</v>
      </c>
    </row>
    <row r="15" spans="1:3" x14ac:dyDescent="0.3">
      <c r="A15">
        <v>14</v>
      </c>
      <c r="B15" t="s">
        <v>348</v>
      </c>
      <c r="C15">
        <v>14</v>
      </c>
    </row>
    <row r="16" spans="1:3" x14ac:dyDescent="0.3">
      <c r="A16">
        <v>15</v>
      </c>
      <c r="B16" t="s">
        <v>349</v>
      </c>
      <c r="C16">
        <v>15</v>
      </c>
    </row>
    <row r="17" spans="1:3" x14ac:dyDescent="0.3">
      <c r="A17">
        <v>16</v>
      </c>
      <c r="B17" t="s">
        <v>991</v>
      </c>
      <c r="C17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69FB1-B3FF-4BA4-82FF-04F0FE76BE88}">
  <dimension ref="A1:I27"/>
  <sheetViews>
    <sheetView workbookViewId="0">
      <selection activeCell="B2" sqref="B2"/>
    </sheetView>
  </sheetViews>
  <sheetFormatPr defaultRowHeight="14.4" x14ac:dyDescent="0.3"/>
  <cols>
    <col min="1" max="1" width="12.77734375" bestFit="1" customWidth="1"/>
    <col min="2" max="2" width="37.44140625" bestFit="1" customWidth="1"/>
    <col min="3" max="3" width="13.44140625" style="11" bestFit="1" customWidth="1"/>
    <col min="4" max="4" width="47.109375" customWidth="1"/>
    <col min="5" max="5" width="40" customWidth="1"/>
    <col min="6" max="6" width="22" customWidth="1"/>
    <col min="7" max="7" width="5.5546875" bestFit="1" customWidth="1"/>
    <col min="8" max="8" width="15.88671875" bestFit="1" customWidth="1"/>
  </cols>
  <sheetData>
    <row r="1" spans="1:9" x14ac:dyDescent="0.3">
      <c r="A1" s="1" t="s">
        <v>350</v>
      </c>
      <c r="B1" s="1" t="s">
        <v>2</v>
      </c>
      <c r="C1" s="10" t="s">
        <v>351</v>
      </c>
      <c r="D1" s="1" t="s">
        <v>352</v>
      </c>
      <c r="E1" s="1" t="s">
        <v>353</v>
      </c>
      <c r="F1" s="1" t="s">
        <v>354</v>
      </c>
      <c r="G1" s="1" t="s">
        <v>355</v>
      </c>
      <c r="H1" s="1" t="s">
        <v>356</v>
      </c>
      <c r="I1" s="1" t="s">
        <v>3</v>
      </c>
    </row>
    <row r="2" spans="1:9" x14ac:dyDescent="0.3">
      <c r="A2" s="2" t="s">
        <v>357</v>
      </c>
      <c r="B2" s="3" t="s">
        <v>358</v>
      </c>
      <c r="C2" s="3"/>
      <c r="D2" s="2"/>
      <c r="E2" s="2"/>
      <c r="F2" s="2"/>
      <c r="G2" s="2"/>
      <c r="H2" s="2"/>
      <c r="I2" s="2">
        <v>1</v>
      </c>
    </row>
    <row r="3" spans="1:9" ht="28.8" x14ac:dyDescent="0.3">
      <c r="A3" s="2" t="s">
        <v>359</v>
      </c>
      <c r="B3" s="3" t="s">
        <v>360</v>
      </c>
      <c r="C3" s="3" t="s">
        <v>361</v>
      </c>
      <c r="D3" s="4" t="s">
        <v>362</v>
      </c>
      <c r="E3" s="4" t="s">
        <v>363</v>
      </c>
      <c r="F3" s="4" t="s">
        <v>364</v>
      </c>
      <c r="G3" s="2"/>
      <c r="H3" s="2"/>
      <c r="I3" s="2">
        <v>1</v>
      </c>
    </row>
    <row r="4" spans="1:9" ht="28.8" x14ac:dyDescent="0.3">
      <c r="A4" s="2" t="s">
        <v>365</v>
      </c>
      <c r="B4" s="3" t="s">
        <v>366</v>
      </c>
      <c r="C4" s="3" t="s">
        <v>367</v>
      </c>
      <c r="D4" s="4" t="s">
        <v>368</v>
      </c>
      <c r="E4" s="4" t="s">
        <v>369</v>
      </c>
      <c r="F4" s="4" t="s">
        <v>370</v>
      </c>
      <c r="G4" s="2"/>
      <c r="H4" s="2"/>
      <c r="I4" s="2">
        <v>1</v>
      </c>
    </row>
    <row r="5" spans="1:9" ht="28.8" x14ac:dyDescent="0.3">
      <c r="A5" s="2" t="s">
        <v>371</v>
      </c>
      <c r="B5" s="3" t="s">
        <v>372</v>
      </c>
      <c r="C5" s="3" t="s">
        <v>373</v>
      </c>
      <c r="D5" s="4" t="s">
        <v>374</v>
      </c>
      <c r="E5" s="4" t="s">
        <v>375</v>
      </c>
      <c r="F5" s="4" t="s">
        <v>376</v>
      </c>
      <c r="G5" s="2"/>
      <c r="H5" s="2"/>
      <c r="I5" s="2">
        <v>1</v>
      </c>
    </row>
    <row r="6" spans="1:9" x14ac:dyDescent="0.3">
      <c r="A6" s="2" t="s">
        <v>377</v>
      </c>
      <c r="B6" s="5" t="s">
        <v>378</v>
      </c>
      <c r="C6" s="3" t="s">
        <v>379</v>
      </c>
      <c r="D6" s="4" t="s">
        <v>380</v>
      </c>
      <c r="E6" s="4" t="s">
        <v>381</v>
      </c>
      <c r="F6" s="4" t="s">
        <v>382</v>
      </c>
      <c r="G6" s="2"/>
      <c r="H6" s="2"/>
      <c r="I6" s="2">
        <v>1</v>
      </c>
    </row>
    <row r="7" spans="1:9" ht="28.8" x14ac:dyDescent="0.3">
      <c r="A7" s="2" t="s">
        <v>383</v>
      </c>
      <c r="B7" s="5" t="s">
        <v>384</v>
      </c>
      <c r="C7" s="3"/>
      <c r="D7" s="4" t="s">
        <v>385</v>
      </c>
      <c r="E7" s="6"/>
      <c r="F7" s="6"/>
      <c r="G7" s="2"/>
      <c r="H7" s="2"/>
      <c r="I7" s="2">
        <v>1</v>
      </c>
    </row>
    <row r="8" spans="1:9" x14ac:dyDescent="0.3">
      <c r="A8" s="2" t="s">
        <v>386</v>
      </c>
      <c r="B8" s="5" t="s">
        <v>387</v>
      </c>
      <c r="C8" s="8" t="s">
        <v>388</v>
      </c>
      <c r="D8" s="4" t="s">
        <v>389</v>
      </c>
      <c r="E8" s="7" t="s">
        <v>388</v>
      </c>
      <c r="F8" s="6"/>
      <c r="G8" s="2"/>
      <c r="H8" s="2"/>
      <c r="I8" s="2">
        <v>1</v>
      </c>
    </row>
    <row r="9" spans="1:9" x14ac:dyDescent="0.3">
      <c r="A9" s="2" t="s">
        <v>390</v>
      </c>
      <c r="B9" s="8" t="s">
        <v>391</v>
      </c>
      <c r="C9" s="5" t="s">
        <v>392</v>
      </c>
      <c r="D9" s="6"/>
      <c r="E9" s="4" t="s">
        <v>392</v>
      </c>
      <c r="F9" s="9"/>
      <c r="G9" s="2"/>
      <c r="H9" s="2"/>
      <c r="I9" s="2">
        <v>1</v>
      </c>
    </row>
    <row r="10" spans="1:9" x14ac:dyDescent="0.3">
      <c r="A10" s="2" t="s">
        <v>393</v>
      </c>
      <c r="B10" s="5" t="s">
        <v>394</v>
      </c>
      <c r="C10" s="3">
        <v>6461182</v>
      </c>
      <c r="D10" s="4" t="s">
        <v>395</v>
      </c>
      <c r="E10" s="4" t="s">
        <v>396</v>
      </c>
      <c r="F10" s="6"/>
      <c r="G10" s="2"/>
      <c r="H10" s="2"/>
      <c r="I10" s="2">
        <v>1</v>
      </c>
    </row>
    <row r="11" spans="1:9" ht="28.8" x14ac:dyDescent="0.3">
      <c r="A11" s="2" t="s">
        <v>397</v>
      </c>
      <c r="B11" s="5" t="s">
        <v>398</v>
      </c>
      <c r="C11" s="3"/>
      <c r="D11" s="4" t="s">
        <v>399</v>
      </c>
      <c r="E11" s="6"/>
      <c r="F11" s="4" t="s">
        <v>400</v>
      </c>
      <c r="G11" s="2"/>
      <c r="H11" s="2"/>
      <c r="I11" s="2">
        <v>1</v>
      </c>
    </row>
    <row r="12" spans="1:9" x14ac:dyDescent="0.3">
      <c r="A12" s="2" t="s">
        <v>401</v>
      </c>
      <c r="B12" s="5" t="s">
        <v>402</v>
      </c>
      <c r="C12" s="3"/>
      <c r="D12" s="4" t="s">
        <v>403</v>
      </c>
      <c r="E12" s="6"/>
      <c r="F12" s="4" t="s">
        <v>404</v>
      </c>
      <c r="G12" s="2"/>
      <c r="H12" s="2"/>
      <c r="I12" s="2">
        <v>1</v>
      </c>
    </row>
    <row r="13" spans="1:9" ht="28.8" x14ac:dyDescent="0.3">
      <c r="A13" s="2" t="s">
        <v>405</v>
      </c>
      <c r="B13" s="5" t="s">
        <v>406</v>
      </c>
      <c r="C13" s="3" t="s">
        <v>407</v>
      </c>
      <c r="D13" s="6"/>
      <c r="E13" s="4" t="s">
        <v>408</v>
      </c>
      <c r="F13" s="6"/>
      <c r="G13" s="2"/>
      <c r="H13" s="2"/>
      <c r="I13" s="2">
        <v>1</v>
      </c>
    </row>
    <row r="14" spans="1:9" ht="28.8" x14ac:dyDescent="0.3">
      <c r="A14" s="2" t="s">
        <v>409</v>
      </c>
      <c r="B14" s="5" t="s">
        <v>410</v>
      </c>
      <c r="C14" s="3"/>
      <c r="D14" s="4" t="s">
        <v>411</v>
      </c>
      <c r="E14" s="6"/>
      <c r="F14" s="4" t="s">
        <v>412</v>
      </c>
      <c r="G14" s="2"/>
      <c r="H14" s="2"/>
      <c r="I14" s="2">
        <v>1</v>
      </c>
    </row>
    <row r="15" spans="1:9" ht="28.8" x14ac:dyDescent="0.3">
      <c r="A15" s="2" t="s">
        <v>413</v>
      </c>
      <c r="B15" s="5" t="s">
        <v>414</v>
      </c>
      <c r="C15" s="3"/>
      <c r="D15" s="4" t="s">
        <v>415</v>
      </c>
      <c r="E15" s="6"/>
      <c r="F15" s="4" t="s">
        <v>416</v>
      </c>
      <c r="G15" s="2"/>
      <c r="H15" s="2"/>
      <c r="I15" s="2">
        <v>1</v>
      </c>
    </row>
    <row r="16" spans="1:9" x14ac:dyDescent="0.3">
      <c r="A16" s="2" t="s">
        <v>417</v>
      </c>
      <c r="B16" s="5" t="s">
        <v>418</v>
      </c>
      <c r="C16" s="3" t="s">
        <v>419</v>
      </c>
      <c r="D16" s="4" t="s">
        <v>420</v>
      </c>
      <c r="E16" s="4" t="s">
        <v>421</v>
      </c>
      <c r="F16" s="6"/>
      <c r="G16" s="2"/>
      <c r="H16" s="2"/>
      <c r="I16" s="2">
        <v>1</v>
      </c>
    </row>
    <row r="17" spans="1:9" x14ac:dyDescent="0.3">
      <c r="A17" s="2" t="s">
        <v>422</v>
      </c>
      <c r="B17" s="5" t="s">
        <v>423</v>
      </c>
      <c r="C17" s="3"/>
      <c r="D17" s="6"/>
      <c r="E17" s="6"/>
      <c r="F17" s="6"/>
      <c r="G17" s="2"/>
      <c r="H17" s="2"/>
      <c r="I17" s="2">
        <v>1</v>
      </c>
    </row>
    <row r="18" spans="1:9" x14ac:dyDescent="0.3">
      <c r="A18" s="2" t="s">
        <v>424</v>
      </c>
      <c r="B18" s="5" t="s">
        <v>425</v>
      </c>
      <c r="C18" s="3" t="s">
        <v>426</v>
      </c>
      <c r="D18" s="6"/>
      <c r="E18" s="4" t="s">
        <v>427</v>
      </c>
      <c r="F18" s="6"/>
      <c r="G18" s="2"/>
      <c r="H18" s="2"/>
      <c r="I18" s="2">
        <v>1</v>
      </c>
    </row>
    <row r="19" spans="1:9" ht="28.8" x14ac:dyDescent="0.3">
      <c r="A19" s="2" t="s">
        <v>428</v>
      </c>
      <c r="B19" s="5" t="s">
        <v>429</v>
      </c>
      <c r="C19" s="3"/>
      <c r="D19" s="4" t="s">
        <v>430</v>
      </c>
      <c r="E19" s="6"/>
      <c r="F19" s="6"/>
      <c r="G19" s="2"/>
      <c r="H19" s="2"/>
      <c r="I19" s="2">
        <v>1</v>
      </c>
    </row>
    <row r="20" spans="1:9" ht="28.8" x14ac:dyDescent="0.3">
      <c r="A20" s="2" t="s">
        <v>431</v>
      </c>
      <c r="B20" s="5" t="s">
        <v>432</v>
      </c>
      <c r="C20" s="5" t="s">
        <v>433</v>
      </c>
      <c r="D20" s="4" t="s">
        <v>434</v>
      </c>
      <c r="E20" s="4" t="s">
        <v>433</v>
      </c>
      <c r="F20" s="4" t="s">
        <v>435</v>
      </c>
      <c r="G20" s="2"/>
      <c r="H20" s="2"/>
      <c r="I20" s="2">
        <v>1</v>
      </c>
    </row>
    <row r="21" spans="1:9" ht="28.8" x14ac:dyDescent="0.3">
      <c r="A21" s="2" t="s">
        <v>436</v>
      </c>
      <c r="B21" s="5" t="s">
        <v>437</v>
      </c>
      <c r="C21" s="5" t="s">
        <v>438</v>
      </c>
      <c r="D21" s="4" t="s">
        <v>439</v>
      </c>
      <c r="E21" s="4" t="s">
        <v>438</v>
      </c>
      <c r="F21" s="4" t="s">
        <v>440</v>
      </c>
      <c r="G21" s="2"/>
      <c r="H21" s="2"/>
      <c r="I21" s="2">
        <v>1</v>
      </c>
    </row>
    <row r="22" spans="1:9" ht="28.8" x14ac:dyDescent="0.3">
      <c r="A22" s="2" t="s">
        <v>441</v>
      </c>
      <c r="B22" s="5" t="s">
        <v>442</v>
      </c>
      <c r="C22" s="3"/>
      <c r="D22" s="4" t="s">
        <v>443</v>
      </c>
      <c r="E22" s="6"/>
      <c r="F22" s="4" t="s">
        <v>444</v>
      </c>
      <c r="G22" s="2"/>
      <c r="H22" s="2"/>
      <c r="I22" s="2">
        <v>1</v>
      </c>
    </row>
    <row r="23" spans="1:9" ht="28.8" x14ac:dyDescent="0.3">
      <c r="A23" s="2" t="s">
        <v>445</v>
      </c>
      <c r="B23" s="5" t="s">
        <v>446</v>
      </c>
      <c r="C23" s="3" t="s">
        <v>447</v>
      </c>
      <c r="D23" s="4" t="s">
        <v>448</v>
      </c>
      <c r="E23" s="4" t="s">
        <v>449</v>
      </c>
      <c r="F23" s="4" t="s">
        <v>450</v>
      </c>
      <c r="G23" s="2"/>
      <c r="H23" s="2"/>
      <c r="I23" s="2">
        <v>1</v>
      </c>
    </row>
    <row r="24" spans="1:9" ht="28.8" x14ac:dyDescent="0.3">
      <c r="A24" s="2" t="s">
        <v>451</v>
      </c>
      <c r="B24" s="5" t="s">
        <v>452</v>
      </c>
      <c r="C24" s="3" t="s">
        <v>453</v>
      </c>
      <c r="D24" s="4" t="s">
        <v>454</v>
      </c>
      <c r="E24" s="4" t="s">
        <v>455</v>
      </c>
      <c r="F24" s="4" t="s">
        <v>456</v>
      </c>
      <c r="G24" s="2"/>
      <c r="H24" s="2"/>
      <c r="I24" s="2">
        <v>1</v>
      </c>
    </row>
    <row r="25" spans="1:9" x14ac:dyDescent="0.3">
      <c r="A25" s="2" t="s">
        <v>457</v>
      </c>
      <c r="B25" s="5" t="s">
        <v>458</v>
      </c>
      <c r="C25" s="3" t="s">
        <v>459</v>
      </c>
      <c r="D25" s="4" t="s">
        <v>460</v>
      </c>
      <c r="E25" s="4" t="s">
        <v>461</v>
      </c>
      <c r="F25" s="6"/>
      <c r="G25" s="2"/>
      <c r="H25" s="2"/>
      <c r="I25" s="2">
        <v>1</v>
      </c>
    </row>
    <row r="26" spans="1:9" ht="28.8" x14ac:dyDescent="0.3">
      <c r="A26" s="2" t="s">
        <v>462</v>
      </c>
      <c r="B26" s="5" t="s">
        <v>463</v>
      </c>
      <c r="C26" s="3" t="s">
        <v>464</v>
      </c>
      <c r="D26" s="4" t="s">
        <v>465</v>
      </c>
      <c r="E26" s="4" t="s">
        <v>466</v>
      </c>
      <c r="F26" s="4" t="s">
        <v>467</v>
      </c>
      <c r="G26" s="2"/>
      <c r="H26" s="2"/>
      <c r="I26" s="2">
        <v>1</v>
      </c>
    </row>
    <row r="27" spans="1:9" x14ac:dyDescent="0.3">
      <c r="A27" s="2" t="s">
        <v>468</v>
      </c>
      <c r="B27" s="5" t="s">
        <v>469</v>
      </c>
      <c r="C27" s="3"/>
      <c r="D27" s="6"/>
      <c r="E27" s="2"/>
      <c r="F27" s="6"/>
      <c r="G27" s="2"/>
      <c r="H27" s="2"/>
      <c r="I27" s="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A5F7D-AD47-4DE1-B43F-FAB7ADB43900}">
  <dimension ref="A1:I199"/>
  <sheetViews>
    <sheetView zoomScale="80" zoomScaleNormal="80" workbookViewId="0">
      <pane ySplit="1" topLeftCell="A174" activePane="bottomLeft" state="frozen"/>
      <selection pane="bottomLeft" activeCell="C48" sqref="C48"/>
    </sheetView>
  </sheetViews>
  <sheetFormatPr defaultRowHeight="13.8" x14ac:dyDescent="0.25"/>
  <cols>
    <col min="1" max="1" width="25.6640625" style="16" bestFit="1" customWidth="1"/>
    <col min="2" max="2" width="53.77734375" style="16" bestFit="1" customWidth="1"/>
    <col min="3" max="3" width="80.44140625" style="16" customWidth="1"/>
    <col min="4" max="4" width="15.21875" style="16" customWidth="1"/>
    <col min="5" max="5" width="9.88671875" style="16" bestFit="1" customWidth="1"/>
    <col min="6" max="7" width="9.88671875" style="16" customWidth="1"/>
    <col min="8" max="8" width="38.5546875" style="16" customWidth="1"/>
    <col min="9" max="9" width="10.88671875" style="16" bestFit="1" customWidth="1"/>
    <col min="10" max="16384" width="8.88671875" style="16"/>
  </cols>
  <sheetData>
    <row r="1" spans="1:9" x14ac:dyDescent="0.25">
      <c r="A1" s="28" t="s">
        <v>470</v>
      </c>
      <c r="B1" s="28" t="s">
        <v>535</v>
      </c>
      <c r="C1" s="28" t="s">
        <v>473</v>
      </c>
      <c r="D1" s="28" t="s">
        <v>471</v>
      </c>
      <c r="E1" s="28" t="s">
        <v>474</v>
      </c>
      <c r="F1" s="28" t="s">
        <v>524</v>
      </c>
      <c r="G1" s="28" t="s">
        <v>525</v>
      </c>
      <c r="H1" s="28" t="s">
        <v>476</v>
      </c>
      <c r="I1" s="28" t="s">
        <v>477</v>
      </c>
    </row>
    <row r="2" spans="1:9" x14ac:dyDescent="0.25">
      <c r="A2" s="15" t="s">
        <v>358</v>
      </c>
      <c r="B2" s="20" t="s">
        <v>0</v>
      </c>
      <c r="C2" s="21" t="s">
        <v>479</v>
      </c>
      <c r="D2" s="20" t="s">
        <v>478</v>
      </c>
      <c r="E2" s="22" t="s">
        <v>536</v>
      </c>
      <c r="F2" s="22">
        <f>VALUE(LEFT(E2,FIND("/",E2)-1))</f>
        <v>52</v>
      </c>
      <c r="G2" s="22" t="str">
        <f>TRIM(MID(E2,FIND("/",E2)+1,LEN(E2)))</f>
        <v>PC</v>
      </c>
      <c r="H2" s="23" t="s">
        <v>482</v>
      </c>
      <c r="I2" s="20" t="s">
        <v>481</v>
      </c>
    </row>
    <row r="3" spans="1:9" x14ac:dyDescent="0.25">
      <c r="A3" s="15" t="s">
        <v>358</v>
      </c>
      <c r="B3" s="20" t="s">
        <v>0</v>
      </c>
      <c r="C3" s="24" t="s">
        <v>480</v>
      </c>
      <c r="D3" s="20" t="str">
        <f>LEFT($D$2,FIND("-",$D$2,FIND("-",$D$2)+1)) &amp; TEXT(RIGHT($D$2,3)+ROW(D1),"000")</f>
        <v>1ST-358-002</v>
      </c>
      <c r="E3" s="22" t="s">
        <v>483</v>
      </c>
      <c r="F3" s="22">
        <f t="shared" ref="F3:F66" si="0">VALUE(LEFT(E3,FIND("/",E3)-1))</f>
        <v>90</v>
      </c>
      <c r="G3" s="22" t="str">
        <f t="shared" ref="G3:G66" si="1">TRIM(MID(E3,FIND("/",E3)+1,LEN(E3)))</f>
        <v>PC</v>
      </c>
      <c r="H3" s="23" t="s">
        <v>482</v>
      </c>
      <c r="I3" s="20" t="s">
        <v>481</v>
      </c>
    </row>
    <row r="4" spans="1:9" x14ac:dyDescent="0.25">
      <c r="A4" s="15" t="s">
        <v>358</v>
      </c>
      <c r="B4" s="20" t="s">
        <v>0</v>
      </c>
      <c r="C4" s="22" t="s">
        <v>773</v>
      </c>
      <c r="D4" s="20" t="str">
        <f t="shared" ref="D4:D67" si="2">LEFT($D$2,FIND("-",$D$2,FIND("-",$D$2)+1)) &amp; TEXT(RIGHT($D$2,3)+ROW(D2),"000")</f>
        <v>1ST-358-003</v>
      </c>
      <c r="E4" s="22" t="s">
        <v>537</v>
      </c>
      <c r="F4" s="22">
        <f t="shared" si="0"/>
        <v>14</v>
      </c>
      <c r="G4" s="22" t="str">
        <f t="shared" si="1"/>
        <v>PC</v>
      </c>
      <c r="H4" s="23" t="s">
        <v>484</v>
      </c>
      <c r="I4" s="20" t="s">
        <v>481</v>
      </c>
    </row>
    <row r="5" spans="1:9" x14ac:dyDescent="0.25">
      <c r="A5" s="15" t="s">
        <v>358</v>
      </c>
      <c r="B5" s="20" t="s">
        <v>0</v>
      </c>
      <c r="C5" s="22" t="s">
        <v>538</v>
      </c>
      <c r="D5" s="20" t="str">
        <f t="shared" si="2"/>
        <v>1ST-358-004</v>
      </c>
      <c r="E5" s="22" t="s">
        <v>539</v>
      </c>
      <c r="F5" s="22">
        <f t="shared" si="0"/>
        <v>28</v>
      </c>
      <c r="G5" s="22" t="str">
        <f t="shared" si="1"/>
        <v>PC</v>
      </c>
      <c r="H5" s="23" t="s">
        <v>485</v>
      </c>
      <c r="I5" s="20" t="s">
        <v>481</v>
      </c>
    </row>
    <row r="6" spans="1:9" x14ac:dyDescent="0.25">
      <c r="A6" s="15" t="s">
        <v>358</v>
      </c>
      <c r="B6" s="20" t="s">
        <v>334</v>
      </c>
      <c r="C6" s="21" t="s">
        <v>540</v>
      </c>
      <c r="D6" s="20" t="str">
        <f t="shared" si="2"/>
        <v>1ST-358-005</v>
      </c>
      <c r="E6" s="22" t="s">
        <v>541</v>
      </c>
      <c r="F6" s="22">
        <f t="shared" si="0"/>
        <v>82</v>
      </c>
      <c r="G6" s="22" t="str">
        <f t="shared" si="1"/>
        <v>PC</v>
      </c>
      <c r="H6" s="23" t="s">
        <v>487</v>
      </c>
      <c r="I6" s="20" t="s">
        <v>481</v>
      </c>
    </row>
    <row r="7" spans="1:9" x14ac:dyDescent="0.25">
      <c r="A7" s="15" t="s">
        <v>358</v>
      </c>
      <c r="B7" s="20" t="s">
        <v>334</v>
      </c>
      <c r="C7" s="21" t="s">
        <v>542</v>
      </c>
      <c r="D7" s="20" t="str">
        <f t="shared" si="2"/>
        <v>1ST-358-006</v>
      </c>
      <c r="E7" s="22" t="s">
        <v>489</v>
      </c>
      <c r="F7" s="22">
        <f t="shared" si="0"/>
        <v>168</v>
      </c>
      <c r="G7" s="22" t="str">
        <f t="shared" si="1"/>
        <v>PC</v>
      </c>
      <c r="H7" s="23" t="s">
        <v>486</v>
      </c>
      <c r="I7" s="20" t="s">
        <v>481</v>
      </c>
    </row>
    <row r="8" spans="1:9" x14ac:dyDescent="0.25">
      <c r="A8" s="15" t="s">
        <v>358</v>
      </c>
      <c r="B8" s="20" t="s">
        <v>333</v>
      </c>
      <c r="C8" s="21" t="s">
        <v>543</v>
      </c>
      <c r="D8" s="20" t="str">
        <f t="shared" si="2"/>
        <v>1ST-358-007</v>
      </c>
      <c r="E8" s="21" t="s">
        <v>489</v>
      </c>
      <c r="F8" s="22">
        <f t="shared" si="0"/>
        <v>168</v>
      </c>
      <c r="G8" s="22" t="str">
        <f t="shared" si="1"/>
        <v>PC</v>
      </c>
      <c r="H8" s="20" t="s">
        <v>481</v>
      </c>
      <c r="I8" s="20" t="s">
        <v>481</v>
      </c>
    </row>
    <row r="9" spans="1:9" x14ac:dyDescent="0.25">
      <c r="A9" s="15" t="s">
        <v>358</v>
      </c>
      <c r="B9" s="20" t="s">
        <v>333</v>
      </c>
      <c r="C9" s="22" t="s">
        <v>544</v>
      </c>
      <c r="D9" s="20" t="str">
        <f t="shared" si="2"/>
        <v>1ST-358-008</v>
      </c>
      <c r="E9" s="22" t="s">
        <v>545</v>
      </c>
      <c r="F9" s="22">
        <f t="shared" si="0"/>
        <v>180</v>
      </c>
      <c r="G9" s="22" t="str">
        <f t="shared" si="1"/>
        <v>PC</v>
      </c>
      <c r="H9" s="20" t="s">
        <v>481</v>
      </c>
      <c r="I9" s="20" t="s">
        <v>481</v>
      </c>
    </row>
    <row r="10" spans="1:9" x14ac:dyDescent="0.25">
      <c r="A10" s="15" t="s">
        <v>358</v>
      </c>
      <c r="B10" s="20" t="s">
        <v>333</v>
      </c>
      <c r="C10" s="21" t="s">
        <v>488</v>
      </c>
      <c r="D10" s="20" t="str">
        <f t="shared" si="2"/>
        <v>1ST-358-009</v>
      </c>
      <c r="E10" s="21" t="s">
        <v>546</v>
      </c>
      <c r="F10" s="22">
        <f t="shared" si="0"/>
        <v>275</v>
      </c>
      <c r="G10" s="22" t="str">
        <f t="shared" si="1"/>
        <v>PC</v>
      </c>
      <c r="H10" s="24" t="s">
        <v>774</v>
      </c>
      <c r="I10" s="20" t="s">
        <v>481</v>
      </c>
    </row>
    <row r="11" spans="1:9" x14ac:dyDescent="0.25">
      <c r="A11" s="15" t="s">
        <v>358</v>
      </c>
      <c r="B11" s="20" t="s">
        <v>333</v>
      </c>
      <c r="C11" s="21" t="s">
        <v>547</v>
      </c>
      <c r="D11" s="20" t="str">
        <f t="shared" si="2"/>
        <v>1ST-358-010</v>
      </c>
      <c r="E11" s="21" t="s">
        <v>548</v>
      </c>
      <c r="F11" s="22">
        <f t="shared" si="0"/>
        <v>345</v>
      </c>
      <c r="G11" s="22" t="str">
        <f t="shared" si="1"/>
        <v>PC</v>
      </c>
      <c r="H11" s="21" t="s">
        <v>775</v>
      </c>
      <c r="I11" s="20" t="s">
        <v>481</v>
      </c>
    </row>
    <row r="12" spans="1:9" x14ac:dyDescent="0.25">
      <c r="A12" s="15" t="s">
        <v>358</v>
      </c>
      <c r="B12" s="20" t="s">
        <v>333</v>
      </c>
      <c r="C12" s="21" t="s">
        <v>549</v>
      </c>
      <c r="D12" s="20" t="str">
        <f t="shared" si="2"/>
        <v>1ST-358-011</v>
      </c>
      <c r="E12" s="21" t="s">
        <v>548</v>
      </c>
      <c r="F12" s="22">
        <f t="shared" si="0"/>
        <v>345</v>
      </c>
      <c r="G12" s="22" t="str">
        <f t="shared" si="1"/>
        <v>PC</v>
      </c>
      <c r="H12" s="21"/>
      <c r="I12" s="20" t="s">
        <v>481</v>
      </c>
    </row>
    <row r="13" spans="1:9" x14ac:dyDescent="0.25">
      <c r="A13" s="15" t="s">
        <v>358</v>
      </c>
      <c r="B13" s="20" t="s">
        <v>333</v>
      </c>
      <c r="C13" s="21" t="s">
        <v>550</v>
      </c>
      <c r="D13" s="20" t="str">
        <f t="shared" si="2"/>
        <v>1ST-358-012</v>
      </c>
      <c r="E13" s="21" t="s">
        <v>551</v>
      </c>
      <c r="F13" s="22">
        <f t="shared" si="0"/>
        <v>515</v>
      </c>
      <c r="G13" s="22" t="str">
        <f t="shared" si="1"/>
        <v>PC</v>
      </c>
      <c r="H13" s="21" t="s">
        <v>776</v>
      </c>
      <c r="I13" s="20" t="s">
        <v>481</v>
      </c>
    </row>
    <row r="14" spans="1:9" x14ac:dyDescent="0.25">
      <c r="A14" s="15" t="s">
        <v>358</v>
      </c>
      <c r="B14" s="20" t="s">
        <v>333</v>
      </c>
      <c r="C14" s="21" t="s">
        <v>552</v>
      </c>
      <c r="D14" s="20" t="str">
        <f t="shared" si="2"/>
        <v>1ST-358-013</v>
      </c>
      <c r="E14" s="21" t="s">
        <v>551</v>
      </c>
      <c r="F14" s="22">
        <f t="shared" si="0"/>
        <v>515</v>
      </c>
      <c r="G14" s="22" t="str">
        <f t="shared" si="1"/>
        <v>PC</v>
      </c>
      <c r="H14" s="21"/>
      <c r="I14" s="20" t="s">
        <v>481</v>
      </c>
    </row>
    <row r="15" spans="1:9" x14ac:dyDescent="0.25">
      <c r="A15" s="15" t="s">
        <v>358</v>
      </c>
      <c r="B15" s="20" t="s">
        <v>333</v>
      </c>
      <c r="C15" s="21" t="s">
        <v>553</v>
      </c>
      <c r="D15" s="20" t="str">
        <f t="shared" si="2"/>
        <v>1ST-358-014</v>
      </c>
      <c r="E15" s="21" t="s">
        <v>554</v>
      </c>
      <c r="F15" s="22">
        <f t="shared" si="0"/>
        <v>615</v>
      </c>
      <c r="G15" s="22" t="str">
        <f t="shared" si="1"/>
        <v>PC</v>
      </c>
      <c r="H15" s="24" t="s">
        <v>777</v>
      </c>
      <c r="I15" s="20" t="s">
        <v>481</v>
      </c>
    </row>
    <row r="16" spans="1:9" x14ac:dyDescent="0.25">
      <c r="A16" s="15" t="s">
        <v>358</v>
      </c>
      <c r="B16" s="20" t="s">
        <v>333</v>
      </c>
      <c r="C16" s="21" t="s">
        <v>555</v>
      </c>
      <c r="D16" s="20" t="str">
        <f t="shared" si="2"/>
        <v>1ST-358-015</v>
      </c>
      <c r="E16" s="21" t="s">
        <v>556</v>
      </c>
      <c r="F16" s="22">
        <f t="shared" si="0"/>
        <v>555</v>
      </c>
      <c r="G16" s="22" t="str">
        <f t="shared" si="1"/>
        <v>PC</v>
      </c>
      <c r="H16" s="21" t="s">
        <v>778</v>
      </c>
      <c r="I16" s="20" t="s">
        <v>481</v>
      </c>
    </row>
    <row r="17" spans="1:9" x14ac:dyDescent="0.25">
      <c r="A17" s="15" t="s">
        <v>358</v>
      </c>
      <c r="B17" s="20" t="s">
        <v>333</v>
      </c>
      <c r="C17" s="21" t="s">
        <v>557</v>
      </c>
      <c r="D17" s="20" t="str">
        <f t="shared" si="2"/>
        <v>1ST-358-016</v>
      </c>
      <c r="E17" s="21" t="s">
        <v>556</v>
      </c>
      <c r="F17" s="22">
        <f t="shared" si="0"/>
        <v>555</v>
      </c>
      <c r="G17" s="22" t="str">
        <f t="shared" si="1"/>
        <v>PC</v>
      </c>
      <c r="H17" s="21"/>
      <c r="I17" s="20" t="s">
        <v>481</v>
      </c>
    </row>
    <row r="18" spans="1:9" x14ac:dyDescent="0.25">
      <c r="A18" s="15" t="s">
        <v>358</v>
      </c>
      <c r="B18" s="20" t="s">
        <v>333</v>
      </c>
      <c r="C18" s="21" t="s">
        <v>558</v>
      </c>
      <c r="D18" s="20" t="str">
        <f t="shared" si="2"/>
        <v>1ST-358-017</v>
      </c>
      <c r="E18" s="21" t="s">
        <v>559</v>
      </c>
      <c r="F18" s="22">
        <f t="shared" si="0"/>
        <v>205</v>
      </c>
      <c r="G18" s="22" t="str">
        <f t="shared" si="1"/>
        <v>PC</v>
      </c>
      <c r="H18" s="24" t="s">
        <v>779</v>
      </c>
      <c r="I18" s="20" t="s">
        <v>481</v>
      </c>
    </row>
    <row r="19" spans="1:9" x14ac:dyDescent="0.25">
      <c r="A19" s="15" t="s">
        <v>358</v>
      </c>
      <c r="B19" s="20" t="s">
        <v>333</v>
      </c>
      <c r="C19" s="21" t="s">
        <v>560</v>
      </c>
      <c r="D19" s="20" t="str">
        <f t="shared" si="2"/>
        <v>1ST-358-018</v>
      </c>
      <c r="E19" s="21" t="s">
        <v>548</v>
      </c>
      <c r="F19" s="22">
        <f t="shared" si="0"/>
        <v>345</v>
      </c>
      <c r="G19" s="22" t="str">
        <f t="shared" si="1"/>
        <v>PC</v>
      </c>
      <c r="H19" s="21" t="s">
        <v>775</v>
      </c>
      <c r="I19" s="20" t="s">
        <v>481</v>
      </c>
    </row>
    <row r="20" spans="1:9" x14ac:dyDescent="0.25">
      <c r="A20" s="15" t="s">
        <v>358</v>
      </c>
      <c r="B20" s="20" t="s">
        <v>333</v>
      </c>
      <c r="C20" s="22" t="s">
        <v>490</v>
      </c>
      <c r="D20" s="20" t="str">
        <f t="shared" si="2"/>
        <v>1ST-358-019</v>
      </c>
      <c r="E20" s="22" t="s">
        <v>561</v>
      </c>
      <c r="F20" s="22">
        <f t="shared" si="0"/>
        <v>1055</v>
      </c>
      <c r="G20" s="22" t="str">
        <f t="shared" si="1"/>
        <v>PC</v>
      </c>
      <c r="H20" s="25" t="s">
        <v>780</v>
      </c>
      <c r="I20" s="20" t="s">
        <v>481</v>
      </c>
    </row>
    <row r="21" spans="1:9" x14ac:dyDescent="0.25">
      <c r="A21" s="15" t="s">
        <v>358</v>
      </c>
      <c r="B21" s="20" t="s">
        <v>333</v>
      </c>
      <c r="C21" s="22" t="s">
        <v>491</v>
      </c>
      <c r="D21" s="20" t="str">
        <f t="shared" si="2"/>
        <v>1ST-358-020</v>
      </c>
      <c r="E21" s="22" t="s">
        <v>561</v>
      </c>
      <c r="F21" s="22">
        <f t="shared" si="0"/>
        <v>1055</v>
      </c>
      <c r="G21" s="22" t="str">
        <f t="shared" si="1"/>
        <v>PC</v>
      </c>
      <c r="H21" s="25" t="s">
        <v>780</v>
      </c>
      <c r="I21" s="20" t="s">
        <v>481</v>
      </c>
    </row>
    <row r="22" spans="1:9" x14ac:dyDescent="0.25">
      <c r="A22" s="15" t="s">
        <v>358</v>
      </c>
      <c r="B22" s="20" t="s">
        <v>333</v>
      </c>
      <c r="C22" s="21" t="s">
        <v>492</v>
      </c>
      <c r="D22" s="20" t="str">
        <f t="shared" si="2"/>
        <v>1ST-358-021</v>
      </c>
      <c r="E22" s="22" t="s">
        <v>562</v>
      </c>
      <c r="F22" s="22">
        <f t="shared" si="0"/>
        <v>1250</v>
      </c>
      <c r="G22" s="22" t="str">
        <f t="shared" si="1"/>
        <v>PC</v>
      </c>
      <c r="H22" s="21" t="s">
        <v>781</v>
      </c>
      <c r="I22" s="20" t="s">
        <v>481</v>
      </c>
    </row>
    <row r="23" spans="1:9" x14ac:dyDescent="0.25">
      <c r="A23" s="15" t="s">
        <v>358</v>
      </c>
      <c r="B23" s="20" t="s">
        <v>333</v>
      </c>
      <c r="C23" s="21" t="s">
        <v>563</v>
      </c>
      <c r="D23" s="20" t="str">
        <f t="shared" si="2"/>
        <v>1ST-358-022</v>
      </c>
      <c r="E23" s="21" t="s">
        <v>564</v>
      </c>
      <c r="F23" s="22">
        <f t="shared" si="0"/>
        <v>1550</v>
      </c>
      <c r="G23" s="22" t="str">
        <f t="shared" si="1"/>
        <v>PC</v>
      </c>
      <c r="H23" s="24" t="s">
        <v>782</v>
      </c>
      <c r="I23" s="20" t="s">
        <v>481</v>
      </c>
    </row>
    <row r="24" spans="1:9" x14ac:dyDescent="0.25">
      <c r="A24" s="15" t="s">
        <v>358</v>
      </c>
      <c r="B24" s="20" t="s">
        <v>333</v>
      </c>
      <c r="C24" s="21" t="s">
        <v>565</v>
      </c>
      <c r="D24" s="20" t="str">
        <f t="shared" si="2"/>
        <v>1ST-358-023</v>
      </c>
      <c r="E24" s="21" t="s">
        <v>566</v>
      </c>
      <c r="F24" s="22">
        <f t="shared" si="0"/>
        <v>1350</v>
      </c>
      <c r="G24" s="22" t="str">
        <f t="shared" si="1"/>
        <v>PC</v>
      </c>
      <c r="H24" s="24" t="s">
        <v>783</v>
      </c>
      <c r="I24" s="20" t="s">
        <v>481</v>
      </c>
    </row>
    <row r="25" spans="1:9" x14ac:dyDescent="0.25">
      <c r="A25" s="15" t="s">
        <v>358</v>
      </c>
      <c r="B25" s="20" t="s">
        <v>333</v>
      </c>
      <c r="C25" s="21" t="s">
        <v>567</v>
      </c>
      <c r="D25" s="20" t="str">
        <f t="shared" si="2"/>
        <v>1ST-358-024</v>
      </c>
      <c r="E25" s="21" t="s">
        <v>568</v>
      </c>
      <c r="F25" s="22">
        <f t="shared" si="0"/>
        <v>1650</v>
      </c>
      <c r="G25" s="22" t="str">
        <f t="shared" si="1"/>
        <v>PC</v>
      </c>
      <c r="H25" s="24" t="s">
        <v>784</v>
      </c>
      <c r="I25" s="20" t="s">
        <v>481</v>
      </c>
    </row>
    <row r="26" spans="1:9" x14ac:dyDescent="0.25">
      <c r="A26" s="15" t="s">
        <v>358</v>
      </c>
      <c r="B26" s="20" t="s">
        <v>333</v>
      </c>
      <c r="C26" s="21" t="s">
        <v>569</v>
      </c>
      <c r="D26" s="20" t="str">
        <f t="shared" si="2"/>
        <v>1ST-358-025</v>
      </c>
      <c r="E26" s="21" t="s">
        <v>570</v>
      </c>
      <c r="F26" s="22">
        <f t="shared" si="0"/>
        <v>1385</v>
      </c>
      <c r="G26" s="22" t="str">
        <f t="shared" si="1"/>
        <v>PC</v>
      </c>
      <c r="H26" s="24" t="s">
        <v>785</v>
      </c>
      <c r="I26" s="20" t="s">
        <v>481</v>
      </c>
    </row>
    <row r="27" spans="1:9" x14ac:dyDescent="0.25">
      <c r="A27" s="15" t="s">
        <v>358</v>
      </c>
      <c r="B27" s="20" t="s">
        <v>333</v>
      </c>
      <c r="C27" s="21" t="s">
        <v>571</v>
      </c>
      <c r="D27" s="20" t="str">
        <f t="shared" si="2"/>
        <v>1ST-358-026</v>
      </c>
      <c r="E27" s="21" t="s">
        <v>572</v>
      </c>
      <c r="F27" s="22">
        <f t="shared" si="0"/>
        <v>1685</v>
      </c>
      <c r="G27" s="22" t="str">
        <f t="shared" si="1"/>
        <v>PC</v>
      </c>
      <c r="H27" s="24" t="s">
        <v>786</v>
      </c>
      <c r="I27" s="20" t="s">
        <v>481</v>
      </c>
    </row>
    <row r="28" spans="1:9" x14ac:dyDescent="0.25">
      <c r="A28" s="15" t="s">
        <v>358</v>
      </c>
      <c r="B28" s="20" t="s">
        <v>333</v>
      </c>
      <c r="C28" s="22" t="s">
        <v>573</v>
      </c>
      <c r="D28" s="20" t="str">
        <f t="shared" si="2"/>
        <v>1ST-358-027</v>
      </c>
      <c r="E28" s="22" t="s">
        <v>574</v>
      </c>
      <c r="F28" s="22">
        <f t="shared" si="0"/>
        <v>1750</v>
      </c>
      <c r="G28" s="22" t="str">
        <f t="shared" si="1"/>
        <v>PC</v>
      </c>
      <c r="H28" s="24" t="s">
        <v>787</v>
      </c>
      <c r="I28" s="20" t="s">
        <v>481</v>
      </c>
    </row>
    <row r="29" spans="1:9" x14ac:dyDescent="0.25">
      <c r="A29" s="15" t="s">
        <v>358</v>
      </c>
      <c r="B29" s="20" t="s">
        <v>333</v>
      </c>
      <c r="C29" s="22" t="s">
        <v>575</v>
      </c>
      <c r="D29" s="20" t="str">
        <f t="shared" si="2"/>
        <v>1ST-358-028</v>
      </c>
      <c r="E29" s="22" t="s">
        <v>576</v>
      </c>
      <c r="F29" s="22">
        <f t="shared" si="0"/>
        <v>2150</v>
      </c>
      <c r="G29" s="22" t="str">
        <f t="shared" si="1"/>
        <v>PC</v>
      </c>
      <c r="H29" s="24" t="s">
        <v>788</v>
      </c>
      <c r="I29" s="20" t="s">
        <v>481</v>
      </c>
    </row>
    <row r="30" spans="1:9" x14ac:dyDescent="0.25">
      <c r="A30" s="15" t="s">
        <v>358</v>
      </c>
      <c r="B30" s="20" t="s">
        <v>333</v>
      </c>
      <c r="C30" s="22" t="s">
        <v>577</v>
      </c>
      <c r="D30" s="20" t="str">
        <f t="shared" si="2"/>
        <v>1ST-358-029</v>
      </c>
      <c r="E30" s="22" t="s">
        <v>578</v>
      </c>
      <c r="F30" s="22">
        <f t="shared" si="0"/>
        <v>1950</v>
      </c>
      <c r="G30" s="22" t="str">
        <f t="shared" si="1"/>
        <v>PC</v>
      </c>
      <c r="H30" s="24" t="s">
        <v>789</v>
      </c>
      <c r="I30" s="20" t="s">
        <v>481</v>
      </c>
    </row>
    <row r="31" spans="1:9" x14ac:dyDescent="0.25">
      <c r="A31" s="15" t="s">
        <v>358</v>
      </c>
      <c r="B31" s="20" t="s">
        <v>333</v>
      </c>
      <c r="C31" s="22" t="s">
        <v>579</v>
      </c>
      <c r="D31" s="20" t="str">
        <f t="shared" si="2"/>
        <v>1ST-358-030</v>
      </c>
      <c r="E31" s="22" t="s">
        <v>580</v>
      </c>
      <c r="F31" s="22">
        <f t="shared" si="0"/>
        <v>2250</v>
      </c>
      <c r="G31" s="22" t="str">
        <f t="shared" si="1"/>
        <v>PC</v>
      </c>
      <c r="H31" s="24" t="s">
        <v>790</v>
      </c>
      <c r="I31" s="20" t="s">
        <v>481</v>
      </c>
    </row>
    <row r="32" spans="1:9" x14ac:dyDescent="0.25">
      <c r="A32" s="15" t="s">
        <v>358</v>
      </c>
      <c r="B32" s="20" t="s">
        <v>333</v>
      </c>
      <c r="C32" s="21" t="s">
        <v>581</v>
      </c>
      <c r="D32" s="20" t="str">
        <f t="shared" si="2"/>
        <v>1ST-358-031</v>
      </c>
      <c r="E32" s="22" t="s">
        <v>582</v>
      </c>
      <c r="F32" s="22">
        <f t="shared" si="0"/>
        <v>2600</v>
      </c>
      <c r="G32" s="22" t="str">
        <f t="shared" si="1"/>
        <v>SET</v>
      </c>
      <c r="H32" s="21" t="s">
        <v>791</v>
      </c>
      <c r="I32" s="20" t="s">
        <v>481</v>
      </c>
    </row>
    <row r="33" spans="1:9" x14ac:dyDescent="0.25">
      <c r="A33" s="15" t="s">
        <v>358</v>
      </c>
      <c r="B33" s="20" t="s">
        <v>333</v>
      </c>
      <c r="C33" s="21" t="s">
        <v>583</v>
      </c>
      <c r="D33" s="20" t="str">
        <f t="shared" si="2"/>
        <v>1ST-358-032</v>
      </c>
      <c r="E33" s="22" t="s">
        <v>584</v>
      </c>
      <c r="F33" s="22">
        <f t="shared" si="0"/>
        <v>3500</v>
      </c>
      <c r="G33" s="22" t="str">
        <f t="shared" si="1"/>
        <v>SET</v>
      </c>
      <c r="H33" s="21" t="s">
        <v>792</v>
      </c>
      <c r="I33" s="20" t="s">
        <v>481</v>
      </c>
    </row>
    <row r="34" spans="1:9" x14ac:dyDescent="0.25">
      <c r="A34" s="15" t="s">
        <v>358</v>
      </c>
      <c r="B34" s="20" t="s">
        <v>333</v>
      </c>
      <c r="C34" s="21" t="s">
        <v>585</v>
      </c>
      <c r="D34" s="20" t="str">
        <f t="shared" si="2"/>
        <v>1ST-358-033</v>
      </c>
      <c r="E34" s="22" t="s">
        <v>586</v>
      </c>
      <c r="F34" s="22">
        <f t="shared" si="0"/>
        <v>4000</v>
      </c>
      <c r="G34" s="22" t="str">
        <f t="shared" si="1"/>
        <v>SET</v>
      </c>
      <c r="H34" s="21" t="s">
        <v>793</v>
      </c>
      <c r="I34" s="20" t="s">
        <v>481</v>
      </c>
    </row>
    <row r="35" spans="1:9" x14ac:dyDescent="0.25">
      <c r="A35" s="15" t="s">
        <v>358</v>
      </c>
      <c r="B35" s="20" t="s">
        <v>332</v>
      </c>
      <c r="C35" s="26" t="s">
        <v>493</v>
      </c>
      <c r="D35" s="20" t="str">
        <f t="shared" si="2"/>
        <v>1ST-358-034</v>
      </c>
      <c r="E35" s="22" t="s">
        <v>587</v>
      </c>
      <c r="F35" s="22">
        <f t="shared" si="0"/>
        <v>800</v>
      </c>
      <c r="G35" s="22" t="str">
        <f t="shared" si="1"/>
        <v>ROLL</v>
      </c>
      <c r="H35" s="20"/>
      <c r="I35" s="20" t="s">
        <v>481</v>
      </c>
    </row>
    <row r="36" spans="1:9" x14ac:dyDescent="0.25">
      <c r="A36" s="15" t="s">
        <v>358</v>
      </c>
      <c r="B36" s="20" t="s">
        <v>332</v>
      </c>
      <c r="C36" s="21" t="s">
        <v>794</v>
      </c>
      <c r="D36" s="20" t="str">
        <f t="shared" si="2"/>
        <v>1ST-358-035</v>
      </c>
      <c r="E36" s="22" t="s">
        <v>588</v>
      </c>
      <c r="F36" s="22">
        <f t="shared" si="0"/>
        <v>930</v>
      </c>
      <c r="G36" s="22" t="str">
        <f t="shared" si="1"/>
        <v>ROLL</v>
      </c>
      <c r="H36" s="20"/>
      <c r="I36" s="20" t="s">
        <v>481</v>
      </c>
    </row>
    <row r="37" spans="1:9" ht="27.6" x14ac:dyDescent="0.25">
      <c r="A37" s="15" t="s">
        <v>358</v>
      </c>
      <c r="B37" s="20" t="s">
        <v>332</v>
      </c>
      <c r="C37" s="21" t="s">
        <v>795</v>
      </c>
      <c r="D37" s="20" t="str">
        <f t="shared" si="2"/>
        <v>1ST-358-036</v>
      </c>
      <c r="E37" s="21" t="s">
        <v>497</v>
      </c>
      <c r="F37" s="22">
        <f t="shared" si="0"/>
        <v>1030</v>
      </c>
      <c r="G37" s="22" t="str">
        <f t="shared" si="1"/>
        <v>ROLL</v>
      </c>
      <c r="H37" s="21" t="s">
        <v>494</v>
      </c>
      <c r="I37" s="20" t="s">
        <v>481</v>
      </c>
    </row>
    <row r="38" spans="1:9" ht="27.6" x14ac:dyDescent="0.25">
      <c r="A38" s="15" t="s">
        <v>358</v>
      </c>
      <c r="B38" s="20" t="s">
        <v>332</v>
      </c>
      <c r="C38" s="21" t="s">
        <v>796</v>
      </c>
      <c r="D38" s="20" t="str">
        <f t="shared" si="2"/>
        <v>1ST-358-037</v>
      </c>
      <c r="E38" s="22" t="s">
        <v>589</v>
      </c>
      <c r="F38" s="22">
        <f t="shared" si="0"/>
        <v>1385</v>
      </c>
      <c r="G38" s="22" t="str">
        <f t="shared" si="1"/>
        <v>ROLL</v>
      </c>
      <c r="H38" s="21" t="s">
        <v>495</v>
      </c>
      <c r="I38" s="20" t="s">
        <v>481</v>
      </c>
    </row>
    <row r="39" spans="1:9" x14ac:dyDescent="0.25">
      <c r="A39" s="15" t="s">
        <v>358</v>
      </c>
      <c r="B39" s="20" t="s">
        <v>332</v>
      </c>
      <c r="C39" s="21" t="s">
        <v>797</v>
      </c>
      <c r="D39" s="20" t="str">
        <f t="shared" si="2"/>
        <v>1ST-358-038</v>
      </c>
      <c r="E39" s="21" t="s">
        <v>587</v>
      </c>
      <c r="F39" s="22">
        <f t="shared" si="0"/>
        <v>800</v>
      </c>
      <c r="G39" s="22" t="str">
        <f t="shared" si="1"/>
        <v>ROLL</v>
      </c>
      <c r="H39" s="20"/>
      <c r="I39" s="20" t="s">
        <v>481</v>
      </c>
    </row>
    <row r="40" spans="1:9" x14ac:dyDescent="0.25">
      <c r="A40" s="15" t="s">
        <v>358</v>
      </c>
      <c r="B40" s="20" t="s">
        <v>332</v>
      </c>
      <c r="C40" s="21" t="s">
        <v>798</v>
      </c>
      <c r="D40" s="20" t="str">
        <f t="shared" si="2"/>
        <v>1ST-358-039</v>
      </c>
      <c r="E40" s="21" t="s">
        <v>588</v>
      </c>
      <c r="F40" s="22">
        <f t="shared" si="0"/>
        <v>930</v>
      </c>
      <c r="G40" s="22" t="str">
        <f t="shared" si="1"/>
        <v>ROLL</v>
      </c>
      <c r="H40" s="20"/>
      <c r="I40" s="20" t="s">
        <v>481</v>
      </c>
    </row>
    <row r="41" spans="1:9" ht="27.6" x14ac:dyDescent="0.25">
      <c r="A41" s="15" t="s">
        <v>358</v>
      </c>
      <c r="B41" s="20" t="s">
        <v>332</v>
      </c>
      <c r="C41" s="22" t="s">
        <v>799</v>
      </c>
      <c r="D41" s="20" t="str">
        <f t="shared" si="2"/>
        <v>1ST-358-040</v>
      </c>
      <c r="E41" s="22" t="s">
        <v>497</v>
      </c>
      <c r="F41" s="22">
        <f t="shared" si="0"/>
        <v>1030</v>
      </c>
      <c r="G41" s="22" t="str">
        <f t="shared" si="1"/>
        <v>ROLL</v>
      </c>
      <c r="H41" s="20"/>
      <c r="I41" s="20" t="s">
        <v>481</v>
      </c>
    </row>
    <row r="42" spans="1:9" ht="27.6" x14ac:dyDescent="0.25">
      <c r="A42" s="15" t="s">
        <v>358</v>
      </c>
      <c r="B42" s="20" t="s">
        <v>332</v>
      </c>
      <c r="C42" s="22" t="s">
        <v>800</v>
      </c>
      <c r="D42" s="20" t="str">
        <f t="shared" si="2"/>
        <v>1ST-358-041</v>
      </c>
      <c r="E42" s="22" t="s">
        <v>589</v>
      </c>
      <c r="F42" s="22">
        <f t="shared" si="0"/>
        <v>1385</v>
      </c>
      <c r="G42" s="22" t="str">
        <f t="shared" si="1"/>
        <v>ROLL</v>
      </c>
      <c r="H42" s="20"/>
      <c r="I42" s="20" t="s">
        <v>481</v>
      </c>
    </row>
    <row r="43" spans="1:9" x14ac:dyDescent="0.25">
      <c r="A43" s="15" t="s">
        <v>358</v>
      </c>
      <c r="B43" s="20" t="s">
        <v>331</v>
      </c>
      <c r="C43" s="21" t="s">
        <v>496</v>
      </c>
      <c r="D43" s="20" t="str">
        <f t="shared" si="2"/>
        <v>1ST-358-042</v>
      </c>
      <c r="E43" s="21" t="s">
        <v>500</v>
      </c>
      <c r="F43" s="22">
        <f t="shared" si="0"/>
        <v>750</v>
      </c>
      <c r="G43" s="22" t="str">
        <f t="shared" si="1"/>
        <v>ROLL</v>
      </c>
      <c r="H43" s="23" t="s">
        <v>501</v>
      </c>
      <c r="I43" s="20" t="s">
        <v>481</v>
      </c>
    </row>
    <row r="44" spans="1:9" x14ac:dyDescent="0.25">
      <c r="A44" s="15" t="s">
        <v>358</v>
      </c>
      <c r="B44" s="20" t="s">
        <v>331</v>
      </c>
      <c r="C44" s="23" t="s">
        <v>505</v>
      </c>
      <c r="D44" s="20" t="str">
        <f t="shared" si="2"/>
        <v>1ST-358-043</v>
      </c>
      <c r="E44" s="21" t="s">
        <v>590</v>
      </c>
      <c r="F44" s="22">
        <f t="shared" si="0"/>
        <v>900</v>
      </c>
      <c r="G44" s="22" t="str">
        <f t="shared" si="1"/>
        <v>ROLL</v>
      </c>
      <c r="H44" s="23" t="s">
        <v>502</v>
      </c>
      <c r="I44" s="20" t="s">
        <v>481</v>
      </c>
    </row>
    <row r="45" spans="1:9" ht="27.6" x14ac:dyDescent="0.25">
      <c r="A45" s="15" t="s">
        <v>358</v>
      </c>
      <c r="B45" s="20" t="s">
        <v>331</v>
      </c>
      <c r="C45" s="20" t="s">
        <v>498</v>
      </c>
      <c r="D45" s="20" t="str">
        <f t="shared" si="2"/>
        <v>1ST-358-044</v>
      </c>
      <c r="E45" s="21" t="s">
        <v>591</v>
      </c>
      <c r="F45" s="22">
        <f t="shared" si="0"/>
        <v>1200</v>
      </c>
      <c r="G45" s="22" t="str">
        <f t="shared" si="1"/>
        <v>ROLL</v>
      </c>
      <c r="H45" s="23" t="s">
        <v>503</v>
      </c>
      <c r="I45" s="20" t="s">
        <v>481</v>
      </c>
    </row>
    <row r="46" spans="1:9" ht="27.6" x14ac:dyDescent="0.25">
      <c r="A46" s="15" t="s">
        <v>358</v>
      </c>
      <c r="B46" s="20" t="s">
        <v>331</v>
      </c>
      <c r="C46" s="20" t="s">
        <v>499</v>
      </c>
      <c r="D46" s="20" t="str">
        <f t="shared" si="2"/>
        <v>1ST-358-045</v>
      </c>
      <c r="E46" s="21" t="s">
        <v>592</v>
      </c>
      <c r="F46" s="22">
        <f t="shared" si="0"/>
        <v>1650</v>
      </c>
      <c r="G46" s="22" t="str">
        <f t="shared" si="1"/>
        <v>ROLL</v>
      </c>
      <c r="H46" s="23" t="s">
        <v>504</v>
      </c>
      <c r="I46" s="20" t="s">
        <v>481</v>
      </c>
    </row>
    <row r="47" spans="1:9" ht="27.6" x14ac:dyDescent="0.25">
      <c r="A47" s="15" t="s">
        <v>358</v>
      </c>
      <c r="B47" s="20" t="s">
        <v>330</v>
      </c>
      <c r="C47" s="21" t="s">
        <v>593</v>
      </c>
      <c r="D47" s="20" t="str">
        <f t="shared" si="2"/>
        <v>1ST-358-046</v>
      </c>
      <c r="E47" s="21" t="s">
        <v>594</v>
      </c>
      <c r="F47" s="22">
        <f t="shared" si="0"/>
        <v>250</v>
      </c>
      <c r="G47" s="22" t="str">
        <f t="shared" si="1"/>
        <v>ROLL</v>
      </c>
      <c r="H47" s="23" t="s">
        <v>506</v>
      </c>
      <c r="I47" s="20" t="s">
        <v>481</v>
      </c>
    </row>
    <row r="48" spans="1:9" ht="27.6" x14ac:dyDescent="0.25">
      <c r="A48" s="15" t="s">
        <v>358</v>
      </c>
      <c r="B48" s="20" t="s">
        <v>330</v>
      </c>
      <c r="C48" s="21" t="s">
        <v>595</v>
      </c>
      <c r="D48" s="20" t="str">
        <f t="shared" si="2"/>
        <v>1ST-358-047</v>
      </c>
      <c r="E48" s="21" t="s">
        <v>596</v>
      </c>
      <c r="F48" s="22">
        <f t="shared" si="0"/>
        <v>405</v>
      </c>
      <c r="G48" s="22" t="str">
        <f t="shared" si="1"/>
        <v>ROLL</v>
      </c>
      <c r="H48" s="23" t="s">
        <v>506</v>
      </c>
      <c r="I48" s="20" t="s">
        <v>481</v>
      </c>
    </row>
    <row r="49" spans="1:9" ht="27.6" x14ac:dyDescent="0.25">
      <c r="A49" s="15" t="s">
        <v>358</v>
      </c>
      <c r="B49" s="20" t="s">
        <v>330</v>
      </c>
      <c r="C49" s="21" t="s">
        <v>597</v>
      </c>
      <c r="D49" s="20" t="str">
        <f t="shared" si="2"/>
        <v>1ST-358-048</v>
      </c>
      <c r="E49" s="21" t="s">
        <v>598</v>
      </c>
      <c r="F49" s="22">
        <f t="shared" si="0"/>
        <v>485</v>
      </c>
      <c r="G49" s="22" t="str">
        <f t="shared" si="1"/>
        <v>ROLL</v>
      </c>
      <c r="H49" s="23" t="s">
        <v>506</v>
      </c>
      <c r="I49" s="20" t="s">
        <v>481</v>
      </c>
    </row>
    <row r="50" spans="1:9" ht="27.6" x14ac:dyDescent="0.25">
      <c r="A50" s="15" t="s">
        <v>358</v>
      </c>
      <c r="B50" s="20" t="s">
        <v>330</v>
      </c>
      <c r="C50" s="21" t="s">
        <v>599</v>
      </c>
      <c r="D50" s="20" t="str">
        <f t="shared" si="2"/>
        <v>1ST-358-049</v>
      </c>
      <c r="E50" s="21" t="s">
        <v>600</v>
      </c>
      <c r="F50" s="22">
        <f t="shared" si="0"/>
        <v>845</v>
      </c>
      <c r="G50" s="22" t="str">
        <f t="shared" si="1"/>
        <v>ROLL</v>
      </c>
      <c r="H50" s="23" t="s">
        <v>506</v>
      </c>
      <c r="I50" s="20" t="s">
        <v>481</v>
      </c>
    </row>
    <row r="51" spans="1:9" ht="27.6" x14ac:dyDescent="0.25">
      <c r="A51" s="15" t="s">
        <v>358</v>
      </c>
      <c r="B51" s="20" t="s">
        <v>330</v>
      </c>
      <c r="C51" s="21" t="s">
        <v>601</v>
      </c>
      <c r="D51" s="20" t="str">
        <f t="shared" si="2"/>
        <v>1ST-358-050</v>
      </c>
      <c r="E51" s="21" t="s">
        <v>602</v>
      </c>
      <c r="F51" s="22">
        <f t="shared" si="0"/>
        <v>555</v>
      </c>
      <c r="G51" s="22" t="str">
        <f t="shared" si="1"/>
        <v>ROLL</v>
      </c>
      <c r="H51" s="23" t="s">
        <v>506</v>
      </c>
      <c r="I51" s="20" t="s">
        <v>481</v>
      </c>
    </row>
    <row r="52" spans="1:9" ht="27.6" x14ac:dyDescent="0.25">
      <c r="A52" s="15" t="s">
        <v>358</v>
      </c>
      <c r="B52" s="20" t="s">
        <v>330</v>
      </c>
      <c r="C52" s="21" t="s">
        <v>603</v>
      </c>
      <c r="D52" s="20" t="str">
        <f t="shared" si="2"/>
        <v>1ST-358-051</v>
      </c>
      <c r="E52" s="21" t="s">
        <v>604</v>
      </c>
      <c r="F52" s="22">
        <f t="shared" si="0"/>
        <v>825</v>
      </c>
      <c r="G52" s="22" t="str">
        <f t="shared" si="1"/>
        <v>ROLL</v>
      </c>
      <c r="H52" s="23" t="s">
        <v>506</v>
      </c>
      <c r="I52" s="20" t="s">
        <v>481</v>
      </c>
    </row>
    <row r="53" spans="1:9" ht="27.6" x14ac:dyDescent="0.25">
      <c r="A53" s="15" t="s">
        <v>358</v>
      </c>
      <c r="B53" s="20" t="s">
        <v>330</v>
      </c>
      <c r="C53" s="21" t="s">
        <v>605</v>
      </c>
      <c r="D53" s="20" t="str">
        <f t="shared" si="2"/>
        <v>1ST-358-052</v>
      </c>
      <c r="E53" s="21" t="s">
        <v>606</v>
      </c>
      <c r="F53" s="22">
        <f t="shared" si="0"/>
        <v>1350</v>
      </c>
      <c r="G53" s="22" t="str">
        <f t="shared" si="1"/>
        <v>ROLL</v>
      </c>
      <c r="H53" s="23" t="s">
        <v>506</v>
      </c>
      <c r="I53" s="20" t="s">
        <v>481</v>
      </c>
    </row>
    <row r="54" spans="1:9" x14ac:dyDescent="0.25">
      <c r="A54" s="15" t="s">
        <v>358</v>
      </c>
      <c r="B54" s="20" t="s">
        <v>329</v>
      </c>
      <c r="C54" s="22" t="s">
        <v>607</v>
      </c>
      <c r="D54" s="20" t="str">
        <f t="shared" si="2"/>
        <v>1ST-358-053</v>
      </c>
      <c r="E54" s="22" t="s">
        <v>590</v>
      </c>
      <c r="F54" s="22">
        <f t="shared" si="0"/>
        <v>900</v>
      </c>
      <c r="G54" s="22" t="str">
        <f t="shared" si="1"/>
        <v>ROLL</v>
      </c>
      <c r="H54" s="24" t="s">
        <v>801</v>
      </c>
      <c r="I54" s="20" t="s">
        <v>481</v>
      </c>
    </row>
    <row r="55" spans="1:9" x14ac:dyDescent="0.25">
      <c r="A55" s="15" t="s">
        <v>358</v>
      </c>
      <c r="B55" s="20" t="s">
        <v>329</v>
      </c>
      <c r="C55" s="22" t="s">
        <v>608</v>
      </c>
      <c r="D55" s="20" t="str">
        <f t="shared" si="2"/>
        <v>1ST-358-054</v>
      </c>
      <c r="E55" s="22" t="s">
        <v>609</v>
      </c>
      <c r="F55" s="22">
        <f t="shared" si="0"/>
        <v>990</v>
      </c>
      <c r="G55" s="22" t="str">
        <f t="shared" si="1"/>
        <v>ROLL</v>
      </c>
      <c r="H55" s="24" t="s">
        <v>802</v>
      </c>
      <c r="I55" s="20" t="s">
        <v>481</v>
      </c>
    </row>
    <row r="56" spans="1:9" ht="27.6" x14ac:dyDescent="0.25">
      <c r="A56" s="15" t="s">
        <v>358</v>
      </c>
      <c r="B56" s="20" t="s">
        <v>329</v>
      </c>
      <c r="C56" s="22" t="s">
        <v>610</v>
      </c>
      <c r="D56" s="20" t="str">
        <f t="shared" si="2"/>
        <v>1ST-358-055</v>
      </c>
      <c r="E56" s="22" t="s">
        <v>611</v>
      </c>
      <c r="F56" s="22">
        <f t="shared" si="0"/>
        <v>1190</v>
      </c>
      <c r="G56" s="22" t="str">
        <f t="shared" si="1"/>
        <v>ROLL</v>
      </c>
      <c r="H56" s="24" t="s">
        <v>803</v>
      </c>
      <c r="I56" s="20" t="s">
        <v>481</v>
      </c>
    </row>
    <row r="57" spans="1:9" ht="27.6" x14ac:dyDescent="0.25">
      <c r="A57" s="15" t="s">
        <v>358</v>
      </c>
      <c r="B57" s="20" t="s">
        <v>329</v>
      </c>
      <c r="C57" s="22" t="s">
        <v>612</v>
      </c>
      <c r="D57" s="20" t="str">
        <f t="shared" si="2"/>
        <v>1ST-358-056</v>
      </c>
      <c r="E57" s="22" t="s">
        <v>613</v>
      </c>
      <c r="F57" s="22">
        <f t="shared" si="0"/>
        <v>1620</v>
      </c>
      <c r="G57" s="22" t="str">
        <f t="shared" si="1"/>
        <v>ROLL</v>
      </c>
      <c r="H57" s="24" t="s">
        <v>804</v>
      </c>
      <c r="I57" s="20" t="s">
        <v>481</v>
      </c>
    </row>
    <row r="58" spans="1:9" ht="27.6" x14ac:dyDescent="0.25">
      <c r="A58" s="15" t="s">
        <v>358</v>
      </c>
      <c r="B58" s="20" t="s">
        <v>329</v>
      </c>
      <c r="C58" s="21" t="s">
        <v>614</v>
      </c>
      <c r="D58" s="20" t="str">
        <f t="shared" si="2"/>
        <v>1ST-358-057</v>
      </c>
      <c r="E58" s="21" t="s">
        <v>615</v>
      </c>
      <c r="F58" s="22">
        <f t="shared" si="0"/>
        <v>1965</v>
      </c>
      <c r="G58" s="22" t="str">
        <f t="shared" si="1"/>
        <v>ROLL</v>
      </c>
      <c r="H58" s="24" t="s">
        <v>805</v>
      </c>
      <c r="I58" s="20" t="s">
        <v>481</v>
      </c>
    </row>
    <row r="59" spans="1:9" ht="27.6" x14ac:dyDescent="0.25">
      <c r="A59" s="15" t="s">
        <v>358</v>
      </c>
      <c r="B59" s="20" t="s">
        <v>329</v>
      </c>
      <c r="C59" s="22" t="s">
        <v>616</v>
      </c>
      <c r="D59" s="20" t="str">
        <f t="shared" si="2"/>
        <v>1ST-358-058</v>
      </c>
      <c r="E59" s="22" t="s">
        <v>617</v>
      </c>
      <c r="F59" s="22">
        <f t="shared" si="0"/>
        <v>2125</v>
      </c>
      <c r="G59" s="22" t="str">
        <f t="shared" si="1"/>
        <v>ROLL</v>
      </c>
      <c r="H59" s="24" t="s">
        <v>806</v>
      </c>
      <c r="I59" s="20" t="s">
        <v>481</v>
      </c>
    </row>
    <row r="60" spans="1:9" ht="27.6" x14ac:dyDescent="0.25">
      <c r="A60" s="15" t="s">
        <v>358</v>
      </c>
      <c r="B60" s="20" t="s">
        <v>329</v>
      </c>
      <c r="C60" s="22" t="s">
        <v>618</v>
      </c>
      <c r="D60" s="20" t="str">
        <f t="shared" si="2"/>
        <v>1ST-358-059</v>
      </c>
      <c r="E60" s="22" t="s">
        <v>619</v>
      </c>
      <c r="F60" s="22">
        <f t="shared" si="0"/>
        <v>2420</v>
      </c>
      <c r="G60" s="22" t="str">
        <f t="shared" si="1"/>
        <v>ROLL</v>
      </c>
      <c r="H60" s="24" t="s">
        <v>807</v>
      </c>
      <c r="I60" s="20" t="s">
        <v>481</v>
      </c>
    </row>
    <row r="61" spans="1:9" ht="27.6" x14ac:dyDescent="0.25">
      <c r="A61" s="15" t="s">
        <v>358</v>
      </c>
      <c r="B61" s="20" t="s">
        <v>329</v>
      </c>
      <c r="C61" s="22" t="s">
        <v>620</v>
      </c>
      <c r="D61" s="20" t="str">
        <f t="shared" si="2"/>
        <v>1ST-358-060</v>
      </c>
      <c r="E61" s="22" t="s">
        <v>621</v>
      </c>
      <c r="F61" s="22">
        <f t="shared" si="0"/>
        <v>2800</v>
      </c>
      <c r="G61" s="22" t="str">
        <f t="shared" si="1"/>
        <v>ROLL</v>
      </c>
      <c r="H61" s="24" t="s">
        <v>808</v>
      </c>
      <c r="I61" s="20" t="s">
        <v>481</v>
      </c>
    </row>
    <row r="62" spans="1:9" ht="27.6" x14ac:dyDescent="0.25">
      <c r="A62" s="15" t="s">
        <v>358</v>
      </c>
      <c r="B62" s="20" t="s">
        <v>329</v>
      </c>
      <c r="C62" s="22" t="s">
        <v>622</v>
      </c>
      <c r="D62" s="20" t="str">
        <f t="shared" si="2"/>
        <v>1ST-358-061</v>
      </c>
      <c r="E62" s="22" t="s">
        <v>623</v>
      </c>
      <c r="F62" s="22">
        <f t="shared" si="0"/>
        <v>3700</v>
      </c>
      <c r="G62" s="22" t="str">
        <f t="shared" si="1"/>
        <v>ROLL</v>
      </c>
      <c r="H62" s="24" t="s">
        <v>809</v>
      </c>
      <c r="I62" s="20" t="s">
        <v>481</v>
      </c>
    </row>
    <row r="63" spans="1:9" ht="27.6" x14ac:dyDescent="0.25">
      <c r="A63" s="15" t="s">
        <v>358</v>
      </c>
      <c r="B63" s="20" t="s">
        <v>329</v>
      </c>
      <c r="C63" s="21" t="s">
        <v>624</v>
      </c>
      <c r="D63" s="20" t="str">
        <f t="shared" si="2"/>
        <v>1ST-358-062</v>
      </c>
      <c r="E63" s="21" t="s">
        <v>625</v>
      </c>
      <c r="F63" s="22">
        <f t="shared" si="0"/>
        <v>6480</v>
      </c>
      <c r="G63" s="22" t="str">
        <f t="shared" si="1"/>
        <v>ROLL</v>
      </c>
      <c r="H63" s="24" t="s">
        <v>810</v>
      </c>
      <c r="I63" s="20" t="s">
        <v>481</v>
      </c>
    </row>
    <row r="64" spans="1:9" x14ac:dyDescent="0.25">
      <c r="A64" s="15" t="s">
        <v>358</v>
      </c>
      <c r="B64" s="20" t="s">
        <v>328</v>
      </c>
      <c r="C64" s="22" t="s">
        <v>626</v>
      </c>
      <c r="D64" s="20" t="str">
        <f t="shared" si="2"/>
        <v>1ST-358-063</v>
      </c>
      <c r="E64" s="22" t="s">
        <v>627</v>
      </c>
      <c r="F64" s="22">
        <f t="shared" si="0"/>
        <v>18.5</v>
      </c>
      <c r="G64" s="22" t="str">
        <f t="shared" si="1"/>
        <v>PC</v>
      </c>
      <c r="H64" s="21" t="s">
        <v>811</v>
      </c>
      <c r="I64" s="20" t="s">
        <v>481</v>
      </c>
    </row>
    <row r="65" spans="1:9" x14ac:dyDescent="0.25">
      <c r="A65" s="15" t="s">
        <v>358</v>
      </c>
      <c r="B65" s="20" t="s">
        <v>328</v>
      </c>
      <c r="C65" s="22" t="s">
        <v>628</v>
      </c>
      <c r="D65" s="20" t="str">
        <f t="shared" si="2"/>
        <v>1ST-358-064</v>
      </c>
      <c r="E65" s="22" t="s">
        <v>629</v>
      </c>
      <c r="F65" s="22">
        <f t="shared" si="0"/>
        <v>19.5</v>
      </c>
      <c r="G65" s="22" t="str">
        <f t="shared" si="1"/>
        <v>PC</v>
      </c>
      <c r="H65" s="21" t="s">
        <v>812</v>
      </c>
      <c r="I65" s="20" t="s">
        <v>481</v>
      </c>
    </row>
    <row r="66" spans="1:9" x14ac:dyDescent="0.25">
      <c r="A66" s="15" t="s">
        <v>358</v>
      </c>
      <c r="B66" s="20" t="s">
        <v>328</v>
      </c>
      <c r="C66" s="22" t="s">
        <v>630</v>
      </c>
      <c r="D66" s="20" t="str">
        <f t="shared" si="2"/>
        <v>1ST-358-065</v>
      </c>
      <c r="E66" s="22" t="s">
        <v>631</v>
      </c>
      <c r="F66" s="22">
        <f t="shared" si="0"/>
        <v>20.5</v>
      </c>
      <c r="G66" s="22" t="str">
        <f t="shared" si="1"/>
        <v>PC</v>
      </c>
      <c r="H66" s="21" t="s">
        <v>813</v>
      </c>
      <c r="I66" s="20" t="s">
        <v>481</v>
      </c>
    </row>
    <row r="67" spans="1:9" x14ac:dyDescent="0.25">
      <c r="A67" s="15" t="s">
        <v>358</v>
      </c>
      <c r="B67" s="20" t="s">
        <v>327</v>
      </c>
      <c r="C67" s="22" t="s">
        <v>632</v>
      </c>
      <c r="D67" s="20" t="str">
        <f t="shared" si="2"/>
        <v>1ST-358-066</v>
      </c>
      <c r="E67" s="22" t="s">
        <v>633</v>
      </c>
      <c r="F67" s="22">
        <f t="shared" ref="F67:F130" si="3">VALUE(LEFT(E67,FIND("/",E67)-1))</f>
        <v>1150</v>
      </c>
      <c r="G67" s="22" t="str">
        <f t="shared" ref="G67:G126" si="4">TRIM(MID(E67,FIND("/",E67)+1,LEN(E67)))</f>
        <v>PC</v>
      </c>
      <c r="H67" s="21" t="s">
        <v>814</v>
      </c>
      <c r="I67" s="20"/>
    </row>
    <row r="68" spans="1:9" x14ac:dyDescent="0.25">
      <c r="A68" s="15" t="s">
        <v>358</v>
      </c>
      <c r="B68" s="20" t="s">
        <v>327</v>
      </c>
      <c r="C68" s="22" t="s">
        <v>634</v>
      </c>
      <c r="D68" s="20" t="str">
        <f t="shared" ref="D68:D131" si="5">LEFT($D$2,FIND("-",$D$2,FIND("-",$D$2)+1)) &amp; TEXT(RIGHT($D$2,3)+ROW(D66),"000")</f>
        <v>1ST-358-067</v>
      </c>
      <c r="E68" s="22" t="s">
        <v>635</v>
      </c>
      <c r="F68" s="22">
        <f t="shared" si="3"/>
        <v>2200</v>
      </c>
      <c r="G68" s="22" t="str">
        <f t="shared" si="4"/>
        <v>PC</v>
      </c>
      <c r="H68" s="21" t="s">
        <v>815</v>
      </c>
      <c r="I68" s="20"/>
    </row>
    <row r="69" spans="1:9" x14ac:dyDescent="0.25">
      <c r="A69" s="15" t="s">
        <v>358</v>
      </c>
      <c r="B69" s="20" t="s">
        <v>326</v>
      </c>
      <c r="C69" s="22" t="s">
        <v>507</v>
      </c>
      <c r="D69" s="20" t="str">
        <f t="shared" si="5"/>
        <v>1ST-358-068</v>
      </c>
      <c r="E69" s="22" t="s">
        <v>508</v>
      </c>
      <c r="F69" s="22">
        <f t="shared" si="3"/>
        <v>300</v>
      </c>
      <c r="G69" s="22" t="str">
        <f t="shared" si="4"/>
        <v>BOX</v>
      </c>
      <c r="H69" s="21" t="s">
        <v>509</v>
      </c>
      <c r="I69" s="20"/>
    </row>
    <row r="70" spans="1:9" x14ac:dyDescent="0.25">
      <c r="A70" s="15" t="s">
        <v>358</v>
      </c>
      <c r="B70" s="20" t="s">
        <v>325</v>
      </c>
      <c r="C70" s="20" t="s">
        <v>510</v>
      </c>
      <c r="D70" s="20" t="str">
        <f t="shared" si="5"/>
        <v>1ST-358-069</v>
      </c>
      <c r="E70" s="22" t="s">
        <v>636</v>
      </c>
      <c r="F70" s="22">
        <f t="shared" si="3"/>
        <v>2900</v>
      </c>
      <c r="G70" s="22" t="str">
        <f t="shared" si="4"/>
        <v>PC</v>
      </c>
      <c r="H70" s="21" t="s">
        <v>481</v>
      </c>
      <c r="I70" s="20" t="s">
        <v>481</v>
      </c>
    </row>
    <row r="71" spans="1:9" x14ac:dyDescent="0.25">
      <c r="A71" s="15" t="s">
        <v>358</v>
      </c>
      <c r="B71" s="20" t="s">
        <v>324</v>
      </c>
      <c r="C71" s="21" t="s">
        <v>637</v>
      </c>
      <c r="D71" s="20" t="str">
        <f t="shared" si="5"/>
        <v>1ST-358-070</v>
      </c>
      <c r="E71" s="22" t="s">
        <v>526</v>
      </c>
      <c r="F71" s="22">
        <f t="shared" si="3"/>
        <v>2150</v>
      </c>
      <c r="G71" s="22" t="str">
        <f t="shared" si="4"/>
        <v>SET</v>
      </c>
      <c r="H71" s="21" t="s">
        <v>511</v>
      </c>
      <c r="I71" s="20" t="s">
        <v>481</v>
      </c>
    </row>
    <row r="72" spans="1:9" x14ac:dyDescent="0.25">
      <c r="A72" s="15" t="s">
        <v>358</v>
      </c>
      <c r="B72" s="20" t="s">
        <v>324</v>
      </c>
      <c r="C72" s="21" t="s">
        <v>638</v>
      </c>
      <c r="D72" s="20" t="str">
        <f t="shared" si="5"/>
        <v>1ST-358-071</v>
      </c>
      <c r="E72" s="22" t="s">
        <v>526</v>
      </c>
      <c r="F72" s="22">
        <f t="shared" si="3"/>
        <v>2150</v>
      </c>
      <c r="G72" s="22" t="str">
        <f t="shared" si="4"/>
        <v>SET</v>
      </c>
      <c r="H72" s="21" t="s">
        <v>511</v>
      </c>
      <c r="I72" s="20" t="s">
        <v>481</v>
      </c>
    </row>
    <row r="73" spans="1:9" x14ac:dyDescent="0.25">
      <c r="A73" s="15" t="s">
        <v>358</v>
      </c>
      <c r="B73" s="20" t="s">
        <v>324</v>
      </c>
      <c r="C73" s="21" t="s">
        <v>639</v>
      </c>
      <c r="D73" s="20" t="str">
        <f t="shared" si="5"/>
        <v>1ST-358-072</v>
      </c>
      <c r="E73" s="22" t="s">
        <v>526</v>
      </c>
      <c r="F73" s="22">
        <f t="shared" si="3"/>
        <v>2150</v>
      </c>
      <c r="G73" s="22" t="str">
        <f t="shared" si="4"/>
        <v>SET</v>
      </c>
      <c r="H73" s="21" t="s">
        <v>511</v>
      </c>
      <c r="I73" s="20" t="s">
        <v>481</v>
      </c>
    </row>
    <row r="74" spans="1:9" x14ac:dyDescent="0.25">
      <c r="A74" s="15" t="s">
        <v>358</v>
      </c>
      <c r="B74" s="20" t="s">
        <v>323</v>
      </c>
      <c r="C74" s="22" t="s">
        <v>640</v>
      </c>
      <c r="D74" s="20" t="str">
        <f t="shared" si="5"/>
        <v>1ST-358-073</v>
      </c>
      <c r="E74" s="22" t="s">
        <v>641</v>
      </c>
      <c r="F74" s="22">
        <f t="shared" si="3"/>
        <v>205</v>
      </c>
      <c r="G74" s="22" t="str">
        <f t="shared" si="4"/>
        <v>ROLL</v>
      </c>
      <c r="H74" s="21" t="s">
        <v>816</v>
      </c>
      <c r="I74" s="20" t="s">
        <v>481</v>
      </c>
    </row>
    <row r="75" spans="1:9" x14ac:dyDescent="0.25">
      <c r="A75" s="15" t="s">
        <v>358</v>
      </c>
      <c r="B75" s="20" t="s">
        <v>323</v>
      </c>
      <c r="C75" s="22" t="s">
        <v>642</v>
      </c>
      <c r="D75" s="20" t="str">
        <f t="shared" si="5"/>
        <v>1ST-358-074</v>
      </c>
      <c r="E75" s="22" t="s">
        <v>643</v>
      </c>
      <c r="F75" s="22">
        <f t="shared" si="3"/>
        <v>285</v>
      </c>
      <c r="G75" s="22" t="str">
        <f t="shared" si="4"/>
        <v>ROLL</v>
      </c>
      <c r="H75" s="21" t="s">
        <v>817</v>
      </c>
      <c r="I75" s="20" t="s">
        <v>481</v>
      </c>
    </row>
    <row r="76" spans="1:9" x14ac:dyDescent="0.25">
      <c r="A76" s="15" t="s">
        <v>358</v>
      </c>
      <c r="B76" s="20" t="s">
        <v>323</v>
      </c>
      <c r="C76" s="22" t="s">
        <v>644</v>
      </c>
      <c r="D76" s="20" t="str">
        <f t="shared" si="5"/>
        <v>1ST-358-075</v>
      </c>
      <c r="E76" s="22" t="s">
        <v>645</v>
      </c>
      <c r="F76" s="22">
        <f t="shared" si="3"/>
        <v>365</v>
      </c>
      <c r="G76" s="22" t="str">
        <f t="shared" si="4"/>
        <v>ROLL</v>
      </c>
      <c r="H76" s="21" t="s">
        <v>818</v>
      </c>
      <c r="I76" s="20" t="s">
        <v>481</v>
      </c>
    </row>
    <row r="77" spans="1:9" x14ac:dyDescent="0.25">
      <c r="A77" s="15" t="s">
        <v>358</v>
      </c>
      <c r="B77" s="20" t="s">
        <v>323</v>
      </c>
      <c r="C77" s="22" t="s">
        <v>646</v>
      </c>
      <c r="D77" s="20" t="str">
        <f t="shared" si="5"/>
        <v>1ST-358-076</v>
      </c>
      <c r="E77" s="22" t="s">
        <v>647</v>
      </c>
      <c r="F77" s="22">
        <f t="shared" si="3"/>
        <v>455</v>
      </c>
      <c r="G77" s="22" t="str">
        <f t="shared" si="4"/>
        <v>ROLL</v>
      </c>
      <c r="H77" s="21" t="s">
        <v>819</v>
      </c>
      <c r="I77" s="20" t="s">
        <v>481</v>
      </c>
    </row>
    <row r="78" spans="1:9" x14ac:dyDescent="0.25">
      <c r="A78" s="15" t="s">
        <v>358</v>
      </c>
      <c r="B78" s="20" t="s">
        <v>323</v>
      </c>
      <c r="C78" s="22" t="s">
        <v>648</v>
      </c>
      <c r="D78" s="20" t="str">
        <f t="shared" si="5"/>
        <v>1ST-358-077</v>
      </c>
      <c r="E78" s="22" t="s">
        <v>649</v>
      </c>
      <c r="F78" s="22">
        <f t="shared" si="3"/>
        <v>720</v>
      </c>
      <c r="G78" s="22" t="str">
        <f t="shared" si="4"/>
        <v>ROLL</v>
      </c>
      <c r="H78" s="21" t="s">
        <v>820</v>
      </c>
      <c r="I78" s="20" t="s">
        <v>481</v>
      </c>
    </row>
    <row r="79" spans="1:9" ht="14.4" customHeight="1" x14ac:dyDescent="0.25">
      <c r="A79" s="15" t="s">
        <v>358</v>
      </c>
      <c r="B79" s="20" t="s">
        <v>323</v>
      </c>
      <c r="C79" s="22" t="s">
        <v>650</v>
      </c>
      <c r="D79" s="20" t="str">
        <f t="shared" si="5"/>
        <v>1ST-358-078</v>
      </c>
      <c r="E79" s="22" t="s">
        <v>651</v>
      </c>
      <c r="F79" s="22">
        <f t="shared" si="3"/>
        <v>1400</v>
      </c>
      <c r="G79" s="22" t="str">
        <f t="shared" si="4"/>
        <v>ROLL</v>
      </c>
      <c r="H79" s="27" t="s">
        <v>821</v>
      </c>
      <c r="I79" s="20" t="s">
        <v>481</v>
      </c>
    </row>
    <row r="80" spans="1:9" ht="14.4" customHeight="1" x14ac:dyDescent="0.25">
      <c r="A80" s="15" t="s">
        <v>358</v>
      </c>
      <c r="B80" s="20" t="s">
        <v>322</v>
      </c>
      <c r="C80" s="21" t="s">
        <v>652</v>
      </c>
      <c r="D80" s="20" t="str">
        <f t="shared" si="5"/>
        <v>1ST-358-079</v>
      </c>
      <c r="E80" s="21" t="s">
        <v>641</v>
      </c>
      <c r="F80" s="22">
        <f t="shared" si="3"/>
        <v>205</v>
      </c>
      <c r="G80" s="22" t="str">
        <f t="shared" si="4"/>
        <v>ROLL</v>
      </c>
      <c r="H80" s="27" t="s">
        <v>822</v>
      </c>
      <c r="I80" s="20" t="s">
        <v>481</v>
      </c>
    </row>
    <row r="81" spans="1:9" ht="14.4" customHeight="1" x14ac:dyDescent="0.25">
      <c r="A81" s="15" t="s">
        <v>358</v>
      </c>
      <c r="B81" s="20" t="s">
        <v>322</v>
      </c>
      <c r="C81" s="21" t="s">
        <v>653</v>
      </c>
      <c r="D81" s="20" t="str">
        <f t="shared" si="5"/>
        <v>1ST-358-080</v>
      </c>
      <c r="E81" s="21" t="s">
        <v>643</v>
      </c>
      <c r="F81" s="22">
        <f t="shared" si="3"/>
        <v>285</v>
      </c>
      <c r="G81" s="22" t="str">
        <f t="shared" si="4"/>
        <v>ROLL</v>
      </c>
      <c r="H81" s="27" t="s">
        <v>823</v>
      </c>
      <c r="I81" s="20" t="s">
        <v>481</v>
      </c>
    </row>
    <row r="82" spans="1:9" ht="14.4" customHeight="1" x14ac:dyDescent="0.25">
      <c r="A82" s="15" t="s">
        <v>358</v>
      </c>
      <c r="B82" s="20" t="s">
        <v>322</v>
      </c>
      <c r="C82" s="21" t="s">
        <v>654</v>
      </c>
      <c r="D82" s="20" t="str">
        <f t="shared" si="5"/>
        <v>1ST-358-081</v>
      </c>
      <c r="E82" s="21" t="s">
        <v>645</v>
      </c>
      <c r="F82" s="22">
        <f t="shared" si="3"/>
        <v>365</v>
      </c>
      <c r="G82" s="22" t="str">
        <f t="shared" si="4"/>
        <v>ROLL</v>
      </c>
      <c r="H82" s="27" t="s">
        <v>824</v>
      </c>
      <c r="I82" s="20" t="s">
        <v>481</v>
      </c>
    </row>
    <row r="83" spans="1:9" ht="14.4" customHeight="1" x14ac:dyDescent="0.25">
      <c r="A83" s="15" t="s">
        <v>358</v>
      </c>
      <c r="B83" s="20" t="s">
        <v>322</v>
      </c>
      <c r="C83" s="21" t="s">
        <v>655</v>
      </c>
      <c r="D83" s="20" t="str">
        <f t="shared" si="5"/>
        <v>1ST-358-082</v>
      </c>
      <c r="E83" s="21" t="s">
        <v>647</v>
      </c>
      <c r="F83" s="22">
        <f t="shared" si="3"/>
        <v>455</v>
      </c>
      <c r="G83" s="22" t="str">
        <f t="shared" si="4"/>
        <v>ROLL</v>
      </c>
      <c r="H83" s="27" t="s">
        <v>825</v>
      </c>
      <c r="I83" s="20" t="s">
        <v>481</v>
      </c>
    </row>
    <row r="84" spans="1:9" ht="14.4" customHeight="1" x14ac:dyDescent="0.25">
      <c r="A84" s="15" t="s">
        <v>358</v>
      </c>
      <c r="B84" s="20" t="s">
        <v>322</v>
      </c>
      <c r="C84" s="21" t="s">
        <v>656</v>
      </c>
      <c r="D84" s="20" t="str">
        <f t="shared" si="5"/>
        <v>1ST-358-083</v>
      </c>
      <c r="E84" s="21" t="s">
        <v>649</v>
      </c>
      <c r="F84" s="22">
        <f t="shared" si="3"/>
        <v>720</v>
      </c>
      <c r="G84" s="22" t="str">
        <f t="shared" si="4"/>
        <v>ROLL</v>
      </c>
      <c r="H84" s="27" t="s">
        <v>826</v>
      </c>
      <c r="I84" s="20" t="s">
        <v>481</v>
      </c>
    </row>
    <row r="85" spans="1:9" ht="14.4" customHeight="1" x14ac:dyDescent="0.25">
      <c r="A85" s="15" t="s">
        <v>358</v>
      </c>
      <c r="B85" s="20" t="s">
        <v>322</v>
      </c>
      <c r="C85" s="21" t="s">
        <v>657</v>
      </c>
      <c r="D85" s="20" t="str">
        <f t="shared" si="5"/>
        <v>1ST-358-084</v>
      </c>
      <c r="E85" s="21" t="s">
        <v>651</v>
      </c>
      <c r="F85" s="22">
        <f t="shared" si="3"/>
        <v>1400</v>
      </c>
      <c r="G85" s="22" t="str">
        <f t="shared" si="4"/>
        <v>ROLL</v>
      </c>
      <c r="H85" s="27" t="s">
        <v>827</v>
      </c>
      <c r="I85" s="20" t="s">
        <v>481</v>
      </c>
    </row>
    <row r="86" spans="1:9" x14ac:dyDescent="0.25">
      <c r="A86" s="15" t="s">
        <v>358</v>
      </c>
      <c r="B86" s="20" t="s">
        <v>321</v>
      </c>
      <c r="C86" s="21" t="s">
        <v>512</v>
      </c>
      <c r="D86" s="20" t="str">
        <f t="shared" si="5"/>
        <v>1ST-358-085</v>
      </c>
      <c r="E86" s="22" t="s">
        <v>578</v>
      </c>
      <c r="F86" s="22">
        <f t="shared" si="3"/>
        <v>1950</v>
      </c>
      <c r="G86" s="22" t="str">
        <f t="shared" si="4"/>
        <v>PC</v>
      </c>
      <c r="H86" s="27" t="s">
        <v>481</v>
      </c>
      <c r="I86" s="20" t="s">
        <v>481</v>
      </c>
    </row>
    <row r="87" spans="1:9" x14ac:dyDescent="0.25">
      <c r="A87" s="15" t="s">
        <v>358</v>
      </c>
      <c r="B87" s="20" t="s">
        <v>320</v>
      </c>
      <c r="C87" s="21" t="s">
        <v>513</v>
      </c>
      <c r="D87" s="20" t="str">
        <f t="shared" si="5"/>
        <v>1ST-358-086</v>
      </c>
      <c r="E87" s="22" t="s">
        <v>658</v>
      </c>
      <c r="F87" s="22">
        <f t="shared" si="3"/>
        <v>1050</v>
      </c>
      <c r="G87" s="22" t="str">
        <f t="shared" si="4"/>
        <v>PC</v>
      </c>
      <c r="H87" s="27" t="s">
        <v>515</v>
      </c>
      <c r="I87" s="20" t="s">
        <v>481</v>
      </c>
    </row>
    <row r="88" spans="1:9" x14ac:dyDescent="0.25">
      <c r="A88" s="15" t="s">
        <v>358</v>
      </c>
      <c r="B88" s="20" t="s">
        <v>319</v>
      </c>
      <c r="C88" s="21" t="s">
        <v>659</v>
      </c>
      <c r="D88" s="20" t="str">
        <f t="shared" si="5"/>
        <v>1ST-358-087</v>
      </c>
      <c r="E88" s="21" t="s">
        <v>545</v>
      </c>
      <c r="F88" s="22">
        <f t="shared" si="3"/>
        <v>180</v>
      </c>
      <c r="G88" s="22" t="str">
        <f t="shared" si="4"/>
        <v>PC</v>
      </c>
      <c r="H88" s="27" t="s">
        <v>514</v>
      </c>
      <c r="I88" s="20" t="s">
        <v>481</v>
      </c>
    </row>
    <row r="89" spans="1:9" x14ac:dyDescent="0.25">
      <c r="A89" s="15" t="s">
        <v>358</v>
      </c>
      <c r="B89" s="20" t="s">
        <v>319</v>
      </c>
      <c r="C89" s="21" t="s">
        <v>660</v>
      </c>
      <c r="D89" s="20" t="str">
        <f t="shared" si="5"/>
        <v>1ST-358-088</v>
      </c>
      <c r="E89" s="21" t="s">
        <v>661</v>
      </c>
      <c r="F89" s="22">
        <f t="shared" si="3"/>
        <v>299</v>
      </c>
      <c r="G89" s="22" t="str">
        <f t="shared" si="4"/>
        <v>PC</v>
      </c>
      <c r="H89" s="27" t="s">
        <v>481</v>
      </c>
      <c r="I89" s="20" t="s">
        <v>481</v>
      </c>
    </row>
    <row r="90" spans="1:9" x14ac:dyDescent="0.25">
      <c r="A90" s="15" t="s">
        <v>358</v>
      </c>
      <c r="B90" s="20" t="s">
        <v>318</v>
      </c>
      <c r="C90" s="21" t="s">
        <v>516</v>
      </c>
      <c r="D90" s="20" t="str">
        <f t="shared" si="5"/>
        <v>1ST-358-089</v>
      </c>
      <c r="E90" s="22" t="s">
        <v>662</v>
      </c>
      <c r="F90" s="22">
        <f t="shared" si="3"/>
        <v>125</v>
      </c>
      <c r="G90" s="22" t="str">
        <f t="shared" si="4"/>
        <v>PC</v>
      </c>
      <c r="H90" s="23" t="s">
        <v>517</v>
      </c>
      <c r="I90" s="20" t="s">
        <v>481</v>
      </c>
    </row>
    <row r="91" spans="1:9" x14ac:dyDescent="0.25">
      <c r="A91" s="15" t="s">
        <v>358</v>
      </c>
      <c r="B91" s="20" t="s">
        <v>317</v>
      </c>
      <c r="C91" s="21" t="s">
        <v>518</v>
      </c>
      <c r="D91" s="20" t="str">
        <f t="shared" si="5"/>
        <v>1ST-358-090</v>
      </c>
      <c r="E91" s="22" t="s">
        <v>527</v>
      </c>
      <c r="F91" s="22">
        <f t="shared" si="3"/>
        <v>118</v>
      </c>
      <c r="G91" s="22" t="str">
        <f t="shared" si="4"/>
        <v>PC</v>
      </c>
      <c r="H91" s="27" t="s">
        <v>519</v>
      </c>
      <c r="I91" s="20" t="s">
        <v>481</v>
      </c>
    </row>
    <row r="92" spans="1:9" x14ac:dyDescent="0.25">
      <c r="A92" s="15" t="s">
        <v>358</v>
      </c>
      <c r="B92" s="20" t="s">
        <v>316</v>
      </c>
      <c r="C92" s="22" t="s">
        <v>828</v>
      </c>
      <c r="D92" s="20" t="str">
        <f t="shared" si="5"/>
        <v>1ST-358-091</v>
      </c>
      <c r="E92" s="22" t="s">
        <v>663</v>
      </c>
      <c r="F92" s="22">
        <f t="shared" si="3"/>
        <v>57</v>
      </c>
      <c r="G92" s="22" t="str">
        <f t="shared" si="4"/>
        <v>PC</v>
      </c>
      <c r="H92" s="27" t="s">
        <v>520</v>
      </c>
      <c r="I92" s="20" t="s">
        <v>481</v>
      </c>
    </row>
    <row r="93" spans="1:9" x14ac:dyDescent="0.25">
      <c r="A93" s="15" t="s">
        <v>358</v>
      </c>
      <c r="B93" s="20" t="s">
        <v>316</v>
      </c>
      <c r="C93" s="22" t="s">
        <v>829</v>
      </c>
      <c r="D93" s="20" t="str">
        <f t="shared" si="5"/>
        <v>1ST-358-092</v>
      </c>
      <c r="E93" s="22" t="s">
        <v>664</v>
      </c>
      <c r="F93" s="22">
        <f t="shared" si="3"/>
        <v>85.5</v>
      </c>
      <c r="G93" s="22" t="str">
        <f t="shared" si="4"/>
        <v>PC</v>
      </c>
      <c r="H93" s="20" t="s">
        <v>520</v>
      </c>
      <c r="I93" s="20" t="s">
        <v>481</v>
      </c>
    </row>
    <row r="94" spans="1:9" x14ac:dyDescent="0.25">
      <c r="A94" s="15" t="s">
        <v>358</v>
      </c>
      <c r="B94" s="20" t="s">
        <v>316</v>
      </c>
      <c r="C94" s="22" t="s">
        <v>830</v>
      </c>
      <c r="D94" s="20" t="str">
        <f t="shared" si="5"/>
        <v>1ST-358-093</v>
      </c>
      <c r="E94" s="22" t="s">
        <v>665</v>
      </c>
      <c r="F94" s="22">
        <f t="shared" si="3"/>
        <v>123.5</v>
      </c>
      <c r="G94" s="22" t="str">
        <f t="shared" si="4"/>
        <v>PC</v>
      </c>
      <c r="H94" s="20" t="s">
        <v>520</v>
      </c>
      <c r="I94" s="20" t="s">
        <v>481</v>
      </c>
    </row>
    <row r="95" spans="1:9" x14ac:dyDescent="0.25">
      <c r="A95" s="15" t="s">
        <v>358</v>
      </c>
      <c r="B95" s="20" t="s">
        <v>315</v>
      </c>
      <c r="C95" s="21" t="s">
        <v>831</v>
      </c>
      <c r="D95" s="20" t="str">
        <f t="shared" si="5"/>
        <v>1ST-358-094</v>
      </c>
      <c r="E95" s="21" t="s">
        <v>666</v>
      </c>
      <c r="F95" s="22">
        <f t="shared" si="3"/>
        <v>2.5</v>
      </c>
      <c r="G95" s="22" t="str">
        <f t="shared" si="4"/>
        <v>PC</v>
      </c>
      <c r="H95" s="20" t="s">
        <v>481</v>
      </c>
      <c r="I95" s="20" t="s">
        <v>481</v>
      </c>
    </row>
    <row r="96" spans="1:9" x14ac:dyDescent="0.25">
      <c r="A96" s="15" t="s">
        <v>358</v>
      </c>
      <c r="B96" s="20" t="s">
        <v>315</v>
      </c>
      <c r="C96" s="21" t="s">
        <v>832</v>
      </c>
      <c r="D96" s="20" t="str">
        <f t="shared" si="5"/>
        <v>1ST-358-095</v>
      </c>
      <c r="E96" s="21" t="s">
        <v>667</v>
      </c>
      <c r="F96" s="22">
        <f t="shared" si="3"/>
        <v>3.7</v>
      </c>
      <c r="G96" s="22" t="str">
        <f t="shared" si="4"/>
        <v>PC</v>
      </c>
      <c r="H96" s="20" t="s">
        <v>481</v>
      </c>
      <c r="I96" s="20" t="s">
        <v>481</v>
      </c>
    </row>
    <row r="97" spans="1:9" x14ac:dyDescent="0.25">
      <c r="A97" s="15" t="s">
        <v>358</v>
      </c>
      <c r="B97" s="20" t="s">
        <v>315</v>
      </c>
      <c r="C97" s="21" t="s">
        <v>833</v>
      </c>
      <c r="D97" s="20" t="str">
        <f t="shared" si="5"/>
        <v>1ST-358-096</v>
      </c>
      <c r="E97" s="21" t="s">
        <v>668</v>
      </c>
      <c r="F97" s="22">
        <f t="shared" si="3"/>
        <v>4.5</v>
      </c>
      <c r="G97" s="22" t="str">
        <f t="shared" si="4"/>
        <v>PC</v>
      </c>
      <c r="H97" s="20" t="s">
        <v>481</v>
      </c>
      <c r="I97" s="20" t="s">
        <v>481</v>
      </c>
    </row>
    <row r="98" spans="1:9" ht="27.6" x14ac:dyDescent="0.25">
      <c r="A98" s="15" t="s">
        <v>358</v>
      </c>
      <c r="B98" s="20" t="s">
        <v>314</v>
      </c>
      <c r="C98" s="27" t="s">
        <v>834</v>
      </c>
      <c r="D98" s="20" t="str">
        <f t="shared" si="5"/>
        <v>1ST-358-097</v>
      </c>
      <c r="E98" s="21" t="s">
        <v>669</v>
      </c>
      <c r="F98" s="22">
        <f t="shared" si="3"/>
        <v>5</v>
      </c>
      <c r="G98" s="22" t="str">
        <f t="shared" si="4"/>
        <v>ROLL</v>
      </c>
      <c r="H98" s="20"/>
      <c r="I98" s="20" t="s">
        <v>481</v>
      </c>
    </row>
    <row r="99" spans="1:9" ht="27.6" x14ac:dyDescent="0.25">
      <c r="A99" s="15" t="s">
        <v>358</v>
      </c>
      <c r="B99" s="20" t="s">
        <v>314</v>
      </c>
      <c r="C99" s="27" t="s">
        <v>835</v>
      </c>
      <c r="D99" s="20" t="str">
        <f t="shared" si="5"/>
        <v>1ST-358-098</v>
      </c>
      <c r="E99" s="21" t="s">
        <v>670</v>
      </c>
      <c r="F99" s="22">
        <f t="shared" si="3"/>
        <v>7</v>
      </c>
      <c r="G99" s="22" t="str">
        <f t="shared" si="4"/>
        <v>ROLL</v>
      </c>
      <c r="H99" s="20"/>
      <c r="I99" s="20" t="s">
        <v>481</v>
      </c>
    </row>
    <row r="100" spans="1:9" ht="27.6" x14ac:dyDescent="0.25">
      <c r="A100" s="15" t="s">
        <v>358</v>
      </c>
      <c r="B100" s="20" t="s">
        <v>314</v>
      </c>
      <c r="C100" s="27" t="s">
        <v>836</v>
      </c>
      <c r="D100" s="20" t="str">
        <f t="shared" si="5"/>
        <v>1ST-358-099</v>
      </c>
      <c r="E100" s="21" t="s">
        <v>671</v>
      </c>
      <c r="F100" s="22">
        <f t="shared" si="3"/>
        <v>9</v>
      </c>
      <c r="G100" s="22" t="str">
        <f t="shared" si="4"/>
        <v>ROLL</v>
      </c>
      <c r="H100" s="20"/>
      <c r="I100" s="20" t="s">
        <v>481</v>
      </c>
    </row>
    <row r="101" spans="1:9" x14ac:dyDescent="0.25">
      <c r="A101" s="15" t="s">
        <v>358</v>
      </c>
      <c r="B101" s="20" t="s">
        <v>313</v>
      </c>
      <c r="C101" s="22" t="s">
        <v>672</v>
      </c>
      <c r="D101" s="20" t="str">
        <f t="shared" si="5"/>
        <v>1ST-358-100</v>
      </c>
      <c r="E101" s="22" t="s">
        <v>528</v>
      </c>
      <c r="F101" s="22">
        <f t="shared" si="3"/>
        <v>9.5</v>
      </c>
      <c r="G101" s="22" t="str">
        <f t="shared" si="4"/>
        <v>PC</v>
      </c>
      <c r="H101" s="20"/>
      <c r="I101" s="20" t="s">
        <v>481</v>
      </c>
    </row>
    <row r="102" spans="1:9" x14ac:dyDescent="0.25">
      <c r="A102" s="15" t="s">
        <v>358</v>
      </c>
      <c r="B102" s="20" t="s">
        <v>313</v>
      </c>
      <c r="C102" s="22" t="s">
        <v>673</v>
      </c>
      <c r="D102" s="20" t="str">
        <f t="shared" si="5"/>
        <v>1ST-358-101</v>
      </c>
      <c r="E102" s="22" t="s">
        <v>528</v>
      </c>
      <c r="F102" s="22">
        <f t="shared" si="3"/>
        <v>9.5</v>
      </c>
      <c r="G102" s="22" t="str">
        <f t="shared" si="4"/>
        <v>PC</v>
      </c>
      <c r="H102" s="20"/>
      <c r="I102" s="20" t="s">
        <v>481</v>
      </c>
    </row>
    <row r="103" spans="1:9" x14ac:dyDescent="0.25">
      <c r="A103" s="15" t="s">
        <v>358</v>
      </c>
      <c r="B103" s="20" t="s">
        <v>312</v>
      </c>
      <c r="C103" s="21" t="s">
        <v>674</v>
      </c>
      <c r="D103" s="20" t="str">
        <f t="shared" si="5"/>
        <v>1ST-358-102</v>
      </c>
      <c r="E103" s="21" t="s">
        <v>675</v>
      </c>
      <c r="F103" s="22">
        <f t="shared" si="3"/>
        <v>109</v>
      </c>
      <c r="G103" s="22" t="str">
        <f t="shared" si="4"/>
        <v>PC</v>
      </c>
      <c r="H103" s="20"/>
      <c r="I103" s="20" t="s">
        <v>481</v>
      </c>
    </row>
    <row r="104" spans="1:9" x14ac:dyDescent="0.25">
      <c r="A104" s="15" t="s">
        <v>358</v>
      </c>
      <c r="B104" s="20" t="s">
        <v>312</v>
      </c>
      <c r="C104" s="21" t="s">
        <v>676</v>
      </c>
      <c r="D104" s="20" t="str">
        <f t="shared" si="5"/>
        <v>1ST-358-103</v>
      </c>
      <c r="E104" s="21" t="s">
        <v>675</v>
      </c>
      <c r="F104" s="22">
        <f t="shared" si="3"/>
        <v>109</v>
      </c>
      <c r="G104" s="22" t="str">
        <f t="shared" si="4"/>
        <v>PC</v>
      </c>
      <c r="H104" s="20"/>
      <c r="I104" s="20" t="s">
        <v>481</v>
      </c>
    </row>
    <row r="105" spans="1:9" x14ac:dyDescent="0.25">
      <c r="A105" s="15" t="s">
        <v>358</v>
      </c>
      <c r="B105" s="20" t="s">
        <v>311</v>
      </c>
      <c r="C105" s="21" t="s">
        <v>677</v>
      </c>
      <c r="D105" s="20" t="str">
        <f t="shared" si="5"/>
        <v>1ST-358-104</v>
      </c>
      <c r="E105" s="21" t="s">
        <v>678</v>
      </c>
      <c r="F105" s="22">
        <f t="shared" si="3"/>
        <v>38</v>
      </c>
      <c r="G105" s="22" t="str">
        <f t="shared" si="4"/>
        <v>PC</v>
      </c>
      <c r="H105" s="20"/>
      <c r="I105" s="20" t="s">
        <v>481</v>
      </c>
    </row>
    <row r="106" spans="1:9" x14ac:dyDescent="0.25">
      <c r="A106" s="15" t="s">
        <v>358</v>
      </c>
      <c r="B106" s="20" t="s">
        <v>311</v>
      </c>
      <c r="C106" s="21" t="s">
        <v>679</v>
      </c>
      <c r="D106" s="20" t="str">
        <f t="shared" si="5"/>
        <v>1ST-358-105</v>
      </c>
      <c r="E106" s="21" t="s">
        <v>539</v>
      </c>
      <c r="F106" s="22">
        <f t="shared" si="3"/>
        <v>28</v>
      </c>
      <c r="G106" s="22" t="str">
        <f t="shared" si="4"/>
        <v>PC</v>
      </c>
      <c r="H106" s="20"/>
      <c r="I106" s="20" t="s">
        <v>481</v>
      </c>
    </row>
    <row r="107" spans="1:9" x14ac:dyDescent="0.25">
      <c r="A107" s="15" t="s">
        <v>358</v>
      </c>
      <c r="B107" s="20" t="s">
        <v>310</v>
      </c>
      <c r="C107" s="21" t="s">
        <v>680</v>
      </c>
      <c r="D107" s="20" t="str">
        <f t="shared" si="5"/>
        <v>1ST-358-106</v>
      </c>
      <c r="E107" s="21" t="s">
        <v>681</v>
      </c>
      <c r="F107" s="22">
        <f t="shared" si="3"/>
        <v>30</v>
      </c>
      <c r="G107" s="22" t="str">
        <f t="shared" si="4"/>
        <v>SET</v>
      </c>
      <c r="H107" s="20"/>
      <c r="I107" s="20" t="s">
        <v>481</v>
      </c>
    </row>
    <row r="108" spans="1:9" x14ac:dyDescent="0.25">
      <c r="A108" s="15" t="s">
        <v>358</v>
      </c>
      <c r="B108" s="20" t="s">
        <v>310</v>
      </c>
      <c r="C108" s="21" t="s">
        <v>682</v>
      </c>
      <c r="D108" s="20" t="str">
        <f t="shared" si="5"/>
        <v>1ST-358-107</v>
      </c>
      <c r="E108" s="21" t="s">
        <v>683</v>
      </c>
      <c r="F108" s="22">
        <f t="shared" si="3"/>
        <v>85</v>
      </c>
      <c r="G108" s="22" t="str">
        <f t="shared" si="4"/>
        <v>SET</v>
      </c>
      <c r="H108" s="20"/>
      <c r="I108" s="20" t="s">
        <v>481</v>
      </c>
    </row>
    <row r="109" spans="1:9" x14ac:dyDescent="0.25">
      <c r="A109" s="15" t="s">
        <v>358</v>
      </c>
      <c r="B109" s="20" t="s">
        <v>309</v>
      </c>
      <c r="C109" s="21" t="s">
        <v>684</v>
      </c>
      <c r="D109" s="20" t="str">
        <f t="shared" si="5"/>
        <v>1ST-358-108</v>
      </c>
      <c r="E109" s="21" t="s">
        <v>685</v>
      </c>
      <c r="F109" s="22">
        <f t="shared" si="3"/>
        <v>42</v>
      </c>
      <c r="G109" s="22" t="str">
        <f t="shared" si="4"/>
        <v>PC</v>
      </c>
      <c r="H109" s="24" t="s">
        <v>837</v>
      </c>
      <c r="I109" s="20" t="s">
        <v>481</v>
      </c>
    </row>
    <row r="110" spans="1:9" x14ac:dyDescent="0.25">
      <c r="A110" s="15" t="s">
        <v>358</v>
      </c>
      <c r="B110" s="20" t="s">
        <v>309</v>
      </c>
      <c r="C110" s="21" t="s">
        <v>686</v>
      </c>
      <c r="D110" s="20" t="str">
        <f t="shared" si="5"/>
        <v>1ST-358-109</v>
      </c>
      <c r="E110" s="21" t="s">
        <v>687</v>
      </c>
      <c r="F110" s="22">
        <f t="shared" si="3"/>
        <v>45</v>
      </c>
      <c r="G110" s="22" t="str">
        <f t="shared" si="4"/>
        <v>PC</v>
      </c>
      <c r="H110" s="24" t="s">
        <v>838</v>
      </c>
      <c r="I110" s="20" t="s">
        <v>481</v>
      </c>
    </row>
    <row r="111" spans="1:9" x14ac:dyDescent="0.25">
      <c r="A111" s="15" t="s">
        <v>358</v>
      </c>
      <c r="B111" s="20" t="s">
        <v>309</v>
      </c>
      <c r="C111" s="21" t="s">
        <v>688</v>
      </c>
      <c r="D111" s="20" t="str">
        <f t="shared" si="5"/>
        <v>1ST-358-110</v>
      </c>
      <c r="E111" s="21" t="s">
        <v>689</v>
      </c>
      <c r="F111" s="22">
        <f t="shared" si="3"/>
        <v>47</v>
      </c>
      <c r="G111" s="22" t="str">
        <f t="shared" si="4"/>
        <v>PC</v>
      </c>
      <c r="H111" s="24" t="s">
        <v>839</v>
      </c>
      <c r="I111" s="20" t="s">
        <v>481</v>
      </c>
    </row>
    <row r="112" spans="1:9" x14ac:dyDescent="0.25">
      <c r="A112" s="15" t="s">
        <v>358</v>
      </c>
      <c r="B112" s="20" t="s">
        <v>309</v>
      </c>
      <c r="C112" s="21" t="s">
        <v>690</v>
      </c>
      <c r="D112" s="20" t="str">
        <f t="shared" si="5"/>
        <v>1ST-358-111</v>
      </c>
      <c r="E112" s="21" t="s">
        <v>691</v>
      </c>
      <c r="F112" s="22">
        <f t="shared" si="3"/>
        <v>49</v>
      </c>
      <c r="G112" s="22" t="str">
        <f t="shared" si="4"/>
        <v>PC</v>
      </c>
      <c r="H112" s="24" t="s">
        <v>840</v>
      </c>
      <c r="I112" s="20" t="s">
        <v>481</v>
      </c>
    </row>
    <row r="113" spans="1:9" x14ac:dyDescent="0.25">
      <c r="A113" s="15" t="s">
        <v>358</v>
      </c>
      <c r="B113" s="20" t="s">
        <v>309</v>
      </c>
      <c r="C113" s="21" t="s">
        <v>692</v>
      </c>
      <c r="D113" s="20" t="str">
        <f t="shared" si="5"/>
        <v>1ST-358-112</v>
      </c>
      <c r="E113" s="21" t="s">
        <v>536</v>
      </c>
      <c r="F113" s="22">
        <f t="shared" si="3"/>
        <v>52</v>
      </c>
      <c r="G113" s="22" t="str">
        <f t="shared" si="4"/>
        <v>PC</v>
      </c>
      <c r="H113" s="24" t="s">
        <v>841</v>
      </c>
      <c r="I113" s="20" t="s">
        <v>481</v>
      </c>
    </row>
    <row r="114" spans="1:9" x14ac:dyDescent="0.25">
      <c r="A114" s="15" t="s">
        <v>358</v>
      </c>
      <c r="B114" s="20" t="s">
        <v>309</v>
      </c>
      <c r="C114" s="21" t="s">
        <v>693</v>
      </c>
      <c r="D114" s="20" t="str">
        <f t="shared" si="5"/>
        <v>1ST-358-113</v>
      </c>
      <c r="E114" s="21" t="s">
        <v>694</v>
      </c>
      <c r="F114" s="22">
        <f t="shared" si="3"/>
        <v>54</v>
      </c>
      <c r="G114" s="22" t="str">
        <f t="shared" si="4"/>
        <v>PC</v>
      </c>
      <c r="H114" s="24" t="s">
        <v>842</v>
      </c>
      <c r="I114" s="20" t="s">
        <v>481</v>
      </c>
    </row>
    <row r="115" spans="1:9" x14ac:dyDescent="0.25">
      <c r="A115" s="15" t="s">
        <v>358</v>
      </c>
      <c r="B115" s="20" t="s">
        <v>309</v>
      </c>
      <c r="C115" s="21" t="s">
        <v>695</v>
      </c>
      <c r="D115" s="20" t="str">
        <f t="shared" si="5"/>
        <v>1ST-358-114</v>
      </c>
      <c r="E115" s="21" t="s">
        <v>663</v>
      </c>
      <c r="F115" s="22">
        <f t="shared" si="3"/>
        <v>57</v>
      </c>
      <c r="G115" s="22" t="str">
        <f t="shared" si="4"/>
        <v>PC</v>
      </c>
      <c r="H115" s="24" t="s">
        <v>843</v>
      </c>
      <c r="I115" s="20" t="s">
        <v>481</v>
      </c>
    </row>
    <row r="116" spans="1:9" x14ac:dyDescent="0.25">
      <c r="A116" s="15" t="s">
        <v>358</v>
      </c>
      <c r="B116" s="20" t="s">
        <v>308</v>
      </c>
      <c r="C116" s="21" t="s">
        <v>696</v>
      </c>
      <c r="D116" s="20" t="str">
        <f t="shared" si="5"/>
        <v>1ST-358-115</v>
      </c>
      <c r="E116" s="21" t="s">
        <v>697</v>
      </c>
      <c r="F116" s="22">
        <f t="shared" si="3"/>
        <v>78</v>
      </c>
      <c r="G116" s="22" t="str">
        <f t="shared" si="4"/>
        <v>PC</v>
      </c>
      <c r="H116" s="24" t="s">
        <v>844</v>
      </c>
      <c r="I116" s="20" t="s">
        <v>481</v>
      </c>
    </row>
    <row r="117" spans="1:9" x14ac:dyDescent="0.25">
      <c r="A117" s="15" t="s">
        <v>358</v>
      </c>
      <c r="B117" s="20" t="s">
        <v>308</v>
      </c>
      <c r="C117" s="21" t="s">
        <v>698</v>
      </c>
      <c r="D117" s="20" t="str">
        <f t="shared" si="5"/>
        <v>1ST-358-116</v>
      </c>
      <c r="E117" s="21" t="s">
        <v>699</v>
      </c>
      <c r="F117" s="22">
        <f t="shared" si="3"/>
        <v>80</v>
      </c>
      <c r="G117" s="22" t="str">
        <f t="shared" si="4"/>
        <v>PC</v>
      </c>
      <c r="H117" s="24" t="s">
        <v>845</v>
      </c>
      <c r="I117" s="20" t="s">
        <v>481</v>
      </c>
    </row>
    <row r="118" spans="1:9" ht="27.6" x14ac:dyDescent="0.25">
      <c r="A118" s="15" t="s">
        <v>358</v>
      </c>
      <c r="B118" s="20" t="s">
        <v>307</v>
      </c>
      <c r="C118" s="27" t="s">
        <v>846</v>
      </c>
      <c r="D118" s="20" t="str">
        <f t="shared" si="5"/>
        <v>1ST-358-117</v>
      </c>
      <c r="E118" s="22" t="s">
        <v>700</v>
      </c>
      <c r="F118" s="22">
        <f t="shared" si="3"/>
        <v>375</v>
      </c>
      <c r="G118" s="22" t="str">
        <f t="shared" si="4"/>
        <v>SET</v>
      </c>
      <c r="H118" s="20" t="s">
        <v>521</v>
      </c>
      <c r="I118" s="20" t="s">
        <v>481</v>
      </c>
    </row>
    <row r="119" spans="1:9" x14ac:dyDescent="0.25">
      <c r="A119" s="15" t="s">
        <v>358</v>
      </c>
      <c r="B119" s="20" t="s">
        <v>307</v>
      </c>
      <c r="C119" s="27" t="s">
        <v>847</v>
      </c>
      <c r="D119" s="20" t="str">
        <f t="shared" si="5"/>
        <v>1ST-358-118</v>
      </c>
      <c r="E119" s="22" t="s">
        <v>700</v>
      </c>
      <c r="F119" s="22">
        <f t="shared" si="3"/>
        <v>375</v>
      </c>
      <c r="G119" s="22" t="str">
        <f t="shared" si="4"/>
        <v>SET</v>
      </c>
      <c r="H119" s="20" t="s">
        <v>521</v>
      </c>
      <c r="I119" s="20" t="s">
        <v>481</v>
      </c>
    </row>
    <row r="120" spans="1:9" x14ac:dyDescent="0.25">
      <c r="A120" s="15" t="s">
        <v>358</v>
      </c>
      <c r="B120" s="20" t="s">
        <v>306</v>
      </c>
      <c r="C120" s="20" t="s">
        <v>522</v>
      </c>
      <c r="D120" s="20" t="str">
        <f t="shared" si="5"/>
        <v>1ST-358-119</v>
      </c>
      <c r="E120" s="21" t="s">
        <v>701</v>
      </c>
      <c r="F120" s="22">
        <f t="shared" si="3"/>
        <v>620</v>
      </c>
      <c r="G120" s="22" t="str">
        <f t="shared" si="4"/>
        <v>PC</v>
      </c>
      <c r="H120" s="27" t="s">
        <v>523</v>
      </c>
      <c r="I120" s="20" t="s">
        <v>481</v>
      </c>
    </row>
    <row r="121" spans="1:9" ht="24" customHeight="1" x14ac:dyDescent="0.25">
      <c r="A121" s="15" t="s">
        <v>358</v>
      </c>
      <c r="B121" s="20" t="s">
        <v>305</v>
      </c>
      <c r="C121" s="27" t="s">
        <v>848</v>
      </c>
      <c r="D121" s="20" t="str">
        <f t="shared" si="5"/>
        <v>1ST-358-120</v>
      </c>
      <c r="E121" s="21" t="s">
        <v>702</v>
      </c>
      <c r="F121" s="22">
        <f t="shared" si="3"/>
        <v>95</v>
      </c>
      <c r="G121" s="22" t="str">
        <f t="shared" si="4"/>
        <v>PC</v>
      </c>
      <c r="H121" s="27" t="s">
        <v>849</v>
      </c>
      <c r="I121" s="20" t="s">
        <v>481</v>
      </c>
    </row>
    <row r="122" spans="1:9" x14ac:dyDescent="0.25">
      <c r="A122" s="15" t="s">
        <v>358</v>
      </c>
      <c r="B122" s="20" t="s">
        <v>305</v>
      </c>
      <c r="C122" s="27" t="s">
        <v>850</v>
      </c>
      <c r="D122" s="20" t="str">
        <f t="shared" si="5"/>
        <v>1ST-358-121</v>
      </c>
      <c r="E122" s="21" t="s">
        <v>703</v>
      </c>
      <c r="F122" s="22">
        <f t="shared" si="3"/>
        <v>160</v>
      </c>
      <c r="G122" s="22" t="str">
        <f t="shared" si="4"/>
        <v>PC</v>
      </c>
      <c r="H122" s="21" t="s">
        <v>851</v>
      </c>
      <c r="I122" s="20" t="s">
        <v>481</v>
      </c>
    </row>
    <row r="123" spans="1:9" ht="27.6" x14ac:dyDescent="0.25">
      <c r="A123" s="15" t="s">
        <v>358</v>
      </c>
      <c r="B123" s="20" t="s">
        <v>305</v>
      </c>
      <c r="C123" s="27" t="s">
        <v>852</v>
      </c>
      <c r="D123" s="20" t="str">
        <f t="shared" si="5"/>
        <v>1ST-358-122</v>
      </c>
      <c r="E123" s="21" t="s">
        <v>704</v>
      </c>
      <c r="F123" s="22">
        <f t="shared" si="3"/>
        <v>170</v>
      </c>
      <c r="G123" s="22" t="str">
        <f t="shared" si="4"/>
        <v>PC</v>
      </c>
      <c r="H123" s="21" t="s">
        <v>853</v>
      </c>
      <c r="I123" s="20" t="s">
        <v>481</v>
      </c>
    </row>
    <row r="124" spans="1:9" x14ac:dyDescent="0.25">
      <c r="A124" s="15" t="s">
        <v>358</v>
      </c>
      <c r="B124" s="20" t="s">
        <v>304</v>
      </c>
      <c r="C124" s="21" t="s">
        <v>705</v>
      </c>
      <c r="D124" s="20" t="str">
        <f t="shared" si="5"/>
        <v>1ST-358-123</v>
      </c>
      <c r="E124" s="21" t="s">
        <v>706</v>
      </c>
      <c r="F124" s="22">
        <f t="shared" si="3"/>
        <v>115</v>
      </c>
      <c r="G124" s="22" t="str">
        <f t="shared" si="4"/>
        <v>SET</v>
      </c>
      <c r="H124" s="21" t="s">
        <v>854</v>
      </c>
      <c r="I124" s="20" t="s">
        <v>481</v>
      </c>
    </row>
    <row r="125" spans="1:9" x14ac:dyDescent="0.25">
      <c r="A125" s="15" t="s">
        <v>358</v>
      </c>
      <c r="B125" s="20" t="s">
        <v>304</v>
      </c>
      <c r="C125" s="21" t="s">
        <v>707</v>
      </c>
      <c r="D125" s="20" t="str">
        <f t="shared" si="5"/>
        <v>1ST-358-124</v>
      </c>
      <c r="E125" s="21" t="s">
        <v>708</v>
      </c>
      <c r="F125" s="22">
        <f t="shared" si="3"/>
        <v>145</v>
      </c>
      <c r="G125" s="22" t="str">
        <f t="shared" si="4"/>
        <v>SET</v>
      </c>
      <c r="H125" s="21" t="s">
        <v>855</v>
      </c>
      <c r="I125" s="20" t="s">
        <v>481</v>
      </c>
    </row>
    <row r="126" spans="1:9" x14ac:dyDescent="0.25">
      <c r="A126" s="15" t="s">
        <v>358</v>
      </c>
      <c r="B126" s="20" t="s">
        <v>304</v>
      </c>
      <c r="C126" s="21" t="s">
        <v>709</v>
      </c>
      <c r="D126" s="20" t="str">
        <f t="shared" si="5"/>
        <v>1ST-358-125</v>
      </c>
      <c r="E126" s="21" t="s">
        <v>710</v>
      </c>
      <c r="F126" s="22">
        <f t="shared" si="3"/>
        <v>170</v>
      </c>
      <c r="G126" s="22" t="str">
        <f t="shared" si="4"/>
        <v>SET</v>
      </c>
      <c r="H126" s="21" t="s">
        <v>856</v>
      </c>
      <c r="I126" s="20" t="s">
        <v>481</v>
      </c>
    </row>
    <row r="127" spans="1:9" ht="27.6" x14ac:dyDescent="0.25">
      <c r="A127" s="15" t="s">
        <v>358</v>
      </c>
      <c r="B127" s="20" t="s">
        <v>303</v>
      </c>
      <c r="C127" s="27" t="s">
        <v>857</v>
      </c>
      <c r="D127" s="20" t="str">
        <f t="shared" si="5"/>
        <v>1ST-358-126</v>
      </c>
      <c r="E127" s="21" t="s">
        <v>711</v>
      </c>
      <c r="F127" s="22">
        <f t="shared" si="3"/>
        <v>156</v>
      </c>
      <c r="G127" s="22" t="str">
        <f t="shared" ref="G127:G133" si="6">TRIM(MID(E127,FIND("/",E127)+1,LEN(E127)))</f>
        <v>PC</v>
      </c>
      <c r="H127" s="27" t="s">
        <v>858</v>
      </c>
      <c r="I127" s="20" t="s">
        <v>481</v>
      </c>
    </row>
    <row r="128" spans="1:9" ht="27.6" x14ac:dyDescent="0.25">
      <c r="A128" s="15" t="s">
        <v>358</v>
      </c>
      <c r="B128" s="20" t="s">
        <v>303</v>
      </c>
      <c r="C128" s="27" t="s">
        <v>859</v>
      </c>
      <c r="D128" s="20" t="str">
        <f t="shared" si="5"/>
        <v>1ST-358-127</v>
      </c>
      <c r="E128" s="21" t="s">
        <v>712</v>
      </c>
      <c r="F128" s="22">
        <f t="shared" si="3"/>
        <v>149</v>
      </c>
      <c r="G128" s="22" t="str">
        <f t="shared" si="6"/>
        <v>PC</v>
      </c>
      <c r="H128" s="27" t="s">
        <v>860</v>
      </c>
      <c r="I128" s="20" t="s">
        <v>481</v>
      </c>
    </row>
    <row r="129" spans="1:9" ht="27.6" x14ac:dyDescent="0.25">
      <c r="A129" s="15" t="s">
        <v>358</v>
      </c>
      <c r="B129" s="20" t="s">
        <v>303</v>
      </c>
      <c r="C129" s="27" t="s">
        <v>861</v>
      </c>
      <c r="D129" s="20" t="str">
        <f t="shared" si="5"/>
        <v>1ST-358-128</v>
      </c>
      <c r="E129" s="21" t="s">
        <v>713</v>
      </c>
      <c r="F129" s="22">
        <f t="shared" si="3"/>
        <v>204</v>
      </c>
      <c r="G129" s="22" t="str">
        <f t="shared" si="6"/>
        <v>PC</v>
      </c>
      <c r="H129" s="27" t="s">
        <v>862</v>
      </c>
      <c r="I129" s="20" t="s">
        <v>481</v>
      </c>
    </row>
    <row r="130" spans="1:9" ht="27.6" x14ac:dyDescent="0.25">
      <c r="A130" s="15" t="s">
        <v>358</v>
      </c>
      <c r="B130" s="20" t="s">
        <v>303</v>
      </c>
      <c r="C130" s="27" t="s">
        <v>863</v>
      </c>
      <c r="D130" s="20" t="str">
        <f t="shared" si="5"/>
        <v>1ST-358-129</v>
      </c>
      <c r="E130" s="21" t="s">
        <v>714</v>
      </c>
      <c r="F130" s="22">
        <f t="shared" si="3"/>
        <v>147</v>
      </c>
      <c r="G130" s="22" t="str">
        <f t="shared" si="6"/>
        <v>PC</v>
      </c>
      <c r="H130" s="27" t="s">
        <v>864</v>
      </c>
      <c r="I130" s="20" t="s">
        <v>481</v>
      </c>
    </row>
    <row r="131" spans="1:9" ht="27.6" x14ac:dyDescent="0.25">
      <c r="A131" s="15" t="s">
        <v>358</v>
      </c>
      <c r="B131" s="20" t="s">
        <v>303</v>
      </c>
      <c r="C131" s="27" t="s">
        <v>865</v>
      </c>
      <c r="D131" s="20" t="str">
        <f t="shared" si="5"/>
        <v>1ST-358-130</v>
      </c>
      <c r="E131" s="21" t="s">
        <v>715</v>
      </c>
      <c r="F131" s="22">
        <f t="shared" ref="F131:F195" si="7">VALUE(LEFT(E131,FIND("/",E131)-1))</f>
        <v>169</v>
      </c>
      <c r="G131" s="22" t="str">
        <f t="shared" si="6"/>
        <v>PC</v>
      </c>
      <c r="H131" s="27" t="s">
        <v>866</v>
      </c>
      <c r="I131" s="20" t="s">
        <v>481</v>
      </c>
    </row>
    <row r="132" spans="1:9" ht="27.6" x14ac:dyDescent="0.25">
      <c r="A132" s="15" t="s">
        <v>358</v>
      </c>
      <c r="B132" s="20" t="s">
        <v>303</v>
      </c>
      <c r="C132" s="27" t="s">
        <v>867</v>
      </c>
      <c r="D132" s="20" t="str">
        <f t="shared" ref="D132:D195" si="8">LEFT($D$2,FIND("-",$D$2,FIND("-",$D$2)+1)) &amp; TEXT(RIGHT($D$2,3)+ROW(D130),"000")</f>
        <v>1ST-358-131</v>
      </c>
      <c r="E132" s="21" t="s">
        <v>716</v>
      </c>
      <c r="F132" s="22">
        <f t="shared" si="7"/>
        <v>167</v>
      </c>
      <c r="G132" s="22" t="str">
        <f t="shared" si="6"/>
        <v>PC</v>
      </c>
      <c r="H132" s="27" t="s">
        <v>868</v>
      </c>
      <c r="I132" s="20" t="s">
        <v>481</v>
      </c>
    </row>
    <row r="133" spans="1:9" ht="27.6" x14ac:dyDescent="0.25">
      <c r="A133" s="15" t="s">
        <v>358</v>
      </c>
      <c r="B133" s="20" t="s">
        <v>303</v>
      </c>
      <c r="C133" s="27" t="s">
        <v>869</v>
      </c>
      <c r="D133" s="20" t="str">
        <f t="shared" si="8"/>
        <v>1ST-358-132</v>
      </c>
      <c r="E133" s="21" t="s">
        <v>717</v>
      </c>
      <c r="F133" s="22">
        <f t="shared" si="7"/>
        <v>212</v>
      </c>
      <c r="G133" s="22" t="str">
        <f t="shared" si="6"/>
        <v>PC</v>
      </c>
      <c r="H133" s="27" t="s">
        <v>870</v>
      </c>
      <c r="I133" s="20" t="s">
        <v>481</v>
      </c>
    </row>
    <row r="134" spans="1:9" x14ac:dyDescent="0.25">
      <c r="A134" s="15" t="s">
        <v>358</v>
      </c>
      <c r="B134" s="20" t="s">
        <v>302</v>
      </c>
      <c r="C134" s="27" t="s">
        <v>871</v>
      </c>
      <c r="D134" s="20" t="str">
        <f t="shared" si="8"/>
        <v>1ST-358-133</v>
      </c>
      <c r="E134" s="22" t="s">
        <v>718</v>
      </c>
      <c r="F134" s="22">
        <f t="shared" si="7"/>
        <v>310</v>
      </c>
      <c r="G134" s="22" t="str">
        <f t="shared" ref="G134:G141" si="9">TRIM(MID(E134,FIND("/",E134)+1,LEN(E134)))</f>
        <v>PC</v>
      </c>
      <c r="H134" s="22" t="s">
        <v>872</v>
      </c>
      <c r="I134" s="20" t="s">
        <v>481</v>
      </c>
    </row>
    <row r="135" spans="1:9" x14ac:dyDescent="0.25">
      <c r="A135" s="15" t="s">
        <v>358</v>
      </c>
      <c r="B135" s="20" t="s">
        <v>302</v>
      </c>
      <c r="C135" s="27" t="s">
        <v>873</v>
      </c>
      <c r="D135" s="20" t="str">
        <f t="shared" si="8"/>
        <v>1ST-358-134</v>
      </c>
      <c r="E135" s="22" t="s">
        <v>718</v>
      </c>
      <c r="F135" s="22">
        <f t="shared" si="7"/>
        <v>310</v>
      </c>
      <c r="G135" s="22" t="str">
        <f t="shared" si="9"/>
        <v>PC</v>
      </c>
      <c r="H135" s="22" t="s">
        <v>872</v>
      </c>
      <c r="I135" s="20" t="s">
        <v>481</v>
      </c>
    </row>
    <row r="136" spans="1:9" x14ac:dyDescent="0.25">
      <c r="A136" s="15" t="s">
        <v>358</v>
      </c>
      <c r="B136" s="20" t="s">
        <v>302</v>
      </c>
      <c r="C136" s="27" t="s">
        <v>874</v>
      </c>
      <c r="D136" s="20" t="str">
        <f t="shared" si="8"/>
        <v>1ST-358-135</v>
      </c>
      <c r="E136" s="22" t="s">
        <v>719</v>
      </c>
      <c r="F136" s="22">
        <f t="shared" si="7"/>
        <v>380</v>
      </c>
      <c r="G136" s="22" t="str">
        <f t="shared" si="9"/>
        <v>PC</v>
      </c>
      <c r="H136" s="21" t="s">
        <v>875</v>
      </c>
      <c r="I136" s="20" t="s">
        <v>481</v>
      </c>
    </row>
    <row r="137" spans="1:9" x14ac:dyDescent="0.25">
      <c r="A137" s="15" t="s">
        <v>358</v>
      </c>
      <c r="B137" s="20" t="s">
        <v>302</v>
      </c>
      <c r="C137" s="27" t="s">
        <v>876</v>
      </c>
      <c r="D137" s="20" t="str">
        <f t="shared" si="8"/>
        <v>1ST-358-136</v>
      </c>
      <c r="E137" s="22" t="s">
        <v>720</v>
      </c>
      <c r="F137" s="22">
        <f t="shared" si="7"/>
        <v>460</v>
      </c>
      <c r="G137" s="22" t="str">
        <f t="shared" si="9"/>
        <v>PC</v>
      </c>
      <c r="H137" s="21" t="s">
        <v>877</v>
      </c>
      <c r="I137" s="20" t="s">
        <v>481</v>
      </c>
    </row>
    <row r="138" spans="1:9" x14ac:dyDescent="0.25">
      <c r="A138" s="15" t="s">
        <v>358</v>
      </c>
      <c r="B138" s="20" t="s">
        <v>302</v>
      </c>
      <c r="C138" s="27" t="s">
        <v>878</v>
      </c>
      <c r="D138" s="20" t="str">
        <f t="shared" si="8"/>
        <v>1ST-358-137</v>
      </c>
      <c r="E138" s="22" t="s">
        <v>721</v>
      </c>
      <c r="F138" s="22">
        <f t="shared" si="7"/>
        <v>250</v>
      </c>
      <c r="G138" s="22" t="str">
        <f t="shared" si="9"/>
        <v>PC</v>
      </c>
      <c r="H138" s="22" t="s">
        <v>879</v>
      </c>
      <c r="I138" s="20" t="s">
        <v>481</v>
      </c>
    </row>
    <row r="139" spans="1:9" x14ac:dyDescent="0.25">
      <c r="A139" s="15" t="s">
        <v>358</v>
      </c>
      <c r="B139" s="20" t="s">
        <v>302</v>
      </c>
      <c r="C139" s="27" t="s">
        <v>880</v>
      </c>
      <c r="D139" s="20" t="str">
        <f t="shared" si="8"/>
        <v>1ST-358-138</v>
      </c>
      <c r="E139" s="22" t="s">
        <v>721</v>
      </c>
      <c r="F139" s="22">
        <f t="shared" si="7"/>
        <v>250</v>
      </c>
      <c r="G139" s="22" t="str">
        <f t="shared" si="9"/>
        <v>PC</v>
      </c>
      <c r="H139" s="22" t="s">
        <v>879</v>
      </c>
      <c r="I139" s="20" t="s">
        <v>481</v>
      </c>
    </row>
    <row r="140" spans="1:9" x14ac:dyDescent="0.25">
      <c r="A140" s="15" t="s">
        <v>358</v>
      </c>
      <c r="B140" s="20" t="s">
        <v>302</v>
      </c>
      <c r="C140" s="27" t="s">
        <v>881</v>
      </c>
      <c r="D140" s="20" t="str">
        <f t="shared" si="8"/>
        <v>1ST-358-139</v>
      </c>
      <c r="E140" s="22" t="s">
        <v>719</v>
      </c>
      <c r="F140" s="22">
        <f t="shared" si="7"/>
        <v>380</v>
      </c>
      <c r="G140" s="22" t="str">
        <f t="shared" si="9"/>
        <v>PC</v>
      </c>
      <c r="H140" s="21" t="s">
        <v>875</v>
      </c>
      <c r="I140" s="20" t="s">
        <v>481</v>
      </c>
    </row>
    <row r="141" spans="1:9" x14ac:dyDescent="0.25">
      <c r="A141" s="15" t="s">
        <v>358</v>
      </c>
      <c r="B141" s="20" t="s">
        <v>302</v>
      </c>
      <c r="C141" s="27" t="s">
        <v>882</v>
      </c>
      <c r="D141" s="20" t="str">
        <f t="shared" si="8"/>
        <v>1ST-358-140</v>
      </c>
      <c r="E141" s="22" t="s">
        <v>720</v>
      </c>
      <c r="F141" s="22">
        <f t="shared" si="7"/>
        <v>460</v>
      </c>
      <c r="G141" s="22" t="str">
        <f t="shared" si="9"/>
        <v>PC</v>
      </c>
      <c r="H141" s="21" t="s">
        <v>877</v>
      </c>
      <c r="I141" s="20" t="s">
        <v>481</v>
      </c>
    </row>
    <row r="142" spans="1:9" ht="27.6" x14ac:dyDescent="0.25">
      <c r="A142" s="15" t="s">
        <v>358</v>
      </c>
      <c r="B142" s="20" t="s">
        <v>301</v>
      </c>
      <c r="C142" s="27" t="s">
        <v>883</v>
      </c>
      <c r="D142" s="20" t="str">
        <f t="shared" si="8"/>
        <v>1ST-358-141</v>
      </c>
      <c r="E142" s="22" t="s">
        <v>722</v>
      </c>
      <c r="F142" s="22">
        <f t="shared" si="7"/>
        <v>320</v>
      </c>
      <c r="G142" s="22" t="str">
        <f t="shared" ref="G142:G149" si="10">TRIM(MID(E142,FIND("/",E142)+1,LEN(E142)))</f>
        <v>PC</v>
      </c>
      <c r="H142" s="22" t="s">
        <v>884</v>
      </c>
      <c r="I142" s="20" t="s">
        <v>481</v>
      </c>
    </row>
    <row r="143" spans="1:9" ht="27.6" x14ac:dyDescent="0.25">
      <c r="A143" s="15" t="s">
        <v>358</v>
      </c>
      <c r="B143" s="20" t="s">
        <v>301</v>
      </c>
      <c r="C143" s="27" t="s">
        <v>885</v>
      </c>
      <c r="D143" s="20" t="str">
        <f t="shared" si="8"/>
        <v>1ST-358-142</v>
      </c>
      <c r="E143" s="22" t="s">
        <v>722</v>
      </c>
      <c r="F143" s="22">
        <f t="shared" si="7"/>
        <v>320</v>
      </c>
      <c r="G143" s="22" t="str">
        <f t="shared" si="10"/>
        <v>PC</v>
      </c>
      <c r="H143" s="22" t="s">
        <v>884</v>
      </c>
      <c r="I143" s="20" t="s">
        <v>481</v>
      </c>
    </row>
    <row r="144" spans="1:9" ht="27.6" x14ac:dyDescent="0.25">
      <c r="A144" s="15" t="s">
        <v>358</v>
      </c>
      <c r="B144" s="20" t="s">
        <v>301</v>
      </c>
      <c r="C144" s="27" t="s">
        <v>886</v>
      </c>
      <c r="D144" s="20" t="str">
        <f t="shared" si="8"/>
        <v>1ST-358-143</v>
      </c>
      <c r="E144" s="21" t="s">
        <v>723</v>
      </c>
      <c r="F144" s="22">
        <f t="shared" si="7"/>
        <v>370</v>
      </c>
      <c r="G144" s="22" t="str">
        <f t="shared" si="10"/>
        <v>PC</v>
      </c>
      <c r="H144" s="21" t="s">
        <v>887</v>
      </c>
      <c r="I144" s="20" t="s">
        <v>481</v>
      </c>
    </row>
    <row r="145" spans="1:9" ht="27.6" x14ac:dyDescent="0.25">
      <c r="A145" s="15" t="s">
        <v>358</v>
      </c>
      <c r="B145" s="20" t="s">
        <v>301</v>
      </c>
      <c r="C145" s="27" t="s">
        <v>888</v>
      </c>
      <c r="D145" s="20" t="str">
        <f t="shared" si="8"/>
        <v>1ST-358-144</v>
      </c>
      <c r="E145" s="22" t="s">
        <v>724</v>
      </c>
      <c r="F145" s="22">
        <f t="shared" si="7"/>
        <v>390</v>
      </c>
      <c r="G145" s="22" t="str">
        <f t="shared" si="10"/>
        <v>PC</v>
      </c>
      <c r="H145" s="21" t="s">
        <v>889</v>
      </c>
      <c r="I145" s="20" t="s">
        <v>481</v>
      </c>
    </row>
    <row r="146" spans="1:9" ht="27.6" x14ac:dyDescent="0.25">
      <c r="A146" s="15" t="s">
        <v>358</v>
      </c>
      <c r="B146" s="20" t="s">
        <v>301</v>
      </c>
      <c r="C146" s="27" t="s">
        <v>890</v>
      </c>
      <c r="D146" s="20" t="str">
        <f t="shared" si="8"/>
        <v>1ST-358-145</v>
      </c>
      <c r="E146" s="22" t="s">
        <v>722</v>
      </c>
      <c r="F146" s="22">
        <f t="shared" si="7"/>
        <v>320</v>
      </c>
      <c r="G146" s="22" t="str">
        <f t="shared" si="10"/>
        <v>PC</v>
      </c>
      <c r="H146" s="22" t="s">
        <v>884</v>
      </c>
      <c r="I146" s="20" t="s">
        <v>481</v>
      </c>
    </row>
    <row r="147" spans="1:9" ht="27.6" x14ac:dyDescent="0.25">
      <c r="A147" s="15" t="s">
        <v>358</v>
      </c>
      <c r="B147" s="20" t="s">
        <v>301</v>
      </c>
      <c r="C147" s="27" t="s">
        <v>891</v>
      </c>
      <c r="D147" s="20" t="str">
        <f t="shared" si="8"/>
        <v>1ST-358-146</v>
      </c>
      <c r="E147" s="22" t="s">
        <v>722</v>
      </c>
      <c r="F147" s="22">
        <f t="shared" si="7"/>
        <v>320</v>
      </c>
      <c r="G147" s="22" t="str">
        <f t="shared" si="10"/>
        <v>PC</v>
      </c>
      <c r="H147" s="22" t="s">
        <v>884</v>
      </c>
      <c r="I147" s="20" t="s">
        <v>481</v>
      </c>
    </row>
    <row r="148" spans="1:9" ht="27.6" x14ac:dyDescent="0.25">
      <c r="A148" s="15" t="s">
        <v>358</v>
      </c>
      <c r="B148" s="20" t="s">
        <v>301</v>
      </c>
      <c r="C148" s="27" t="s">
        <v>892</v>
      </c>
      <c r="D148" s="20" t="str">
        <f t="shared" si="8"/>
        <v>1ST-358-147</v>
      </c>
      <c r="E148" s="21" t="s">
        <v>723</v>
      </c>
      <c r="F148" s="22">
        <f t="shared" si="7"/>
        <v>370</v>
      </c>
      <c r="G148" s="22" t="str">
        <f t="shared" si="10"/>
        <v>PC</v>
      </c>
      <c r="H148" s="21" t="s">
        <v>887</v>
      </c>
      <c r="I148" s="20" t="s">
        <v>481</v>
      </c>
    </row>
    <row r="149" spans="1:9" ht="27.6" x14ac:dyDescent="0.25">
      <c r="A149" s="15" t="s">
        <v>358</v>
      </c>
      <c r="B149" s="20" t="s">
        <v>301</v>
      </c>
      <c r="C149" s="27" t="s">
        <v>893</v>
      </c>
      <c r="D149" s="20" t="str">
        <f t="shared" si="8"/>
        <v>1ST-358-148</v>
      </c>
      <c r="E149" s="22" t="s">
        <v>724</v>
      </c>
      <c r="F149" s="22">
        <f t="shared" si="7"/>
        <v>390</v>
      </c>
      <c r="G149" s="22" t="str">
        <f t="shared" si="10"/>
        <v>PC</v>
      </c>
      <c r="H149" s="21" t="s">
        <v>889</v>
      </c>
      <c r="I149" s="20" t="s">
        <v>481</v>
      </c>
    </row>
    <row r="150" spans="1:9" x14ac:dyDescent="0.25">
      <c r="A150" s="15" t="s">
        <v>358</v>
      </c>
      <c r="B150" s="20" t="s">
        <v>300</v>
      </c>
      <c r="C150" s="21" t="s">
        <v>725</v>
      </c>
      <c r="D150" s="20" t="str">
        <f t="shared" si="8"/>
        <v>1ST-358-149</v>
      </c>
      <c r="E150" s="21" t="s">
        <v>726</v>
      </c>
      <c r="F150" s="22">
        <f t="shared" si="7"/>
        <v>152</v>
      </c>
      <c r="G150" s="22" t="str">
        <f t="shared" ref="G150:G157" si="11">TRIM(MID(E150,FIND("/",E150)+1,LEN(E150)))</f>
        <v>PC</v>
      </c>
      <c r="H150" s="21" t="s">
        <v>894</v>
      </c>
      <c r="I150" s="20" t="s">
        <v>481</v>
      </c>
    </row>
    <row r="151" spans="1:9" x14ac:dyDescent="0.25">
      <c r="A151" s="15" t="s">
        <v>358</v>
      </c>
      <c r="B151" s="20" t="s">
        <v>300</v>
      </c>
      <c r="C151" s="21" t="s">
        <v>727</v>
      </c>
      <c r="D151" s="20" t="str">
        <f t="shared" si="8"/>
        <v>1ST-358-150</v>
      </c>
      <c r="E151" s="21" t="s">
        <v>726</v>
      </c>
      <c r="F151" s="22">
        <f t="shared" si="7"/>
        <v>152</v>
      </c>
      <c r="G151" s="22" t="str">
        <f t="shared" si="11"/>
        <v>PC</v>
      </c>
      <c r="H151" s="21" t="s">
        <v>894</v>
      </c>
      <c r="I151" s="20" t="s">
        <v>481</v>
      </c>
    </row>
    <row r="152" spans="1:9" x14ac:dyDescent="0.25">
      <c r="A152" s="15" t="s">
        <v>358</v>
      </c>
      <c r="B152" s="20" t="s">
        <v>300</v>
      </c>
      <c r="C152" s="21" t="s">
        <v>728</v>
      </c>
      <c r="D152" s="20" t="str">
        <f t="shared" si="8"/>
        <v>1ST-358-151</v>
      </c>
      <c r="E152" s="21" t="s">
        <v>729</v>
      </c>
      <c r="F152" s="22">
        <f t="shared" si="7"/>
        <v>162</v>
      </c>
      <c r="G152" s="22" t="str">
        <f t="shared" si="11"/>
        <v>PC</v>
      </c>
      <c r="H152" s="21" t="s">
        <v>895</v>
      </c>
      <c r="I152" s="20" t="s">
        <v>481</v>
      </c>
    </row>
    <row r="153" spans="1:9" x14ac:dyDescent="0.25">
      <c r="A153" s="15" t="s">
        <v>358</v>
      </c>
      <c r="B153" s="20" t="s">
        <v>300</v>
      </c>
      <c r="C153" s="22" t="s">
        <v>730</v>
      </c>
      <c r="D153" s="20" t="str">
        <f t="shared" si="8"/>
        <v>1ST-358-152</v>
      </c>
      <c r="E153" s="22" t="s">
        <v>729</v>
      </c>
      <c r="F153" s="22">
        <f t="shared" si="7"/>
        <v>162</v>
      </c>
      <c r="G153" s="22" t="str">
        <f t="shared" si="11"/>
        <v>PC</v>
      </c>
      <c r="H153" s="21" t="s">
        <v>895</v>
      </c>
      <c r="I153" s="20" t="s">
        <v>481</v>
      </c>
    </row>
    <row r="154" spans="1:9" x14ac:dyDescent="0.25">
      <c r="A154" s="15" t="s">
        <v>358</v>
      </c>
      <c r="B154" s="20" t="s">
        <v>299</v>
      </c>
      <c r="C154" s="27" t="s">
        <v>896</v>
      </c>
      <c r="D154" s="20" t="str">
        <f t="shared" si="8"/>
        <v>1ST-358-153</v>
      </c>
      <c r="E154" s="21" t="s">
        <v>731</v>
      </c>
      <c r="F154" s="22">
        <f t="shared" si="7"/>
        <v>235</v>
      </c>
      <c r="G154" s="22" t="str">
        <f t="shared" si="11"/>
        <v>PC</v>
      </c>
      <c r="H154" s="21" t="s">
        <v>897</v>
      </c>
      <c r="I154" s="20" t="s">
        <v>481</v>
      </c>
    </row>
    <row r="155" spans="1:9" x14ac:dyDescent="0.25">
      <c r="A155" s="15" t="s">
        <v>358</v>
      </c>
      <c r="B155" s="20" t="s">
        <v>299</v>
      </c>
      <c r="C155" s="27" t="s">
        <v>898</v>
      </c>
      <c r="D155" s="20" t="str">
        <f t="shared" si="8"/>
        <v>1ST-358-154</v>
      </c>
      <c r="E155" s="21" t="s">
        <v>732</v>
      </c>
      <c r="F155" s="22">
        <f t="shared" si="7"/>
        <v>255</v>
      </c>
      <c r="G155" s="22" t="str">
        <f t="shared" si="11"/>
        <v>PC</v>
      </c>
      <c r="H155" s="21" t="s">
        <v>899</v>
      </c>
      <c r="I155" s="20" t="s">
        <v>481</v>
      </c>
    </row>
    <row r="156" spans="1:9" x14ac:dyDescent="0.25">
      <c r="A156" s="15" t="s">
        <v>358</v>
      </c>
      <c r="B156" s="20" t="s">
        <v>298</v>
      </c>
      <c r="C156" s="27" t="s">
        <v>900</v>
      </c>
      <c r="D156" s="20" t="str">
        <f t="shared" si="8"/>
        <v>1ST-358-155</v>
      </c>
      <c r="E156" s="21" t="s">
        <v>732</v>
      </c>
      <c r="F156" s="22">
        <f t="shared" si="7"/>
        <v>255</v>
      </c>
      <c r="G156" s="22" t="str">
        <f t="shared" si="11"/>
        <v>PC</v>
      </c>
      <c r="H156" s="21" t="s">
        <v>901</v>
      </c>
      <c r="I156" s="20" t="s">
        <v>481</v>
      </c>
    </row>
    <row r="157" spans="1:9" x14ac:dyDescent="0.25">
      <c r="A157" s="15" t="s">
        <v>358</v>
      </c>
      <c r="B157" s="20" t="s">
        <v>298</v>
      </c>
      <c r="C157" s="27" t="s">
        <v>902</v>
      </c>
      <c r="D157" s="20" t="str">
        <f t="shared" si="8"/>
        <v>1ST-358-156</v>
      </c>
      <c r="E157" s="22" t="s">
        <v>546</v>
      </c>
      <c r="F157" s="22">
        <f t="shared" si="7"/>
        <v>275</v>
      </c>
      <c r="G157" s="22" t="str">
        <f t="shared" si="11"/>
        <v>PC</v>
      </c>
      <c r="H157" s="24" t="s">
        <v>903</v>
      </c>
      <c r="I157" s="20" t="s">
        <v>481</v>
      </c>
    </row>
    <row r="158" spans="1:9" x14ac:dyDescent="0.25">
      <c r="A158" s="15" t="s">
        <v>358</v>
      </c>
      <c r="B158" s="20" t="s">
        <v>297</v>
      </c>
      <c r="C158" s="21" t="s">
        <v>733</v>
      </c>
      <c r="D158" s="20" t="str">
        <f t="shared" si="8"/>
        <v>1ST-358-157</v>
      </c>
      <c r="E158" s="21" t="s">
        <v>687</v>
      </c>
      <c r="F158" s="22">
        <f t="shared" si="7"/>
        <v>45</v>
      </c>
      <c r="G158" s="22" t="str">
        <f t="shared" ref="G158:G189" si="12">TRIM(MID(E158,FIND("/",E158)+1,LEN(E158)))</f>
        <v>PC</v>
      </c>
      <c r="H158" s="21" t="s">
        <v>904</v>
      </c>
      <c r="I158" s="20" t="s">
        <v>481</v>
      </c>
    </row>
    <row r="159" spans="1:9" x14ac:dyDescent="0.25">
      <c r="A159" s="15" t="s">
        <v>358</v>
      </c>
      <c r="B159" s="20" t="s">
        <v>297</v>
      </c>
      <c r="C159" s="21" t="s">
        <v>734</v>
      </c>
      <c r="D159" s="20" t="str">
        <f t="shared" si="8"/>
        <v>1ST-358-158</v>
      </c>
      <c r="E159" s="21" t="s">
        <v>536</v>
      </c>
      <c r="F159" s="22">
        <f t="shared" si="7"/>
        <v>52</v>
      </c>
      <c r="G159" s="22" t="str">
        <f t="shared" si="12"/>
        <v>PC</v>
      </c>
      <c r="H159" s="21" t="s">
        <v>905</v>
      </c>
      <c r="I159" s="20" t="s">
        <v>481</v>
      </c>
    </row>
    <row r="160" spans="1:9" x14ac:dyDescent="0.25">
      <c r="A160" s="15" t="s">
        <v>358</v>
      </c>
      <c r="B160" s="20" t="s">
        <v>297</v>
      </c>
      <c r="C160" s="21" t="s">
        <v>735</v>
      </c>
      <c r="D160" s="20" t="str">
        <f t="shared" si="8"/>
        <v>1ST-358-159</v>
      </c>
      <c r="E160" s="21" t="s">
        <v>694</v>
      </c>
      <c r="F160" s="22">
        <f t="shared" si="7"/>
        <v>54</v>
      </c>
      <c r="G160" s="22" t="str">
        <f t="shared" si="12"/>
        <v>PC</v>
      </c>
      <c r="H160" s="21" t="s">
        <v>906</v>
      </c>
      <c r="I160" s="20" t="s">
        <v>481</v>
      </c>
    </row>
    <row r="161" spans="1:9" x14ac:dyDescent="0.25">
      <c r="A161" s="15" t="s">
        <v>358</v>
      </c>
      <c r="B161" s="20" t="s">
        <v>297</v>
      </c>
      <c r="C161" s="21" t="s">
        <v>736</v>
      </c>
      <c r="D161" s="20" t="str">
        <f t="shared" si="8"/>
        <v>1ST-358-160</v>
      </c>
      <c r="E161" s="22" t="s">
        <v>737</v>
      </c>
      <c r="F161" s="22">
        <f t="shared" si="7"/>
        <v>76</v>
      </c>
      <c r="G161" s="22" t="str">
        <f t="shared" si="12"/>
        <v>PC</v>
      </c>
      <c r="H161" s="21" t="s">
        <v>907</v>
      </c>
      <c r="I161" s="20" t="s">
        <v>481</v>
      </c>
    </row>
    <row r="162" spans="1:9" x14ac:dyDescent="0.25">
      <c r="A162" s="15" t="s">
        <v>358</v>
      </c>
      <c r="B162" s="20" t="s">
        <v>297</v>
      </c>
      <c r="C162" s="21" t="s">
        <v>738</v>
      </c>
      <c r="D162" s="20" t="str">
        <f t="shared" si="8"/>
        <v>1ST-358-161</v>
      </c>
      <c r="E162" s="22" t="s">
        <v>739</v>
      </c>
      <c r="F162" s="22">
        <f t="shared" si="7"/>
        <v>87</v>
      </c>
      <c r="G162" s="22" t="str">
        <f t="shared" si="12"/>
        <v>PC</v>
      </c>
      <c r="H162" s="21" t="s">
        <v>908</v>
      </c>
      <c r="I162" s="20" t="s">
        <v>481</v>
      </c>
    </row>
    <row r="163" spans="1:9" x14ac:dyDescent="0.25">
      <c r="A163" s="15" t="s">
        <v>358</v>
      </c>
      <c r="B163" s="20" t="s">
        <v>297</v>
      </c>
      <c r="C163" s="21" t="s">
        <v>740</v>
      </c>
      <c r="D163" s="20" t="str">
        <f t="shared" si="8"/>
        <v>1ST-358-162</v>
      </c>
      <c r="E163" s="22" t="s">
        <v>741</v>
      </c>
      <c r="F163" s="22">
        <f t="shared" si="7"/>
        <v>108</v>
      </c>
      <c r="G163" s="22" t="str">
        <f t="shared" si="12"/>
        <v>PC</v>
      </c>
      <c r="H163" s="21" t="s">
        <v>909</v>
      </c>
      <c r="I163" s="20" t="s">
        <v>481</v>
      </c>
    </row>
    <row r="164" spans="1:9" ht="27.6" x14ac:dyDescent="0.25">
      <c r="A164" s="15" t="s">
        <v>358</v>
      </c>
      <c r="B164" s="20" t="s">
        <v>296</v>
      </c>
      <c r="C164" s="21" t="s">
        <v>742</v>
      </c>
      <c r="D164" s="20" t="str">
        <f t="shared" si="8"/>
        <v>1ST-358-163</v>
      </c>
      <c r="E164" s="21" t="s">
        <v>687</v>
      </c>
      <c r="F164" s="22">
        <f t="shared" si="7"/>
        <v>45</v>
      </c>
      <c r="G164" s="22" t="str">
        <f t="shared" si="12"/>
        <v>PC</v>
      </c>
      <c r="H164" s="27" t="s">
        <v>910</v>
      </c>
      <c r="I164" s="20" t="s">
        <v>481</v>
      </c>
    </row>
    <row r="165" spans="1:9" ht="27.6" x14ac:dyDescent="0.25">
      <c r="A165" s="15" t="s">
        <v>358</v>
      </c>
      <c r="B165" s="20" t="s">
        <v>296</v>
      </c>
      <c r="C165" s="21" t="s">
        <v>743</v>
      </c>
      <c r="D165" s="20" t="str">
        <f t="shared" si="8"/>
        <v>1ST-358-164</v>
      </c>
      <c r="E165" s="21" t="s">
        <v>744</v>
      </c>
      <c r="F165" s="22">
        <f t="shared" si="7"/>
        <v>50</v>
      </c>
      <c r="G165" s="22" t="str">
        <f t="shared" si="12"/>
        <v>PC</v>
      </c>
      <c r="H165" s="27" t="s">
        <v>911</v>
      </c>
      <c r="I165" s="20" t="s">
        <v>481</v>
      </c>
    </row>
    <row r="166" spans="1:9" ht="27.6" x14ac:dyDescent="0.25">
      <c r="A166" s="15" t="s">
        <v>358</v>
      </c>
      <c r="B166" s="20" t="s">
        <v>296</v>
      </c>
      <c r="C166" s="21" t="s">
        <v>745</v>
      </c>
      <c r="D166" s="20" t="str">
        <f t="shared" si="8"/>
        <v>1ST-358-165</v>
      </c>
      <c r="E166" s="21" t="s">
        <v>746</v>
      </c>
      <c r="F166" s="22">
        <f t="shared" si="7"/>
        <v>60</v>
      </c>
      <c r="G166" s="22" t="str">
        <f t="shared" si="12"/>
        <v>PC</v>
      </c>
      <c r="H166" s="27" t="s">
        <v>912</v>
      </c>
      <c r="I166" s="20" t="s">
        <v>481</v>
      </c>
    </row>
    <row r="167" spans="1:9" x14ac:dyDescent="0.25">
      <c r="A167" s="15" t="s">
        <v>358</v>
      </c>
      <c r="B167" s="20" t="s">
        <v>296</v>
      </c>
      <c r="C167" s="21" t="s">
        <v>747</v>
      </c>
      <c r="D167" s="20" t="str">
        <f t="shared" si="8"/>
        <v>1ST-358-166</v>
      </c>
      <c r="E167" s="21" t="s">
        <v>748</v>
      </c>
      <c r="F167" s="22">
        <f t="shared" si="7"/>
        <v>70</v>
      </c>
      <c r="G167" s="22" t="str">
        <f t="shared" si="12"/>
        <v>PC</v>
      </c>
      <c r="H167" s="21" t="s">
        <v>913</v>
      </c>
      <c r="I167" s="20" t="s">
        <v>481</v>
      </c>
    </row>
    <row r="168" spans="1:9" ht="27.6" x14ac:dyDescent="0.25">
      <c r="A168" s="15" t="s">
        <v>358</v>
      </c>
      <c r="B168" s="20" t="s">
        <v>295</v>
      </c>
      <c r="C168" s="21" t="s">
        <v>749</v>
      </c>
      <c r="D168" s="20" t="str">
        <f t="shared" si="8"/>
        <v>1ST-358-167</v>
      </c>
      <c r="E168" s="21" t="s">
        <v>750</v>
      </c>
      <c r="F168" s="22">
        <f t="shared" si="7"/>
        <v>48</v>
      </c>
      <c r="G168" s="22" t="str">
        <f t="shared" si="12"/>
        <v>PC</v>
      </c>
      <c r="H168" s="27" t="s">
        <v>914</v>
      </c>
      <c r="I168" s="20" t="s">
        <v>481</v>
      </c>
    </row>
    <row r="169" spans="1:9" ht="27.6" x14ac:dyDescent="0.25">
      <c r="A169" s="15" t="s">
        <v>358</v>
      </c>
      <c r="B169" s="20" t="s">
        <v>295</v>
      </c>
      <c r="C169" s="21" t="s">
        <v>751</v>
      </c>
      <c r="D169" s="20" t="str">
        <f t="shared" si="8"/>
        <v>1ST-358-168</v>
      </c>
      <c r="E169" s="21" t="s">
        <v>752</v>
      </c>
      <c r="F169" s="22">
        <f t="shared" si="7"/>
        <v>55</v>
      </c>
      <c r="G169" s="22" t="str">
        <f t="shared" si="12"/>
        <v>PC</v>
      </c>
      <c r="H169" s="27" t="s">
        <v>915</v>
      </c>
      <c r="I169" s="20" t="s">
        <v>481</v>
      </c>
    </row>
    <row r="170" spans="1:9" ht="27.6" x14ac:dyDescent="0.25">
      <c r="A170" s="15" t="s">
        <v>358</v>
      </c>
      <c r="B170" s="20" t="s">
        <v>295</v>
      </c>
      <c r="C170" s="21" t="s">
        <v>753</v>
      </c>
      <c r="D170" s="20" t="str">
        <f t="shared" si="8"/>
        <v>1ST-358-169</v>
      </c>
      <c r="E170" s="21" t="s">
        <v>754</v>
      </c>
      <c r="F170" s="22">
        <f t="shared" si="7"/>
        <v>65</v>
      </c>
      <c r="G170" s="22" t="str">
        <f t="shared" si="12"/>
        <v>PC</v>
      </c>
      <c r="H170" s="27" t="s">
        <v>916</v>
      </c>
      <c r="I170" s="20" t="s">
        <v>481</v>
      </c>
    </row>
    <row r="171" spans="1:9" ht="27.6" x14ac:dyDescent="0.25">
      <c r="A171" s="15" t="s">
        <v>358</v>
      </c>
      <c r="B171" s="20" t="s">
        <v>295</v>
      </c>
      <c r="C171" s="21" t="s">
        <v>755</v>
      </c>
      <c r="D171" s="20" t="str">
        <f t="shared" si="8"/>
        <v>1ST-358-170</v>
      </c>
      <c r="E171" s="21" t="s">
        <v>756</v>
      </c>
      <c r="F171" s="22">
        <f t="shared" si="7"/>
        <v>75</v>
      </c>
      <c r="G171" s="22" t="str">
        <f t="shared" si="12"/>
        <v>PC</v>
      </c>
      <c r="H171" s="27" t="s">
        <v>917</v>
      </c>
      <c r="I171" s="20" t="s">
        <v>481</v>
      </c>
    </row>
    <row r="172" spans="1:9" x14ac:dyDescent="0.25">
      <c r="A172" s="15" t="s">
        <v>358</v>
      </c>
      <c r="B172" s="20" t="s">
        <v>294</v>
      </c>
      <c r="C172" s="21" t="s">
        <v>757</v>
      </c>
      <c r="D172" s="20" t="str">
        <f t="shared" si="8"/>
        <v>1ST-358-171</v>
      </c>
      <c r="E172" s="21" t="s">
        <v>758</v>
      </c>
      <c r="F172" s="22">
        <f t="shared" si="7"/>
        <v>145</v>
      </c>
      <c r="G172" s="22" t="str">
        <f t="shared" si="12"/>
        <v>PC</v>
      </c>
      <c r="H172" s="21" t="s">
        <v>918</v>
      </c>
      <c r="I172" s="20" t="s">
        <v>481</v>
      </c>
    </row>
    <row r="173" spans="1:9" x14ac:dyDescent="0.25">
      <c r="A173" s="15" t="s">
        <v>358</v>
      </c>
      <c r="B173" s="20" t="s">
        <v>294</v>
      </c>
      <c r="C173" s="21" t="s">
        <v>759</v>
      </c>
      <c r="D173" s="20" t="str">
        <f t="shared" si="8"/>
        <v>1ST-358-172</v>
      </c>
      <c r="E173" s="21" t="s">
        <v>758</v>
      </c>
      <c r="F173" s="22">
        <f t="shared" si="7"/>
        <v>145</v>
      </c>
      <c r="G173" s="22" t="str">
        <f t="shared" si="12"/>
        <v>PC</v>
      </c>
      <c r="H173" s="21" t="s">
        <v>918</v>
      </c>
      <c r="I173" s="20" t="s">
        <v>481</v>
      </c>
    </row>
    <row r="174" spans="1:9" x14ac:dyDescent="0.25">
      <c r="A174" s="15" t="s">
        <v>358</v>
      </c>
      <c r="B174" s="20" t="s">
        <v>293</v>
      </c>
      <c r="C174" s="20" t="s">
        <v>529</v>
      </c>
      <c r="D174" s="20" t="str">
        <f t="shared" si="8"/>
        <v>1ST-358-173</v>
      </c>
      <c r="E174" s="20" t="s">
        <v>530</v>
      </c>
      <c r="F174" s="22">
        <f t="shared" si="7"/>
        <v>280</v>
      </c>
      <c r="G174" s="22" t="str">
        <f t="shared" si="12"/>
        <v>PC</v>
      </c>
      <c r="H174" s="20" t="s">
        <v>531</v>
      </c>
      <c r="I174" s="20" t="s">
        <v>481</v>
      </c>
    </row>
    <row r="175" spans="1:9" x14ac:dyDescent="0.25">
      <c r="A175" s="15" t="s">
        <v>358</v>
      </c>
      <c r="B175" s="20" t="s">
        <v>292</v>
      </c>
      <c r="C175" s="20" t="s">
        <v>532</v>
      </c>
      <c r="D175" s="20" t="str">
        <f t="shared" si="8"/>
        <v>1ST-358-174</v>
      </c>
      <c r="E175" s="20" t="s">
        <v>533</v>
      </c>
      <c r="F175" s="22">
        <f t="shared" si="7"/>
        <v>290</v>
      </c>
      <c r="G175" s="22" t="str">
        <f t="shared" si="12"/>
        <v>PC</v>
      </c>
      <c r="H175" s="20" t="s">
        <v>534</v>
      </c>
      <c r="I175" s="20" t="s">
        <v>481</v>
      </c>
    </row>
    <row r="176" spans="1:9" x14ac:dyDescent="0.25">
      <c r="A176" s="15" t="s">
        <v>358</v>
      </c>
      <c r="B176" s="20" t="s">
        <v>291</v>
      </c>
      <c r="C176" s="21" t="s">
        <v>760</v>
      </c>
      <c r="D176" s="20" t="str">
        <f t="shared" si="8"/>
        <v>1ST-358-175</v>
      </c>
      <c r="E176" s="21" t="s">
        <v>754</v>
      </c>
      <c r="F176" s="22">
        <f t="shared" si="7"/>
        <v>65</v>
      </c>
      <c r="G176" s="22" t="str">
        <f t="shared" si="12"/>
        <v>PC</v>
      </c>
      <c r="H176" s="24" t="s">
        <v>919</v>
      </c>
      <c r="I176" s="20" t="s">
        <v>481</v>
      </c>
    </row>
    <row r="177" spans="1:9" x14ac:dyDescent="0.25">
      <c r="A177" s="15" t="s">
        <v>358</v>
      </c>
      <c r="B177" s="20" t="s">
        <v>291</v>
      </c>
      <c r="C177" s="21" t="s">
        <v>761</v>
      </c>
      <c r="D177" s="20" t="str">
        <f t="shared" si="8"/>
        <v>1ST-358-176</v>
      </c>
      <c r="E177" s="21" t="s">
        <v>756</v>
      </c>
      <c r="F177" s="22">
        <f t="shared" si="7"/>
        <v>75</v>
      </c>
      <c r="G177" s="22" t="str">
        <f t="shared" si="12"/>
        <v>PC</v>
      </c>
      <c r="H177" s="24" t="s">
        <v>920</v>
      </c>
      <c r="I177" s="20" t="s">
        <v>481</v>
      </c>
    </row>
    <row r="178" spans="1:9" x14ac:dyDescent="0.25">
      <c r="A178" s="15" t="s">
        <v>358</v>
      </c>
      <c r="B178" s="20" t="s">
        <v>291</v>
      </c>
      <c r="C178" s="21" t="s">
        <v>762</v>
      </c>
      <c r="D178" s="20" t="str">
        <f t="shared" si="8"/>
        <v>1ST-358-177</v>
      </c>
      <c r="E178" s="21" t="s">
        <v>763</v>
      </c>
      <c r="F178" s="22">
        <f t="shared" si="7"/>
        <v>85</v>
      </c>
      <c r="G178" s="22" t="str">
        <f t="shared" si="12"/>
        <v>PC</v>
      </c>
      <c r="H178" s="24" t="s">
        <v>921</v>
      </c>
      <c r="I178" s="20" t="s">
        <v>481</v>
      </c>
    </row>
    <row r="179" spans="1:9" ht="27.6" x14ac:dyDescent="0.25">
      <c r="A179" s="15" t="s">
        <v>358</v>
      </c>
      <c r="B179" s="20" t="s">
        <v>290</v>
      </c>
      <c r="C179" s="21" t="s">
        <v>764</v>
      </c>
      <c r="D179" s="20" t="str">
        <f t="shared" si="8"/>
        <v>1ST-358-178</v>
      </c>
      <c r="E179" s="21" t="s">
        <v>765</v>
      </c>
      <c r="F179" s="22">
        <f t="shared" si="7"/>
        <v>120</v>
      </c>
      <c r="G179" s="22" t="str">
        <f t="shared" si="12"/>
        <v>PC</v>
      </c>
      <c r="H179" s="27" t="s">
        <v>922</v>
      </c>
      <c r="I179" s="20" t="s">
        <v>481</v>
      </c>
    </row>
    <row r="180" spans="1:9" ht="27.6" x14ac:dyDescent="0.25">
      <c r="A180" s="15" t="s">
        <v>358</v>
      </c>
      <c r="B180" s="20" t="s">
        <v>290</v>
      </c>
      <c r="C180" s="21" t="s">
        <v>766</v>
      </c>
      <c r="D180" s="20" t="str">
        <f t="shared" si="8"/>
        <v>1ST-358-179</v>
      </c>
      <c r="E180" s="21" t="s">
        <v>767</v>
      </c>
      <c r="F180" s="22">
        <f t="shared" si="7"/>
        <v>135</v>
      </c>
      <c r="G180" s="22" t="str">
        <f t="shared" si="12"/>
        <v>PC</v>
      </c>
      <c r="H180" s="27" t="s">
        <v>923</v>
      </c>
      <c r="I180" s="20" t="s">
        <v>481</v>
      </c>
    </row>
    <row r="181" spans="1:9" ht="27.6" x14ac:dyDescent="0.25">
      <c r="A181" s="15" t="s">
        <v>358</v>
      </c>
      <c r="B181" s="20" t="s">
        <v>290</v>
      </c>
      <c r="C181" s="21" t="s">
        <v>768</v>
      </c>
      <c r="D181" s="20" t="str">
        <f t="shared" si="8"/>
        <v>1ST-358-180</v>
      </c>
      <c r="E181" s="21" t="s">
        <v>767</v>
      </c>
      <c r="F181" s="22">
        <f t="shared" si="7"/>
        <v>135</v>
      </c>
      <c r="G181" s="22" t="str">
        <f t="shared" si="12"/>
        <v>PC</v>
      </c>
      <c r="H181" s="27" t="s">
        <v>923</v>
      </c>
      <c r="I181" s="20" t="s">
        <v>481</v>
      </c>
    </row>
    <row r="182" spans="1:9" ht="27.6" x14ac:dyDescent="0.25">
      <c r="A182" s="15" t="s">
        <v>358</v>
      </c>
      <c r="B182" s="20" t="s">
        <v>290</v>
      </c>
      <c r="C182" s="27" t="s">
        <v>924</v>
      </c>
      <c r="D182" s="20" t="str">
        <f t="shared" si="8"/>
        <v>1ST-358-181</v>
      </c>
      <c r="E182" s="22" t="s">
        <v>703</v>
      </c>
      <c r="F182" s="22">
        <f t="shared" si="7"/>
        <v>160</v>
      </c>
      <c r="G182" s="22" t="str">
        <f t="shared" si="12"/>
        <v>PC</v>
      </c>
      <c r="H182" s="27" t="s">
        <v>925</v>
      </c>
      <c r="I182" s="20" t="s">
        <v>481</v>
      </c>
    </row>
    <row r="183" spans="1:9" ht="27.6" x14ac:dyDescent="0.25">
      <c r="A183" s="15" t="s">
        <v>358</v>
      </c>
      <c r="B183" s="20" t="s">
        <v>290</v>
      </c>
      <c r="C183" s="27" t="s">
        <v>926</v>
      </c>
      <c r="D183" s="20" t="str">
        <f t="shared" si="8"/>
        <v>1ST-358-182</v>
      </c>
      <c r="E183" s="21" t="s">
        <v>769</v>
      </c>
      <c r="F183" s="22">
        <f t="shared" si="7"/>
        <v>175</v>
      </c>
      <c r="G183" s="22" t="str">
        <f t="shared" si="12"/>
        <v>PC</v>
      </c>
      <c r="H183" s="27" t="s">
        <v>927</v>
      </c>
      <c r="I183" s="20" t="s">
        <v>481</v>
      </c>
    </row>
    <row r="184" spans="1:9" ht="27.6" x14ac:dyDescent="0.25">
      <c r="A184" s="15" t="s">
        <v>358</v>
      </c>
      <c r="B184" s="20" t="s">
        <v>289</v>
      </c>
      <c r="C184" s="27" t="s">
        <v>928</v>
      </c>
      <c r="D184" s="20" t="str">
        <f t="shared" si="8"/>
        <v>1ST-358-183</v>
      </c>
      <c r="E184" s="21" t="s">
        <v>770</v>
      </c>
      <c r="F184" s="22">
        <f t="shared" si="7"/>
        <v>140</v>
      </c>
      <c r="G184" s="22" t="str">
        <f t="shared" si="12"/>
        <v>PC</v>
      </c>
      <c r="H184" s="21" t="s">
        <v>929</v>
      </c>
      <c r="I184" s="20" t="s">
        <v>481</v>
      </c>
    </row>
    <row r="185" spans="1:9" x14ac:dyDescent="0.25">
      <c r="A185" s="15" t="s">
        <v>358</v>
      </c>
      <c r="B185" s="20" t="s">
        <v>289</v>
      </c>
      <c r="C185" s="21" t="s">
        <v>771</v>
      </c>
      <c r="D185" s="20" t="str">
        <f t="shared" si="8"/>
        <v>1ST-358-184</v>
      </c>
      <c r="E185" s="21" t="s">
        <v>758</v>
      </c>
      <c r="F185" s="22">
        <f t="shared" si="7"/>
        <v>145</v>
      </c>
      <c r="G185" s="22" t="str">
        <f t="shared" si="12"/>
        <v>PC</v>
      </c>
      <c r="H185" s="21" t="s">
        <v>930</v>
      </c>
      <c r="I185" s="20" t="s">
        <v>481</v>
      </c>
    </row>
    <row r="186" spans="1:9" ht="27.6" x14ac:dyDescent="0.25">
      <c r="A186" s="15" t="s">
        <v>358</v>
      </c>
      <c r="B186" s="20" t="s">
        <v>289</v>
      </c>
      <c r="C186" s="27" t="s">
        <v>931</v>
      </c>
      <c r="D186" s="20" t="str">
        <f t="shared" si="8"/>
        <v>1ST-358-185</v>
      </c>
      <c r="E186" s="21" t="s">
        <v>703</v>
      </c>
      <c r="F186" s="22">
        <f t="shared" si="7"/>
        <v>160</v>
      </c>
      <c r="G186" s="22" t="str">
        <f t="shared" si="12"/>
        <v>PC</v>
      </c>
      <c r="H186" s="21" t="s">
        <v>932</v>
      </c>
      <c r="I186" s="20" t="s">
        <v>481</v>
      </c>
    </row>
    <row r="187" spans="1:9" x14ac:dyDescent="0.25">
      <c r="A187" s="15" t="s">
        <v>358</v>
      </c>
      <c r="B187" s="20" t="s">
        <v>289</v>
      </c>
      <c r="C187" s="21" t="s">
        <v>772</v>
      </c>
      <c r="D187" s="20" t="str">
        <f t="shared" si="8"/>
        <v>1ST-358-186</v>
      </c>
      <c r="E187" s="21" t="s">
        <v>758</v>
      </c>
      <c r="F187" s="22">
        <f t="shared" si="7"/>
        <v>145</v>
      </c>
      <c r="G187" s="22" t="str">
        <f t="shared" si="12"/>
        <v>PC</v>
      </c>
      <c r="H187" s="21" t="s">
        <v>930</v>
      </c>
      <c r="I187" s="20" t="s">
        <v>481</v>
      </c>
    </row>
    <row r="188" spans="1:9" ht="27.6" x14ac:dyDescent="0.25">
      <c r="A188" s="15" t="s">
        <v>358</v>
      </c>
      <c r="B188" s="20" t="s">
        <v>289</v>
      </c>
      <c r="C188" s="27" t="s">
        <v>933</v>
      </c>
      <c r="D188" s="20" t="str">
        <f t="shared" si="8"/>
        <v>1ST-358-187</v>
      </c>
      <c r="E188" s="21" t="s">
        <v>703</v>
      </c>
      <c r="F188" s="22">
        <f t="shared" si="7"/>
        <v>160</v>
      </c>
      <c r="G188" s="22" t="str">
        <f t="shared" si="12"/>
        <v>PC</v>
      </c>
      <c r="H188" s="21" t="s">
        <v>932</v>
      </c>
      <c r="I188" s="20" t="s">
        <v>481</v>
      </c>
    </row>
    <row r="189" spans="1:9" ht="27.6" x14ac:dyDescent="0.25">
      <c r="A189" s="15" t="s">
        <v>358</v>
      </c>
      <c r="B189" s="20" t="s">
        <v>289</v>
      </c>
      <c r="C189" s="27" t="s">
        <v>934</v>
      </c>
      <c r="D189" s="20" t="str">
        <f t="shared" si="8"/>
        <v>1ST-358-188</v>
      </c>
      <c r="E189" s="21" t="s">
        <v>769</v>
      </c>
      <c r="F189" s="22">
        <f t="shared" si="7"/>
        <v>175</v>
      </c>
      <c r="G189" s="22" t="str">
        <f t="shared" si="12"/>
        <v>PC</v>
      </c>
      <c r="H189" s="21" t="s">
        <v>935</v>
      </c>
      <c r="I189" s="20" t="s">
        <v>481</v>
      </c>
    </row>
    <row r="190" spans="1:9" x14ac:dyDescent="0.25">
      <c r="A190" s="15" t="s">
        <v>358</v>
      </c>
      <c r="B190" s="16" t="s">
        <v>288</v>
      </c>
      <c r="C190" s="17" t="s">
        <v>939</v>
      </c>
      <c r="D190" s="20" t="str">
        <f t="shared" si="8"/>
        <v>1ST-358-189</v>
      </c>
      <c r="E190" s="17" t="s">
        <v>726</v>
      </c>
      <c r="F190" s="22">
        <f t="shared" si="7"/>
        <v>152</v>
      </c>
      <c r="G190" s="22" t="str">
        <f t="shared" ref="G190:G194" si="13">TRIM(MID(E190,FIND("/",E190)+1,LEN(E190)))</f>
        <v>PC</v>
      </c>
      <c r="H190" s="18" t="s">
        <v>948</v>
      </c>
      <c r="I190" s="20" t="s">
        <v>481</v>
      </c>
    </row>
    <row r="191" spans="1:9" x14ac:dyDescent="0.25">
      <c r="A191" s="15" t="s">
        <v>358</v>
      </c>
      <c r="B191" s="16" t="s">
        <v>288</v>
      </c>
      <c r="C191" s="17" t="s">
        <v>940</v>
      </c>
      <c r="D191" s="20" t="str">
        <f t="shared" si="8"/>
        <v>1ST-358-190</v>
      </c>
      <c r="E191" s="17" t="s">
        <v>944</v>
      </c>
      <c r="F191" s="22">
        <f t="shared" si="7"/>
        <v>163</v>
      </c>
      <c r="G191" s="22" t="str">
        <f t="shared" si="13"/>
        <v>PC</v>
      </c>
      <c r="H191" s="18" t="s">
        <v>949</v>
      </c>
      <c r="I191" s="20" t="s">
        <v>481</v>
      </c>
    </row>
    <row r="192" spans="1:9" ht="27.6" x14ac:dyDescent="0.25">
      <c r="A192" s="15" t="s">
        <v>358</v>
      </c>
      <c r="B192" s="16" t="s">
        <v>288</v>
      </c>
      <c r="C192" s="19" t="s">
        <v>941</v>
      </c>
      <c r="D192" s="20" t="str">
        <f t="shared" si="8"/>
        <v>1ST-358-191</v>
      </c>
      <c r="E192" s="17" t="s">
        <v>945</v>
      </c>
      <c r="F192" s="22">
        <f t="shared" si="7"/>
        <v>172</v>
      </c>
      <c r="G192" s="22" t="str">
        <f t="shared" si="13"/>
        <v>PC</v>
      </c>
      <c r="H192" s="18" t="s">
        <v>950</v>
      </c>
      <c r="I192" s="20" t="s">
        <v>481</v>
      </c>
    </row>
    <row r="193" spans="1:9" ht="27.6" x14ac:dyDescent="0.25">
      <c r="A193" s="15" t="s">
        <v>358</v>
      </c>
      <c r="B193" s="16" t="s">
        <v>288</v>
      </c>
      <c r="C193" s="19" t="s">
        <v>942</v>
      </c>
      <c r="D193" s="20" t="str">
        <f t="shared" si="8"/>
        <v>1ST-358-192</v>
      </c>
      <c r="E193" s="17" t="s">
        <v>946</v>
      </c>
      <c r="F193" s="22">
        <f t="shared" si="7"/>
        <v>203</v>
      </c>
      <c r="G193" s="22" t="str">
        <f t="shared" si="13"/>
        <v>PC</v>
      </c>
      <c r="H193" s="18" t="s">
        <v>951</v>
      </c>
      <c r="I193" s="20" t="s">
        <v>481</v>
      </c>
    </row>
    <row r="194" spans="1:9" ht="27.6" x14ac:dyDescent="0.25">
      <c r="A194" s="15" t="s">
        <v>358</v>
      </c>
      <c r="B194" s="16" t="s">
        <v>288</v>
      </c>
      <c r="C194" s="19" t="s">
        <v>943</v>
      </c>
      <c r="D194" s="20" t="str">
        <f t="shared" si="8"/>
        <v>1ST-358-193</v>
      </c>
      <c r="E194" s="17" t="s">
        <v>947</v>
      </c>
      <c r="F194" s="22">
        <f t="shared" si="7"/>
        <v>228</v>
      </c>
      <c r="G194" s="22" t="str">
        <f t="shared" si="13"/>
        <v>PC</v>
      </c>
      <c r="H194" s="18" t="s">
        <v>952</v>
      </c>
      <c r="I194" s="20" t="s">
        <v>481</v>
      </c>
    </row>
    <row r="195" spans="1:9" ht="24" x14ac:dyDescent="0.25">
      <c r="A195" s="15" t="s">
        <v>358</v>
      </c>
      <c r="B195" s="16" t="s">
        <v>287</v>
      </c>
      <c r="C195" s="12" t="s">
        <v>953</v>
      </c>
      <c r="D195" s="20" t="str">
        <f t="shared" si="8"/>
        <v>1ST-358-194</v>
      </c>
      <c r="E195" s="14" t="s">
        <v>955</v>
      </c>
      <c r="F195" s="22">
        <f t="shared" si="7"/>
        <v>155</v>
      </c>
      <c r="G195" s="22" t="str">
        <f t="shared" ref="G195:G199" si="14">TRIM(MID(E195,FIND("/",E195)+1,LEN(E195)))</f>
        <v>PC</v>
      </c>
      <c r="H195" s="14" t="s">
        <v>960</v>
      </c>
      <c r="I195" s="20" t="s">
        <v>481</v>
      </c>
    </row>
    <row r="196" spans="1:9" ht="24" x14ac:dyDescent="0.25">
      <c r="A196" s="15" t="s">
        <v>358</v>
      </c>
      <c r="B196" s="16" t="s">
        <v>287</v>
      </c>
      <c r="C196" s="12" t="s">
        <v>954</v>
      </c>
      <c r="D196" s="20" t="str">
        <f t="shared" ref="D196:D199" si="15">LEFT($D$2,FIND("-",$D$2,FIND("-",$D$2)+1)) &amp; TEXT(RIGHT($D$2,3)+ROW(D194),"000")</f>
        <v>1ST-358-195</v>
      </c>
      <c r="E196" s="14" t="s">
        <v>956</v>
      </c>
      <c r="F196" s="22">
        <f t="shared" ref="F196:F199" si="16">VALUE(LEFT(E196,FIND("/",E196)-1))</f>
        <v>165</v>
      </c>
      <c r="G196" s="22" t="str">
        <f t="shared" si="14"/>
        <v>PC</v>
      </c>
      <c r="H196" s="14" t="s">
        <v>961</v>
      </c>
      <c r="I196" s="20" t="s">
        <v>481</v>
      </c>
    </row>
    <row r="197" spans="1:9" ht="24" x14ac:dyDescent="0.25">
      <c r="A197" s="15" t="s">
        <v>358</v>
      </c>
      <c r="B197" s="16" t="s">
        <v>287</v>
      </c>
      <c r="C197" s="12" t="s">
        <v>936</v>
      </c>
      <c r="D197" s="20" t="str">
        <f t="shared" si="15"/>
        <v>1ST-358-196</v>
      </c>
      <c r="E197" s="14" t="s">
        <v>957</v>
      </c>
      <c r="F197" s="22">
        <f t="shared" si="16"/>
        <v>190</v>
      </c>
      <c r="G197" s="22" t="str">
        <f t="shared" si="14"/>
        <v>PC</v>
      </c>
      <c r="H197" s="14" t="s">
        <v>962</v>
      </c>
      <c r="I197" s="20" t="s">
        <v>481</v>
      </c>
    </row>
    <row r="198" spans="1:9" ht="24" x14ac:dyDescent="0.25">
      <c r="A198" s="15" t="s">
        <v>358</v>
      </c>
      <c r="B198" s="16" t="s">
        <v>287</v>
      </c>
      <c r="C198" s="12" t="s">
        <v>937</v>
      </c>
      <c r="D198" s="20" t="str">
        <f t="shared" si="15"/>
        <v>1ST-358-197</v>
      </c>
      <c r="E198" s="14" t="s">
        <v>958</v>
      </c>
      <c r="F198" s="22">
        <f t="shared" si="16"/>
        <v>205</v>
      </c>
      <c r="G198" s="22" t="str">
        <f t="shared" si="14"/>
        <v>PC</v>
      </c>
      <c r="H198" s="14" t="s">
        <v>963</v>
      </c>
      <c r="I198" s="20" t="s">
        <v>481</v>
      </c>
    </row>
    <row r="199" spans="1:9" ht="24" x14ac:dyDescent="0.25">
      <c r="A199" s="15" t="s">
        <v>358</v>
      </c>
      <c r="B199" s="16" t="s">
        <v>287</v>
      </c>
      <c r="C199" s="12" t="s">
        <v>938</v>
      </c>
      <c r="D199" s="20" t="str">
        <f t="shared" si="15"/>
        <v>1ST-358-198</v>
      </c>
      <c r="E199" s="14" t="s">
        <v>959</v>
      </c>
      <c r="F199" s="22">
        <f t="shared" si="16"/>
        <v>235</v>
      </c>
      <c r="G199" s="22" t="str">
        <f t="shared" si="14"/>
        <v>PC</v>
      </c>
      <c r="H199" s="14" t="s">
        <v>964</v>
      </c>
      <c r="I199" s="20" t="s">
        <v>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E089E-C4BB-42CD-8880-01A3564BA604}">
  <dimension ref="A1:L34"/>
  <sheetViews>
    <sheetView tabSelected="1" topLeftCell="B1" workbookViewId="0">
      <pane ySplit="1" topLeftCell="A14" activePane="bottomLeft" state="frozen"/>
      <selection activeCell="D1" sqref="D1"/>
      <selection pane="bottomLeft" activeCell="K10" sqref="K10"/>
    </sheetView>
  </sheetViews>
  <sheetFormatPr defaultRowHeight="14.4" x14ac:dyDescent="0.3"/>
  <cols>
    <col min="1" max="1" width="16.88671875" customWidth="1"/>
    <col min="2" max="2" width="22.33203125" customWidth="1"/>
    <col min="3" max="3" width="53.33203125" customWidth="1"/>
    <col min="4" max="4" width="52.109375" customWidth="1"/>
    <col min="5" max="5" width="15.6640625" hidden="1" customWidth="1"/>
    <col min="6" max="6" width="0" hidden="1" customWidth="1"/>
    <col min="7" max="7" width="16.5546875" bestFit="1" customWidth="1"/>
    <col min="8" max="8" width="10.109375" bestFit="1" customWidth="1"/>
    <col min="10" max="10" width="8.109375" bestFit="1" customWidth="1"/>
    <col min="11" max="11" width="15" bestFit="1" customWidth="1"/>
  </cols>
  <sheetData>
    <row r="1" spans="1:12" x14ac:dyDescent="0.3">
      <c r="A1" s="29" t="s">
        <v>965</v>
      </c>
      <c r="B1" s="29" t="s">
        <v>966</v>
      </c>
      <c r="C1" s="29" t="s">
        <v>967</v>
      </c>
      <c r="D1" s="29" t="s">
        <v>986</v>
      </c>
      <c r="E1" s="29" t="s">
        <v>968</v>
      </c>
      <c r="F1" s="29" t="s">
        <v>969</v>
      </c>
      <c r="G1" s="29" t="s">
        <v>472</v>
      </c>
      <c r="H1" s="29" t="s">
        <v>970</v>
      </c>
      <c r="I1" s="29" t="s">
        <v>475</v>
      </c>
      <c r="J1" s="29" t="s">
        <v>971</v>
      </c>
      <c r="K1" s="29" t="s">
        <v>972</v>
      </c>
      <c r="L1" s="29" t="s">
        <v>987</v>
      </c>
    </row>
    <row r="2" spans="1:12" x14ac:dyDescent="0.3">
      <c r="A2" t="s">
        <v>973</v>
      </c>
      <c r="B2" t="str">
        <f>VLOOKUP(C2,'SUPPLIER_ITEMS (1st Tools)'!C2:D199,2,FALSE)</f>
        <v>1ST-358-046</v>
      </c>
      <c r="C2" s="30" t="s">
        <v>593</v>
      </c>
      <c r="D2" s="44" t="str">
        <f>"AV"&amp;RIGHT(C2,LEN(C2)-2)</f>
        <v>AV22092-1 (LT22011-1) CLEAR HOSE 1/8"*300M</v>
      </c>
      <c r="G2" t="s">
        <v>330</v>
      </c>
      <c r="H2" s="31">
        <v>460</v>
      </c>
      <c r="I2" t="s">
        <v>337</v>
      </c>
      <c r="J2">
        <v>0</v>
      </c>
      <c r="K2">
        <v>0</v>
      </c>
      <c r="L2">
        <v>0</v>
      </c>
    </row>
    <row r="3" spans="1:12" x14ac:dyDescent="0.3">
      <c r="A3" s="20" t="str">
        <f>"AVT"&amp;TEXT(RIGHT(A2,LEN(A2)-3)+1,"0000000")</f>
        <v>AVT0000002</v>
      </c>
      <c r="B3" t="str">
        <f>VLOOKUP(C3,'SUPPLIER_ITEMS (1st Tools)'!C3:D200,2,FALSE)</f>
        <v>1ST-358-047</v>
      </c>
      <c r="C3" s="30" t="s">
        <v>595</v>
      </c>
      <c r="D3" s="44" t="str">
        <f t="shared" ref="D3:D34" si="0">"AV"&amp;RIGHT(C3,LEN(C3)-2)</f>
        <v>AV22092-2 (LT22011-2) CLEAR HOSE 3/16"*300M</v>
      </c>
      <c r="G3" t="s">
        <v>330</v>
      </c>
      <c r="H3" s="31">
        <v>720</v>
      </c>
      <c r="I3" t="s">
        <v>337</v>
      </c>
      <c r="J3">
        <v>0</v>
      </c>
      <c r="K3">
        <v>0</v>
      </c>
      <c r="L3">
        <v>0</v>
      </c>
    </row>
    <row r="4" spans="1:12" x14ac:dyDescent="0.3">
      <c r="A4" s="20" t="str">
        <f t="shared" ref="A4:A34" si="1">"AVT"&amp;TEXT(RIGHT(A3,LEN(A3)-3)+1,"0000000")</f>
        <v>AVT0000003</v>
      </c>
      <c r="B4" t="str">
        <f>VLOOKUP(C4,'SUPPLIER_ITEMS (1st Tools)'!C4:D201,2,FALSE)</f>
        <v>1ST-358-048</v>
      </c>
      <c r="C4" s="30" t="s">
        <v>597</v>
      </c>
      <c r="D4" s="44" t="str">
        <f t="shared" si="0"/>
        <v>AV22092-3 (LT22011-3) CLEAR HOSE 1/4"*300M</v>
      </c>
      <c r="G4" t="s">
        <v>330</v>
      </c>
      <c r="H4" s="31">
        <v>900</v>
      </c>
      <c r="I4" t="s">
        <v>337</v>
      </c>
      <c r="J4">
        <v>0</v>
      </c>
      <c r="K4">
        <v>0</v>
      </c>
      <c r="L4">
        <v>0</v>
      </c>
    </row>
    <row r="5" spans="1:12" x14ac:dyDescent="0.3">
      <c r="A5" s="20" t="str">
        <f t="shared" si="1"/>
        <v>AVT0000004</v>
      </c>
      <c r="B5" t="str">
        <f>VLOOKUP(C5,'SUPPLIER_ITEMS (1st Tools)'!C5:D202,2,FALSE)</f>
        <v>1ST-358-049</v>
      </c>
      <c r="C5" s="30" t="s">
        <v>599</v>
      </c>
      <c r="D5" s="44" t="str">
        <f t="shared" si="0"/>
        <v>AV22092-4 (LT22011-4) CLEAR HOSE 5/16"*300M</v>
      </c>
      <c r="G5" t="s">
        <v>330</v>
      </c>
      <c r="H5" s="31">
        <v>1650</v>
      </c>
      <c r="I5" t="s">
        <v>337</v>
      </c>
      <c r="J5">
        <v>0</v>
      </c>
      <c r="K5">
        <v>0</v>
      </c>
      <c r="L5">
        <v>0</v>
      </c>
    </row>
    <row r="6" spans="1:12" x14ac:dyDescent="0.3">
      <c r="A6" s="20" t="str">
        <f t="shared" si="1"/>
        <v>AVT0000005</v>
      </c>
      <c r="B6" t="str">
        <f>VLOOKUP(C6,'SUPPLIER_ITEMS (1st Tools)'!C6:D203,2,FALSE)</f>
        <v>1ST-358-050</v>
      </c>
      <c r="C6" s="30" t="s">
        <v>601</v>
      </c>
      <c r="D6" s="44" t="str">
        <f t="shared" si="0"/>
        <v>AV22092-5 (LT22011-5) CLEAR HOSE 3/8"*150M</v>
      </c>
      <c r="G6" t="s">
        <v>330</v>
      </c>
      <c r="H6" s="31">
        <v>1100</v>
      </c>
      <c r="I6" t="s">
        <v>337</v>
      </c>
      <c r="J6">
        <v>0</v>
      </c>
      <c r="K6">
        <v>0</v>
      </c>
      <c r="L6">
        <v>0</v>
      </c>
    </row>
    <row r="7" spans="1:12" x14ac:dyDescent="0.3">
      <c r="A7" s="20" t="str">
        <f t="shared" si="1"/>
        <v>AVT0000006</v>
      </c>
      <c r="B7" t="str">
        <f>VLOOKUP(C7,'SUPPLIER_ITEMS (1st Tools)'!C7:D204,2,FALSE)</f>
        <v>1ST-358-051</v>
      </c>
      <c r="C7" s="30" t="s">
        <v>603</v>
      </c>
      <c r="D7" s="44" t="str">
        <f t="shared" si="0"/>
        <v>AV22092-6 (LT22011-6) CLEAR HOSE 1/2"*150M</v>
      </c>
      <c r="G7" t="s">
        <v>330</v>
      </c>
      <c r="H7" s="31">
        <v>1680</v>
      </c>
      <c r="I7" t="s">
        <v>337</v>
      </c>
      <c r="J7">
        <v>0</v>
      </c>
      <c r="K7">
        <v>0</v>
      </c>
      <c r="L7">
        <v>0</v>
      </c>
    </row>
    <row r="8" spans="1:12" x14ac:dyDescent="0.3">
      <c r="A8" s="20" t="str">
        <f t="shared" si="1"/>
        <v>AVT0000007</v>
      </c>
      <c r="B8" t="str">
        <f>VLOOKUP(C8,'SUPPLIER_ITEMS (1st Tools)'!C8:D205,2,FALSE)</f>
        <v>1ST-358-052</v>
      </c>
      <c r="C8" s="30" t="s">
        <v>605</v>
      </c>
      <c r="D8" s="44" t="str">
        <f t="shared" si="0"/>
        <v>AV22092-7 (LT22011-7) CLEAR HOSE 5/8"*150M</v>
      </c>
      <c r="G8" t="s">
        <v>330</v>
      </c>
      <c r="H8" s="31">
        <v>2260</v>
      </c>
      <c r="I8" t="s">
        <v>337</v>
      </c>
      <c r="J8">
        <v>0</v>
      </c>
      <c r="K8">
        <v>0</v>
      </c>
      <c r="L8">
        <v>0</v>
      </c>
    </row>
    <row r="9" spans="1:12" x14ac:dyDescent="0.3">
      <c r="A9" s="20" t="str">
        <f t="shared" si="1"/>
        <v>AVT0000008</v>
      </c>
      <c r="B9" t="str">
        <f>VLOOKUP(C9,'SUPPLIER_ITEMS (1st Tools)'!C9:D206,2,FALSE)</f>
        <v>1ST-358-034</v>
      </c>
      <c r="C9" s="41" t="s">
        <v>493</v>
      </c>
      <c r="D9" s="44" t="str">
        <f t="shared" si="0"/>
        <v>AV22090-1 (LT22014-G1) GARDEN HOSE GREEN 1/2"*90M</v>
      </c>
      <c r="G9" t="s">
        <v>332</v>
      </c>
      <c r="H9" s="35">
        <v>1250</v>
      </c>
      <c r="I9" t="s">
        <v>337</v>
      </c>
      <c r="J9">
        <v>0</v>
      </c>
      <c r="K9">
        <v>0</v>
      </c>
      <c r="L9">
        <v>0</v>
      </c>
    </row>
    <row r="10" spans="1:12" x14ac:dyDescent="0.3">
      <c r="A10" s="20" t="str">
        <f t="shared" si="1"/>
        <v>AVT0000009</v>
      </c>
      <c r="B10" t="str">
        <f>VLOOKUP(C10,'SUPPLIER_ITEMS (1st Tools)'!C10:D207,2,FALSE)</f>
        <v>1ST-358-035</v>
      </c>
      <c r="C10" s="41" t="s">
        <v>979</v>
      </c>
      <c r="D10" s="44" t="str">
        <f t="shared" si="0"/>
        <v>AV22090-2 (LT22014-G2) GARDEN HOSE GREEN 5/8"*90M</v>
      </c>
      <c r="G10" t="s">
        <v>332</v>
      </c>
      <c r="H10" s="35">
        <v>1450</v>
      </c>
      <c r="I10" t="s">
        <v>337</v>
      </c>
      <c r="J10">
        <v>0</v>
      </c>
      <c r="K10">
        <v>0</v>
      </c>
      <c r="L10">
        <v>0</v>
      </c>
    </row>
    <row r="11" spans="1:12" x14ac:dyDescent="0.3">
      <c r="A11" s="20" t="str">
        <f t="shared" si="1"/>
        <v>AVT0000010</v>
      </c>
      <c r="B11" t="str">
        <f>VLOOKUP(C11,'SUPPLIER_ITEMS (1st Tools)'!C11:D208,2,FALSE)</f>
        <v>1ST-358-036</v>
      </c>
      <c r="C11" s="41" t="s">
        <v>980</v>
      </c>
      <c r="D11" s="44" t="str">
        <f t="shared" si="0"/>
        <v>AV22090-3 (LT22014-G3)GARDEN HOSE GREEN 3/4"*60M</v>
      </c>
      <c r="G11" t="s">
        <v>332</v>
      </c>
      <c r="H11" s="35">
        <v>1650</v>
      </c>
      <c r="I11" t="s">
        <v>337</v>
      </c>
      <c r="J11">
        <v>0</v>
      </c>
      <c r="K11">
        <v>0</v>
      </c>
      <c r="L11">
        <v>0</v>
      </c>
    </row>
    <row r="12" spans="1:12" x14ac:dyDescent="0.3">
      <c r="A12" s="20" t="str">
        <f t="shared" si="1"/>
        <v>AVT0000011</v>
      </c>
      <c r="B12" t="str">
        <f>VLOOKUP(C12,'SUPPLIER_ITEMS (1st Tools)'!C12:D209,2,FALSE)</f>
        <v>1ST-358-037</v>
      </c>
      <c r="C12" s="41" t="s">
        <v>981</v>
      </c>
      <c r="D12" s="44" t="str">
        <f t="shared" si="0"/>
        <v>AV22090-4 (LT22014-G4) GARDEN HOSE GREEN 1"*60M</v>
      </c>
      <c r="G12" t="s">
        <v>332</v>
      </c>
      <c r="H12" s="35">
        <v>2250</v>
      </c>
      <c r="I12" t="s">
        <v>337</v>
      </c>
      <c r="J12">
        <v>0</v>
      </c>
      <c r="K12">
        <v>0</v>
      </c>
      <c r="L12">
        <v>0</v>
      </c>
    </row>
    <row r="13" spans="1:12" x14ac:dyDescent="0.3">
      <c r="A13" s="20" t="str">
        <f t="shared" si="1"/>
        <v>AVT0000012</v>
      </c>
      <c r="B13" t="str">
        <f>VLOOKUP(C13,'SUPPLIER_ITEMS (1st Tools)'!C13:D210,2,FALSE)</f>
        <v>1ST-358-038</v>
      </c>
      <c r="C13" s="41" t="s">
        <v>982</v>
      </c>
      <c r="D13" s="44" t="str">
        <f t="shared" si="0"/>
        <v>AV22090-5 (LT22014-R1)GARDEN HOSE RED 1/2"*90M</v>
      </c>
      <c r="G13" t="s">
        <v>332</v>
      </c>
      <c r="H13" s="35">
        <v>1250</v>
      </c>
      <c r="I13" t="s">
        <v>337</v>
      </c>
      <c r="J13">
        <v>0</v>
      </c>
      <c r="K13">
        <v>0</v>
      </c>
      <c r="L13">
        <v>0</v>
      </c>
    </row>
    <row r="14" spans="1:12" x14ac:dyDescent="0.3">
      <c r="A14" s="20" t="str">
        <f t="shared" si="1"/>
        <v>AVT0000013</v>
      </c>
      <c r="B14" t="str">
        <f>VLOOKUP(C14,'SUPPLIER_ITEMS (1st Tools)'!C14:D211,2,FALSE)</f>
        <v>1ST-358-039</v>
      </c>
      <c r="C14" s="41" t="s">
        <v>983</v>
      </c>
      <c r="D14" s="44" t="str">
        <f t="shared" si="0"/>
        <v>AV22090-6 (LT22014-R2) GARDEN HOSE RED 5/8"*90M</v>
      </c>
      <c r="G14" t="s">
        <v>332</v>
      </c>
      <c r="H14" s="35">
        <v>1450</v>
      </c>
      <c r="I14" t="s">
        <v>337</v>
      </c>
      <c r="J14">
        <v>0</v>
      </c>
      <c r="K14">
        <v>0</v>
      </c>
      <c r="L14">
        <v>0</v>
      </c>
    </row>
    <row r="15" spans="1:12" x14ac:dyDescent="0.3">
      <c r="A15" s="20" t="str">
        <f t="shared" si="1"/>
        <v>AVT0000014</v>
      </c>
      <c r="B15" t="str">
        <f>VLOOKUP(C15,'SUPPLIER_ITEMS (1st Tools)'!C15:D212,2,FALSE)</f>
        <v>1ST-358-040</v>
      </c>
      <c r="C15" s="42" t="s">
        <v>984</v>
      </c>
      <c r="D15" s="44" t="str">
        <f t="shared" si="0"/>
        <v>AV22090-7 (LT22014-R3)GARDEN HOSE RED 3/4"*60M</v>
      </c>
      <c r="G15" t="s">
        <v>332</v>
      </c>
      <c r="H15" s="36">
        <v>1650</v>
      </c>
      <c r="I15" t="s">
        <v>337</v>
      </c>
      <c r="J15">
        <v>0</v>
      </c>
      <c r="K15">
        <v>0</v>
      </c>
      <c r="L15">
        <v>0</v>
      </c>
    </row>
    <row r="16" spans="1:12" x14ac:dyDescent="0.3">
      <c r="A16" s="20" t="str">
        <f t="shared" si="1"/>
        <v>AVT0000015</v>
      </c>
      <c r="B16" t="str">
        <f>VLOOKUP(C16,'SUPPLIER_ITEMS (1st Tools)'!C16:D213,2,FALSE)</f>
        <v>1ST-358-041</v>
      </c>
      <c r="C16" s="43" t="s">
        <v>985</v>
      </c>
      <c r="D16" s="44" t="str">
        <f t="shared" si="0"/>
        <v>AV22090-8 (LT22014-R4) GARDEN HOSE RED 1"*60M</v>
      </c>
      <c r="G16" t="s">
        <v>332</v>
      </c>
      <c r="H16" s="37">
        <v>2250</v>
      </c>
      <c r="I16" t="s">
        <v>337</v>
      </c>
      <c r="J16">
        <v>0</v>
      </c>
      <c r="K16">
        <v>0</v>
      </c>
      <c r="L16">
        <v>0</v>
      </c>
    </row>
    <row r="17" spans="1:12" x14ac:dyDescent="0.3">
      <c r="A17" s="20" t="str">
        <f t="shared" si="1"/>
        <v>AVT0000016</v>
      </c>
      <c r="B17" t="str">
        <f>VLOOKUP(C17,'SUPPLIER_ITEMS (1st Tools)'!C17:D214,2,FALSE)</f>
        <v>1ST-358-042</v>
      </c>
      <c r="C17" s="32" t="s">
        <v>974</v>
      </c>
      <c r="D17" s="44" t="str">
        <f t="shared" si="0"/>
        <v>AV22091-1 (LT22015-1) EXTRA THICK HOSE 1/4"*150M</v>
      </c>
      <c r="G17" t="s">
        <v>978</v>
      </c>
      <c r="H17" s="38">
        <v>1350</v>
      </c>
      <c r="I17" t="s">
        <v>337</v>
      </c>
      <c r="J17">
        <v>0</v>
      </c>
      <c r="K17">
        <v>0</v>
      </c>
      <c r="L17">
        <v>0</v>
      </c>
    </row>
    <row r="18" spans="1:12" x14ac:dyDescent="0.3">
      <c r="A18" s="20" t="str">
        <f t="shared" si="1"/>
        <v>AVT0000017</v>
      </c>
      <c r="B18" t="str">
        <f>VLOOKUP(C18,'SUPPLIER_ITEMS (1st Tools)'!C18:D215,2,FALSE)</f>
        <v>1ST-358-043</v>
      </c>
      <c r="C18" s="32" t="s">
        <v>975</v>
      </c>
      <c r="D18" s="44" t="str">
        <f t="shared" si="0"/>
        <v>AV22091-2 (LT22015-2) EXTRA THICK HOSE 5/16"*150M</v>
      </c>
      <c r="G18" t="s">
        <v>978</v>
      </c>
      <c r="H18" s="38">
        <v>1750</v>
      </c>
      <c r="I18" t="s">
        <v>337</v>
      </c>
      <c r="J18">
        <v>0</v>
      </c>
      <c r="K18">
        <v>0</v>
      </c>
      <c r="L18">
        <v>0</v>
      </c>
    </row>
    <row r="19" spans="1:12" x14ac:dyDescent="0.3">
      <c r="A19" s="20" t="str">
        <f t="shared" si="1"/>
        <v>AVT0000018</v>
      </c>
      <c r="B19" t="str">
        <f>VLOOKUP(C19,'SUPPLIER_ITEMS (1st Tools)'!C19:D216,2,FALSE)</f>
        <v>1ST-358-044</v>
      </c>
      <c r="C19" s="33" t="s">
        <v>976</v>
      </c>
      <c r="D19" s="44" t="str">
        <f t="shared" si="0"/>
        <v>AV22091-3 (LT22015-3) EXTRA THICK HOSE 3/8"*150M</v>
      </c>
      <c r="G19" t="s">
        <v>978</v>
      </c>
      <c r="H19" s="39">
        <v>2160</v>
      </c>
      <c r="I19" t="s">
        <v>337</v>
      </c>
      <c r="J19">
        <v>0</v>
      </c>
      <c r="K19">
        <v>0</v>
      </c>
      <c r="L19">
        <v>0</v>
      </c>
    </row>
    <row r="20" spans="1:12" x14ac:dyDescent="0.3">
      <c r="A20" s="20" t="str">
        <f t="shared" si="1"/>
        <v>AVT0000019</v>
      </c>
      <c r="B20" t="str">
        <f>VLOOKUP(C20,'SUPPLIER_ITEMS (1st Tools)'!C20:D217,2,FALSE)</f>
        <v>1ST-358-045</v>
      </c>
      <c r="C20" s="34" t="s">
        <v>977</v>
      </c>
      <c r="D20" s="44" t="str">
        <f t="shared" si="0"/>
        <v>AV22091-4 (LT22015-4) EXTRA THICK HOSE 1/2"*150M</v>
      </c>
      <c r="G20" t="s">
        <v>978</v>
      </c>
      <c r="H20" s="40">
        <v>2870</v>
      </c>
      <c r="I20" t="s">
        <v>337</v>
      </c>
      <c r="J20">
        <v>0</v>
      </c>
      <c r="K20">
        <v>0</v>
      </c>
      <c r="L20">
        <v>0</v>
      </c>
    </row>
    <row r="21" spans="1:12" x14ac:dyDescent="0.3">
      <c r="A21" s="20" t="str">
        <f t="shared" si="1"/>
        <v>AVT0000020</v>
      </c>
      <c r="B21" t="str">
        <f>VLOOKUP(C21,'SUPPLIER_ITEMS (1st Tools)'!C21:D218,2,FALSE)</f>
        <v>1ST-358-053</v>
      </c>
      <c r="C21" s="45" t="s">
        <v>607</v>
      </c>
      <c r="D21" s="44" t="str">
        <f t="shared" si="0"/>
        <v>AV22093-00 CHEMICAL HOSE 1/4"*90M</v>
      </c>
      <c r="G21" t="s">
        <v>329</v>
      </c>
      <c r="H21" s="38">
        <v>1500</v>
      </c>
      <c r="I21" t="s">
        <v>337</v>
      </c>
      <c r="J21">
        <v>0</v>
      </c>
      <c r="K21">
        <v>0</v>
      </c>
      <c r="L21">
        <v>5</v>
      </c>
    </row>
    <row r="22" spans="1:12" x14ac:dyDescent="0.3">
      <c r="A22" s="20" t="str">
        <f t="shared" si="1"/>
        <v>AVT0000021</v>
      </c>
      <c r="B22" t="str">
        <f>VLOOKUP(C22,'SUPPLIER_ITEMS (1st Tools)'!C22:D219,2,FALSE)</f>
        <v>1ST-358-054</v>
      </c>
      <c r="C22" s="45" t="s">
        <v>608</v>
      </c>
      <c r="D22" s="44" t="str">
        <f t="shared" si="0"/>
        <v>AV22093-01 CHEMICAL HOSE 5/16"*90M</v>
      </c>
      <c r="G22" t="s">
        <v>329</v>
      </c>
      <c r="H22" s="38">
        <v>1730</v>
      </c>
      <c r="I22" t="s">
        <v>337</v>
      </c>
      <c r="J22">
        <v>0</v>
      </c>
      <c r="K22">
        <v>0</v>
      </c>
      <c r="L22">
        <v>5</v>
      </c>
    </row>
    <row r="23" spans="1:12" x14ac:dyDescent="0.3">
      <c r="A23" s="20" t="str">
        <f t="shared" si="1"/>
        <v>AVT0000022</v>
      </c>
      <c r="B23" t="str">
        <f>VLOOKUP(C23,'SUPPLIER_ITEMS (1st Tools)'!C23:D220,2,FALSE)</f>
        <v>1ST-358-055</v>
      </c>
      <c r="C23" s="45" t="s">
        <v>610</v>
      </c>
      <c r="D23" s="44" t="str">
        <f t="shared" si="0"/>
        <v>AV22093-02 CHEMICAL HOSE 3/8"*90M</v>
      </c>
      <c r="G23" t="s">
        <v>329</v>
      </c>
      <c r="H23" s="38">
        <v>2100</v>
      </c>
      <c r="I23" t="s">
        <v>337</v>
      </c>
      <c r="J23">
        <v>0</v>
      </c>
      <c r="K23">
        <v>0</v>
      </c>
      <c r="L23">
        <v>5</v>
      </c>
    </row>
    <row r="24" spans="1:12" x14ac:dyDescent="0.3">
      <c r="A24" s="20" t="str">
        <f t="shared" si="1"/>
        <v>AVT0000023</v>
      </c>
      <c r="B24" t="str">
        <f>VLOOKUP(C24,'SUPPLIER_ITEMS (1st Tools)'!C24:D221,2,FALSE)</f>
        <v>1ST-358-056</v>
      </c>
      <c r="C24" s="45" t="s">
        <v>612</v>
      </c>
      <c r="D24" s="44" t="str">
        <f t="shared" si="0"/>
        <v>AV22093-03 CHEMICAL HOSE 1/2"*90M</v>
      </c>
      <c r="G24" t="s">
        <v>329</v>
      </c>
      <c r="H24" s="38">
        <v>3000</v>
      </c>
      <c r="I24" t="s">
        <v>337</v>
      </c>
      <c r="J24">
        <v>0</v>
      </c>
      <c r="K24">
        <v>0</v>
      </c>
      <c r="L24">
        <v>5</v>
      </c>
    </row>
    <row r="25" spans="1:12" x14ac:dyDescent="0.3">
      <c r="A25" s="20" t="str">
        <f t="shared" si="1"/>
        <v>AVT0000024</v>
      </c>
      <c r="B25" t="str">
        <f>VLOOKUP(C25,'SUPPLIER_ITEMS (1st Tools)'!C25:D222,2,FALSE)</f>
        <v>1ST-358-057</v>
      </c>
      <c r="C25" s="45" t="s">
        <v>614</v>
      </c>
      <c r="D25" s="44" t="str">
        <f t="shared" si="0"/>
        <v>AV22093-04 CHEMICAL HOSE 5/8"*90M</v>
      </c>
      <c r="G25" t="s">
        <v>329</v>
      </c>
      <c r="H25" s="38">
        <v>3700</v>
      </c>
      <c r="I25" t="s">
        <v>337</v>
      </c>
      <c r="J25">
        <v>0</v>
      </c>
      <c r="K25">
        <v>0</v>
      </c>
      <c r="L25">
        <v>5</v>
      </c>
    </row>
    <row r="26" spans="1:12" x14ac:dyDescent="0.3">
      <c r="A26" s="20" t="str">
        <f t="shared" si="1"/>
        <v>AVT0000025</v>
      </c>
      <c r="B26" t="str">
        <f>VLOOKUP(C26,'SUPPLIER_ITEMS (1st Tools)'!C26:D223,2,FALSE)</f>
        <v>1ST-358-058</v>
      </c>
      <c r="C26" s="45" t="s">
        <v>616</v>
      </c>
      <c r="D26" s="44" t="str">
        <f t="shared" si="0"/>
        <v>AV22093-05 CHEMICAL HOSE 3/4"*50M</v>
      </c>
      <c r="G26" t="s">
        <v>329</v>
      </c>
      <c r="H26" s="38">
        <v>3000</v>
      </c>
      <c r="I26" t="s">
        <v>337</v>
      </c>
      <c r="J26">
        <v>0</v>
      </c>
      <c r="K26">
        <v>0</v>
      </c>
      <c r="L26">
        <v>5</v>
      </c>
    </row>
    <row r="27" spans="1:12" x14ac:dyDescent="0.3">
      <c r="A27" s="20" t="str">
        <f t="shared" si="1"/>
        <v>AVT0000026</v>
      </c>
      <c r="B27" t="str">
        <f>VLOOKUP(C27,'SUPPLIER_ITEMS (1st Tools)'!C27:D224,2,FALSE)</f>
        <v>1ST-358-059</v>
      </c>
      <c r="C27" s="45" t="s">
        <v>618</v>
      </c>
      <c r="D27" s="44" t="str">
        <f t="shared" si="0"/>
        <v>AV22093-06 CHEMICAL HOSE  1"*50M</v>
      </c>
      <c r="G27" t="s">
        <v>329</v>
      </c>
      <c r="H27" s="38">
        <v>3900</v>
      </c>
      <c r="I27" t="s">
        <v>337</v>
      </c>
      <c r="J27">
        <v>0</v>
      </c>
      <c r="K27">
        <v>0</v>
      </c>
      <c r="L27">
        <v>5</v>
      </c>
    </row>
    <row r="28" spans="1:12" x14ac:dyDescent="0.3">
      <c r="A28" s="20" t="str">
        <f t="shared" si="1"/>
        <v>AVT0000027</v>
      </c>
      <c r="B28" t="str">
        <f>VLOOKUP(C28,'SUPPLIER_ITEMS (1st Tools)'!C28:D225,2,FALSE)</f>
        <v>1ST-358-060</v>
      </c>
      <c r="C28" s="45" t="s">
        <v>620</v>
      </c>
      <c r="D28" s="44" t="str">
        <f t="shared" si="0"/>
        <v>AV22093-07 CHEMICAL HOSE 1-1/4"*40M</v>
      </c>
      <c r="G28" t="s">
        <v>329</v>
      </c>
      <c r="H28" s="38">
        <v>4600</v>
      </c>
      <c r="I28" t="s">
        <v>337</v>
      </c>
      <c r="J28">
        <v>0</v>
      </c>
      <c r="K28">
        <v>0</v>
      </c>
      <c r="L28">
        <v>5</v>
      </c>
    </row>
    <row r="29" spans="1:12" x14ac:dyDescent="0.3">
      <c r="A29" s="20" t="str">
        <f t="shared" si="1"/>
        <v>AVT0000028</v>
      </c>
      <c r="B29" t="str">
        <f>VLOOKUP(C29,'SUPPLIER_ITEMS (1st Tools)'!C29:D226,2,FALSE)</f>
        <v>1ST-358-061</v>
      </c>
      <c r="C29" s="45" t="s">
        <v>622</v>
      </c>
      <c r="D29" s="44" t="str">
        <f t="shared" si="0"/>
        <v>AV22093-08 CHEMICAL HOSE 1-1/2"*40M</v>
      </c>
      <c r="G29" t="s">
        <v>329</v>
      </c>
      <c r="H29" s="38">
        <v>6400</v>
      </c>
      <c r="I29" t="s">
        <v>337</v>
      </c>
      <c r="J29">
        <v>0</v>
      </c>
      <c r="K29">
        <v>0</v>
      </c>
      <c r="L29">
        <v>5</v>
      </c>
    </row>
    <row r="30" spans="1:12" x14ac:dyDescent="0.3">
      <c r="A30" s="20" t="str">
        <f t="shared" si="1"/>
        <v>AVT0000029</v>
      </c>
      <c r="B30" t="str">
        <f>VLOOKUP(C30,'SUPPLIER_ITEMS (1st Tools)'!C30:D227,2,FALSE)</f>
        <v>1ST-358-062</v>
      </c>
      <c r="C30" s="45" t="s">
        <v>624</v>
      </c>
      <c r="D30" s="44" t="str">
        <f t="shared" si="0"/>
        <v>AV22093-09 CHEMICAL HOSE 2"*40M</v>
      </c>
      <c r="G30" t="s">
        <v>329</v>
      </c>
      <c r="H30" s="38">
        <v>9500</v>
      </c>
      <c r="I30" t="s">
        <v>337</v>
      </c>
      <c r="J30">
        <v>0</v>
      </c>
      <c r="K30">
        <v>0</v>
      </c>
      <c r="L30">
        <v>5</v>
      </c>
    </row>
    <row r="31" spans="1:12" x14ac:dyDescent="0.3">
      <c r="A31" s="20" t="str">
        <f t="shared" si="1"/>
        <v>AVT0000030</v>
      </c>
      <c r="B31" t="str">
        <f>VLOOKUP(C31,'SUPPLIER_ITEMS (1st Tools)'!C31:D228,2,FALSE)</f>
        <v>1ST-358-063</v>
      </c>
      <c r="C31" s="32" t="s">
        <v>988</v>
      </c>
      <c r="D31" s="44" t="str">
        <f t="shared" si="0"/>
        <v>AV22250-1 1/2" HOSE COUPLING</v>
      </c>
      <c r="G31" t="s">
        <v>328</v>
      </c>
      <c r="H31" s="46">
        <v>35</v>
      </c>
      <c r="I31" t="s">
        <v>340</v>
      </c>
      <c r="J31">
        <v>0</v>
      </c>
      <c r="K31">
        <v>0</v>
      </c>
      <c r="L31">
        <v>0</v>
      </c>
    </row>
    <row r="32" spans="1:12" x14ac:dyDescent="0.3">
      <c r="A32" s="20" t="str">
        <f t="shared" si="1"/>
        <v>AVT0000031</v>
      </c>
      <c r="B32" t="str">
        <f>VLOOKUP(C32,'SUPPLIER_ITEMS (1st Tools)'!C32:D229,2,FALSE)</f>
        <v>1ST-358-064</v>
      </c>
      <c r="C32" s="32" t="s">
        <v>989</v>
      </c>
      <c r="D32" s="44" t="str">
        <f t="shared" si="0"/>
        <v>AV22250-2 5/8" HOSE COUPLING</v>
      </c>
      <c r="G32" t="s">
        <v>328</v>
      </c>
      <c r="H32" s="46">
        <v>38</v>
      </c>
      <c r="I32" t="s">
        <v>340</v>
      </c>
      <c r="J32">
        <v>0</v>
      </c>
      <c r="K32">
        <v>0</v>
      </c>
      <c r="L32">
        <v>0</v>
      </c>
    </row>
    <row r="33" spans="1:12" x14ac:dyDescent="0.3">
      <c r="A33" s="20" t="str">
        <f t="shared" si="1"/>
        <v>AVT0000032</v>
      </c>
      <c r="B33" t="str">
        <f>VLOOKUP(C33,'SUPPLIER_ITEMS (1st Tools)'!C33:D230,2,FALSE)</f>
        <v>1ST-358-065</v>
      </c>
      <c r="C33" s="45" t="s">
        <v>990</v>
      </c>
      <c r="D33" s="44" t="str">
        <f t="shared" si="0"/>
        <v>AV22250-3 3/4" HOSE COUPLING</v>
      </c>
      <c r="G33" t="s">
        <v>328</v>
      </c>
      <c r="H33" s="47">
        <v>39</v>
      </c>
      <c r="I33" t="s">
        <v>340</v>
      </c>
      <c r="J33">
        <v>0</v>
      </c>
      <c r="K33">
        <v>0</v>
      </c>
      <c r="L33">
        <v>0</v>
      </c>
    </row>
    <row r="34" spans="1:12" x14ac:dyDescent="0.3">
      <c r="A34" s="20" t="str">
        <f t="shared" si="1"/>
        <v>AVT0000033</v>
      </c>
      <c r="B34" t="str">
        <f>VLOOKUP(C34,'SUPPLIER_ITEMS (1st Tools)'!C34:D231,2,FALSE)</f>
        <v>1ST-358-085</v>
      </c>
      <c r="C34" t="s">
        <v>512</v>
      </c>
      <c r="D34" s="44" t="str">
        <f t="shared" si="0"/>
        <v>AV22140 (PLMA001) POLOLOCK JETMATIC PUMP</v>
      </c>
      <c r="G34" t="s">
        <v>321</v>
      </c>
      <c r="H34" s="48">
        <v>2500</v>
      </c>
      <c r="I34" t="s">
        <v>991</v>
      </c>
      <c r="J34">
        <v>0</v>
      </c>
      <c r="K34">
        <v>0</v>
      </c>
      <c r="L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category</vt:lpstr>
      <vt:lpstr>unit</vt:lpstr>
      <vt:lpstr>SUPPLIERS</vt:lpstr>
      <vt:lpstr>SUPPLIER_ITEMS (1st Tools)</vt:lpstr>
      <vt:lpstr>PRODUCT INVENTORY (1st tools)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Jane Manalo</dc:creator>
  <cp:lastModifiedBy>Helen Jane Manalo</cp:lastModifiedBy>
  <dcterms:created xsi:type="dcterms:W3CDTF">2025-11-10T04:34:43Z</dcterms:created>
  <dcterms:modified xsi:type="dcterms:W3CDTF">2025-11-10T09:51:01Z</dcterms:modified>
</cp:coreProperties>
</file>